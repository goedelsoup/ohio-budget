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Budget - Operating\Budget.134\Appropriation Spreadsheet\EN\"/>
    </mc:Choice>
  </mc:AlternateContent>
  <bookViews>
    <workbookView xWindow="0" yWindow="0" windowWidth="25200" windowHeight="11250"/>
  </bookViews>
  <sheets>
    <sheet name="EN" sheetId="3" r:id="rId1"/>
    <sheet name="ENYearoverYear" sheetId="2" r:id="rId2"/>
  </sheets>
  <definedNames>
    <definedName name="_xlnm._FilterDatabase" localSheetId="0" hidden="1">EN!$A$1:$Y$1392</definedName>
    <definedName name="_xlnm._FilterDatabase" localSheetId="1" hidden="1">ENYearoverYear!$A$1:$I$1392</definedName>
    <definedName name="_Order1" hidden="1">255</definedName>
    <definedName name="_Order2" hidden="1">255</definedName>
    <definedName name="_xlnm.Print_Titles" localSheetId="0">EN!$A:$E,EN!$1:$1</definedName>
    <definedName name="_xlnm.Print_Titles" localSheetId="1">ENYearoverYear!$A:$E,ENYearoverYear!$1:$1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398" i="2" l="1"/>
  <c r="J1398" i="2"/>
  <c r="G1398" i="2"/>
  <c r="H1398" i="2"/>
  <c r="I1398" i="2"/>
  <c r="F1398" i="2"/>
  <c r="K1403" i="2"/>
  <c r="J1403" i="2"/>
  <c r="K1402" i="2"/>
  <c r="J1402" i="2"/>
  <c r="K1401" i="2"/>
  <c r="J1401" i="2"/>
  <c r="K1396" i="2"/>
  <c r="J1396" i="2"/>
  <c r="K1394" i="2"/>
  <c r="J1394" i="2"/>
  <c r="J3" i="2"/>
  <c r="K3" i="2"/>
  <c r="J4" i="2"/>
  <c r="K4" i="2"/>
  <c r="J5" i="2"/>
  <c r="K5" i="2"/>
  <c r="J6" i="2"/>
  <c r="K6" i="2"/>
  <c r="J7" i="2"/>
  <c r="K7" i="2"/>
  <c r="J8" i="2"/>
  <c r="K8" i="2"/>
  <c r="J9" i="2"/>
  <c r="K9" i="2"/>
  <c r="J10" i="2"/>
  <c r="K10" i="2"/>
  <c r="J11" i="2"/>
  <c r="K11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1" i="2"/>
  <c r="K21" i="2"/>
  <c r="J22" i="2"/>
  <c r="K22" i="2"/>
  <c r="J23" i="2"/>
  <c r="K23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34" i="2"/>
  <c r="K34" i="2"/>
  <c r="J35" i="2"/>
  <c r="K35" i="2"/>
  <c r="J36" i="2"/>
  <c r="K36" i="2"/>
  <c r="J37" i="2"/>
  <c r="K37" i="2"/>
  <c r="J38" i="2"/>
  <c r="K38" i="2"/>
  <c r="J39" i="2"/>
  <c r="K39" i="2"/>
  <c r="J40" i="2"/>
  <c r="K40" i="2"/>
  <c r="J41" i="2"/>
  <c r="K41" i="2"/>
  <c r="J42" i="2"/>
  <c r="K42" i="2"/>
  <c r="J43" i="2"/>
  <c r="K43" i="2"/>
  <c r="J44" i="2"/>
  <c r="K44" i="2"/>
  <c r="J45" i="2"/>
  <c r="K45" i="2"/>
  <c r="J46" i="2"/>
  <c r="K46" i="2"/>
  <c r="J47" i="2"/>
  <c r="K47" i="2"/>
  <c r="J48" i="2"/>
  <c r="K48" i="2"/>
  <c r="J49" i="2"/>
  <c r="K49" i="2"/>
  <c r="J50" i="2"/>
  <c r="K50" i="2"/>
  <c r="J51" i="2"/>
  <c r="K51" i="2"/>
  <c r="J52" i="2"/>
  <c r="K52" i="2"/>
  <c r="J53" i="2"/>
  <c r="K53" i="2"/>
  <c r="J54" i="2"/>
  <c r="K54" i="2"/>
  <c r="J55" i="2"/>
  <c r="K55" i="2"/>
  <c r="J56" i="2"/>
  <c r="K56" i="2"/>
  <c r="J57" i="2"/>
  <c r="K57" i="2"/>
  <c r="J58" i="2"/>
  <c r="K58" i="2"/>
  <c r="J59" i="2"/>
  <c r="K59" i="2"/>
  <c r="J60" i="2"/>
  <c r="K60" i="2"/>
  <c r="J61" i="2"/>
  <c r="K61" i="2"/>
  <c r="J62" i="2"/>
  <c r="K62" i="2"/>
  <c r="J63" i="2"/>
  <c r="K63" i="2"/>
  <c r="J64" i="2"/>
  <c r="K64" i="2"/>
  <c r="J65" i="2"/>
  <c r="K65" i="2"/>
  <c r="J66" i="2"/>
  <c r="K66" i="2"/>
  <c r="J67" i="2"/>
  <c r="K67" i="2"/>
  <c r="J68" i="2"/>
  <c r="K68" i="2"/>
  <c r="J69" i="2"/>
  <c r="K69" i="2"/>
  <c r="J70" i="2"/>
  <c r="K70" i="2"/>
  <c r="J71" i="2"/>
  <c r="K71" i="2"/>
  <c r="J72" i="2"/>
  <c r="K72" i="2"/>
  <c r="J73" i="2"/>
  <c r="K73" i="2"/>
  <c r="J74" i="2"/>
  <c r="K74" i="2"/>
  <c r="J75" i="2"/>
  <c r="K75" i="2"/>
  <c r="J76" i="2"/>
  <c r="K76" i="2"/>
  <c r="J77" i="2"/>
  <c r="K77" i="2"/>
  <c r="J78" i="2"/>
  <c r="K78" i="2"/>
  <c r="J79" i="2"/>
  <c r="K79" i="2"/>
  <c r="J80" i="2"/>
  <c r="K80" i="2"/>
  <c r="J81" i="2"/>
  <c r="K81" i="2"/>
  <c r="J82" i="2"/>
  <c r="K82" i="2"/>
  <c r="J83" i="2"/>
  <c r="K83" i="2"/>
  <c r="J84" i="2"/>
  <c r="K84" i="2"/>
  <c r="J85" i="2"/>
  <c r="K85" i="2"/>
  <c r="J86" i="2"/>
  <c r="K86" i="2"/>
  <c r="J87" i="2"/>
  <c r="K87" i="2"/>
  <c r="J88" i="2"/>
  <c r="K88" i="2"/>
  <c r="J89" i="2"/>
  <c r="K89" i="2"/>
  <c r="J90" i="2"/>
  <c r="K90" i="2"/>
  <c r="J91" i="2"/>
  <c r="K91" i="2"/>
  <c r="J92" i="2"/>
  <c r="K92" i="2"/>
  <c r="J93" i="2"/>
  <c r="K93" i="2"/>
  <c r="J94" i="2"/>
  <c r="K94" i="2"/>
  <c r="J95" i="2"/>
  <c r="K95" i="2"/>
  <c r="J96" i="2"/>
  <c r="K96" i="2"/>
  <c r="J97" i="2"/>
  <c r="K97" i="2"/>
  <c r="J98" i="2"/>
  <c r="K98" i="2"/>
  <c r="J99" i="2"/>
  <c r="K99" i="2"/>
  <c r="J100" i="2"/>
  <c r="K100" i="2"/>
  <c r="J101" i="2"/>
  <c r="K101" i="2"/>
  <c r="J102" i="2"/>
  <c r="K102" i="2"/>
  <c r="J103" i="2"/>
  <c r="K103" i="2"/>
  <c r="J104" i="2"/>
  <c r="K104" i="2"/>
  <c r="J105" i="2"/>
  <c r="K105" i="2"/>
  <c r="J106" i="2"/>
  <c r="K106" i="2"/>
  <c r="J107" i="2"/>
  <c r="K107" i="2"/>
  <c r="J108" i="2"/>
  <c r="K108" i="2"/>
  <c r="J109" i="2"/>
  <c r="K109" i="2"/>
  <c r="J110" i="2"/>
  <c r="K110" i="2"/>
  <c r="J111" i="2"/>
  <c r="K111" i="2"/>
  <c r="J112" i="2"/>
  <c r="K112" i="2"/>
  <c r="J113" i="2"/>
  <c r="K113" i="2"/>
  <c r="J114" i="2"/>
  <c r="K114" i="2"/>
  <c r="J115" i="2"/>
  <c r="K115" i="2"/>
  <c r="J116" i="2"/>
  <c r="K116" i="2"/>
  <c r="J117" i="2"/>
  <c r="K117" i="2"/>
  <c r="J118" i="2"/>
  <c r="K118" i="2"/>
  <c r="J119" i="2"/>
  <c r="K119" i="2"/>
  <c r="J120" i="2"/>
  <c r="K120" i="2"/>
  <c r="J121" i="2"/>
  <c r="K121" i="2"/>
  <c r="J122" i="2"/>
  <c r="K122" i="2"/>
  <c r="J123" i="2"/>
  <c r="K123" i="2"/>
  <c r="J124" i="2"/>
  <c r="K124" i="2"/>
  <c r="J125" i="2"/>
  <c r="K125" i="2"/>
  <c r="J126" i="2"/>
  <c r="K126" i="2"/>
  <c r="J127" i="2"/>
  <c r="K127" i="2"/>
  <c r="J128" i="2"/>
  <c r="K128" i="2"/>
  <c r="J129" i="2"/>
  <c r="K129" i="2"/>
  <c r="J130" i="2"/>
  <c r="K130" i="2"/>
  <c r="J131" i="2"/>
  <c r="K131" i="2"/>
  <c r="J132" i="2"/>
  <c r="K132" i="2"/>
  <c r="J133" i="2"/>
  <c r="K133" i="2"/>
  <c r="J134" i="2"/>
  <c r="K134" i="2"/>
  <c r="J135" i="2"/>
  <c r="K135" i="2"/>
  <c r="J136" i="2"/>
  <c r="K136" i="2"/>
  <c r="J137" i="2"/>
  <c r="K137" i="2"/>
  <c r="J138" i="2"/>
  <c r="K138" i="2"/>
  <c r="J139" i="2"/>
  <c r="K139" i="2"/>
  <c r="J140" i="2"/>
  <c r="K140" i="2"/>
  <c r="J141" i="2"/>
  <c r="K141" i="2"/>
  <c r="J142" i="2"/>
  <c r="K142" i="2"/>
  <c r="J143" i="2"/>
  <c r="K143" i="2"/>
  <c r="J144" i="2"/>
  <c r="K144" i="2"/>
  <c r="J145" i="2"/>
  <c r="K145" i="2"/>
  <c r="J146" i="2"/>
  <c r="K146" i="2"/>
  <c r="J147" i="2"/>
  <c r="K147" i="2"/>
  <c r="J148" i="2"/>
  <c r="K148" i="2"/>
  <c r="J149" i="2"/>
  <c r="K149" i="2"/>
  <c r="J150" i="2"/>
  <c r="K150" i="2"/>
  <c r="J151" i="2"/>
  <c r="K151" i="2"/>
  <c r="J152" i="2"/>
  <c r="K152" i="2"/>
  <c r="J153" i="2"/>
  <c r="K153" i="2"/>
  <c r="J154" i="2"/>
  <c r="K154" i="2"/>
  <c r="J155" i="2"/>
  <c r="K155" i="2"/>
  <c r="J156" i="2"/>
  <c r="K156" i="2"/>
  <c r="J157" i="2"/>
  <c r="K157" i="2"/>
  <c r="J158" i="2"/>
  <c r="K158" i="2"/>
  <c r="J159" i="2"/>
  <c r="K159" i="2"/>
  <c r="J160" i="2"/>
  <c r="K160" i="2"/>
  <c r="J161" i="2"/>
  <c r="K161" i="2"/>
  <c r="J162" i="2"/>
  <c r="K162" i="2"/>
  <c r="J163" i="2"/>
  <c r="K163" i="2"/>
  <c r="J164" i="2"/>
  <c r="K164" i="2"/>
  <c r="J165" i="2"/>
  <c r="K165" i="2"/>
  <c r="J166" i="2"/>
  <c r="K166" i="2"/>
  <c r="J167" i="2"/>
  <c r="K167" i="2"/>
  <c r="J168" i="2"/>
  <c r="K168" i="2"/>
  <c r="J169" i="2"/>
  <c r="K169" i="2"/>
  <c r="J170" i="2"/>
  <c r="K170" i="2"/>
  <c r="J171" i="2"/>
  <c r="K171" i="2"/>
  <c r="J172" i="2"/>
  <c r="K172" i="2"/>
  <c r="J173" i="2"/>
  <c r="K173" i="2"/>
  <c r="J174" i="2"/>
  <c r="K174" i="2"/>
  <c r="J175" i="2"/>
  <c r="K175" i="2"/>
  <c r="J176" i="2"/>
  <c r="K176" i="2"/>
  <c r="J177" i="2"/>
  <c r="K177" i="2"/>
  <c r="J178" i="2"/>
  <c r="K178" i="2"/>
  <c r="J179" i="2"/>
  <c r="K179" i="2"/>
  <c r="J180" i="2"/>
  <c r="K180" i="2"/>
  <c r="J181" i="2"/>
  <c r="K181" i="2"/>
  <c r="J182" i="2"/>
  <c r="K182" i="2"/>
  <c r="J183" i="2"/>
  <c r="K183" i="2"/>
  <c r="J184" i="2"/>
  <c r="K184" i="2"/>
  <c r="J185" i="2"/>
  <c r="K185" i="2"/>
  <c r="J186" i="2"/>
  <c r="K186" i="2"/>
  <c r="J187" i="2"/>
  <c r="K187" i="2"/>
  <c r="J188" i="2"/>
  <c r="K188" i="2"/>
  <c r="J189" i="2"/>
  <c r="K189" i="2"/>
  <c r="J190" i="2"/>
  <c r="K190" i="2"/>
  <c r="J191" i="2"/>
  <c r="K191" i="2"/>
  <c r="J192" i="2"/>
  <c r="K192" i="2"/>
  <c r="J193" i="2"/>
  <c r="K193" i="2"/>
  <c r="J194" i="2"/>
  <c r="K194" i="2"/>
  <c r="J195" i="2"/>
  <c r="K195" i="2"/>
  <c r="J196" i="2"/>
  <c r="K196" i="2"/>
  <c r="J197" i="2"/>
  <c r="K197" i="2"/>
  <c r="J198" i="2"/>
  <c r="K198" i="2"/>
  <c r="J199" i="2"/>
  <c r="K199" i="2"/>
  <c r="J200" i="2"/>
  <c r="K200" i="2"/>
  <c r="J201" i="2"/>
  <c r="K201" i="2"/>
  <c r="J202" i="2"/>
  <c r="K202" i="2"/>
  <c r="J203" i="2"/>
  <c r="K203" i="2"/>
  <c r="J204" i="2"/>
  <c r="K204" i="2"/>
  <c r="J205" i="2"/>
  <c r="K205" i="2"/>
  <c r="J206" i="2"/>
  <c r="K206" i="2"/>
  <c r="J207" i="2"/>
  <c r="K207" i="2"/>
  <c r="J208" i="2"/>
  <c r="K208" i="2"/>
  <c r="J209" i="2"/>
  <c r="K209" i="2"/>
  <c r="J210" i="2"/>
  <c r="K210" i="2"/>
  <c r="J211" i="2"/>
  <c r="K211" i="2"/>
  <c r="J212" i="2"/>
  <c r="K212" i="2"/>
  <c r="J213" i="2"/>
  <c r="K213" i="2"/>
  <c r="J214" i="2"/>
  <c r="K214" i="2"/>
  <c r="J215" i="2"/>
  <c r="K215" i="2"/>
  <c r="J216" i="2"/>
  <c r="K216" i="2"/>
  <c r="J217" i="2"/>
  <c r="K217" i="2"/>
  <c r="J218" i="2"/>
  <c r="K218" i="2"/>
  <c r="J219" i="2"/>
  <c r="K219" i="2"/>
  <c r="J220" i="2"/>
  <c r="K220" i="2"/>
  <c r="J221" i="2"/>
  <c r="K221" i="2"/>
  <c r="J222" i="2"/>
  <c r="K222" i="2"/>
  <c r="J223" i="2"/>
  <c r="K223" i="2"/>
  <c r="J224" i="2"/>
  <c r="K224" i="2"/>
  <c r="J225" i="2"/>
  <c r="K225" i="2"/>
  <c r="J226" i="2"/>
  <c r="K226" i="2"/>
  <c r="J227" i="2"/>
  <c r="K227" i="2"/>
  <c r="J228" i="2"/>
  <c r="K228" i="2"/>
  <c r="J229" i="2"/>
  <c r="K229" i="2"/>
  <c r="J230" i="2"/>
  <c r="K230" i="2"/>
  <c r="J231" i="2"/>
  <c r="K231" i="2"/>
  <c r="J232" i="2"/>
  <c r="K232" i="2"/>
  <c r="J233" i="2"/>
  <c r="K233" i="2"/>
  <c r="J234" i="2"/>
  <c r="K234" i="2"/>
  <c r="J235" i="2"/>
  <c r="K235" i="2"/>
  <c r="J236" i="2"/>
  <c r="K236" i="2"/>
  <c r="J237" i="2"/>
  <c r="K237" i="2"/>
  <c r="J238" i="2"/>
  <c r="K238" i="2"/>
  <c r="J239" i="2"/>
  <c r="K239" i="2"/>
  <c r="J240" i="2"/>
  <c r="K240" i="2"/>
  <c r="J241" i="2"/>
  <c r="K241" i="2"/>
  <c r="J242" i="2"/>
  <c r="K242" i="2"/>
  <c r="J243" i="2"/>
  <c r="K243" i="2"/>
  <c r="J244" i="2"/>
  <c r="K244" i="2"/>
  <c r="J245" i="2"/>
  <c r="K245" i="2"/>
  <c r="J246" i="2"/>
  <c r="K246" i="2"/>
  <c r="J247" i="2"/>
  <c r="K247" i="2"/>
  <c r="J248" i="2"/>
  <c r="K248" i="2"/>
  <c r="J249" i="2"/>
  <c r="K249" i="2"/>
  <c r="J250" i="2"/>
  <c r="K250" i="2"/>
  <c r="J251" i="2"/>
  <c r="K251" i="2"/>
  <c r="J252" i="2"/>
  <c r="K252" i="2"/>
  <c r="J253" i="2"/>
  <c r="K253" i="2"/>
  <c r="J254" i="2"/>
  <c r="K254" i="2"/>
  <c r="J255" i="2"/>
  <c r="K255" i="2"/>
  <c r="J256" i="2"/>
  <c r="K256" i="2"/>
  <c r="J257" i="2"/>
  <c r="K257" i="2"/>
  <c r="J258" i="2"/>
  <c r="K258" i="2"/>
  <c r="J259" i="2"/>
  <c r="K259" i="2"/>
  <c r="J260" i="2"/>
  <c r="K260" i="2"/>
  <c r="J261" i="2"/>
  <c r="K261" i="2"/>
  <c r="J262" i="2"/>
  <c r="K262" i="2"/>
  <c r="J263" i="2"/>
  <c r="K263" i="2"/>
  <c r="J264" i="2"/>
  <c r="K264" i="2"/>
  <c r="J265" i="2"/>
  <c r="K265" i="2"/>
  <c r="J266" i="2"/>
  <c r="K266" i="2"/>
  <c r="J267" i="2"/>
  <c r="K267" i="2"/>
  <c r="J268" i="2"/>
  <c r="K268" i="2"/>
  <c r="J269" i="2"/>
  <c r="K269" i="2"/>
  <c r="J270" i="2"/>
  <c r="K270" i="2"/>
  <c r="J271" i="2"/>
  <c r="K271" i="2"/>
  <c r="J272" i="2"/>
  <c r="K272" i="2"/>
  <c r="J273" i="2"/>
  <c r="K273" i="2"/>
  <c r="J274" i="2"/>
  <c r="K274" i="2"/>
  <c r="J275" i="2"/>
  <c r="K275" i="2"/>
  <c r="J276" i="2"/>
  <c r="K276" i="2"/>
  <c r="J277" i="2"/>
  <c r="K277" i="2"/>
  <c r="J278" i="2"/>
  <c r="K278" i="2"/>
  <c r="J279" i="2"/>
  <c r="K279" i="2"/>
  <c r="J280" i="2"/>
  <c r="K280" i="2"/>
  <c r="J281" i="2"/>
  <c r="K281" i="2"/>
  <c r="J282" i="2"/>
  <c r="K282" i="2"/>
  <c r="J283" i="2"/>
  <c r="K283" i="2"/>
  <c r="J284" i="2"/>
  <c r="K284" i="2"/>
  <c r="J285" i="2"/>
  <c r="K285" i="2"/>
  <c r="J286" i="2"/>
  <c r="K286" i="2"/>
  <c r="J287" i="2"/>
  <c r="K287" i="2"/>
  <c r="J288" i="2"/>
  <c r="K288" i="2"/>
  <c r="J289" i="2"/>
  <c r="K289" i="2"/>
  <c r="J290" i="2"/>
  <c r="K290" i="2"/>
  <c r="J291" i="2"/>
  <c r="K291" i="2"/>
  <c r="J292" i="2"/>
  <c r="K292" i="2"/>
  <c r="J293" i="2"/>
  <c r="K293" i="2"/>
  <c r="J294" i="2"/>
  <c r="K294" i="2"/>
  <c r="J295" i="2"/>
  <c r="K295" i="2"/>
  <c r="J296" i="2"/>
  <c r="K296" i="2"/>
  <c r="J297" i="2"/>
  <c r="K297" i="2"/>
  <c r="J298" i="2"/>
  <c r="K298" i="2"/>
  <c r="J299" i="2"/>
  <c r="K299" i="2"/>
  <c r="J300" i="2"/>
  <c r="K300" i="2"/>
  <c r="J301" i="2"/>
  <c r="K301" i="2"/>
  <c r="J302" i="2"/>
  <c r="K302" i="2"/>
  <c r="J303" i="2"/>
  <c r="K303" i="2"/>
  <c r="J304" i="2"/>
  <c r="K304" i="2"/>
  <c r="J305" i="2"/>
  <c r="K305" i="2"/>
  <c r="J306" i="2"/>
  <c r="K306" i="2"/>
  <c r="J307" i="2"/>
  <c r="K307" i="2"/>
  <c r="J308" i="2"/>
  <c r="K308" i="2"/>
  <c r="J309" i="2"/>
  <c r="K309" i="2"/>
  <c r="J310" i="2"/>
  <c r="K310" i="2"/>
  <c r="J311" i="2"/>
  <c r="K311" i="2"/>
  <c r="J312" i="2"/>
  <c r="K312" i="2"/>
  <c r="J313" i="2"/>
  <c r="K313" i="2"/>
  <c r="J314" i="2"/>
  <c r="K314" i="2"/>
  <c r="J315" i="2"/>
  <c r="K315" i="2"/>
  <c r="J316" i="2"/>
  <c r="K316" i="2"/>
  <c r="J317" i="2"/>
  <c r="K317" i="2"/>
  <c r="J318" i="2"/>
  <c r="K318" i="2"/>
  <c r="J319" i="2"/>
  <c r="K319" i="2"/>
  <c r="J320" i="2"/>
  <c r="K320" i="2"/>
  <c r="J321" i="2"/>
  <c r="K321" i="2"/>
  <c r="J322" i="2"/>
  <c r="K322" i="2"/>
  <c r="J323" i="2"/>
  <c r="K323" i="2"/>
  <c r="J324" i="2"/>
  <c r="K324" i="2"/>
  <c r="J325" i="2"/>
  <c r="K325" i="2"/>
  <c r="J326" i="2"/>
  <c r="K326" i="2"/>
  <c r="J327" i="2"/>
  <c r="K327" i="2"/>
  <c r="J328" i="2"/>
  <c r="K328" i="2"/>
  <c r="J329" i="2"/>
  <c r="K329" i="2"/>
  <c r="J330" i="2"/>
  <c r="K330" i="2"/>
  <c r="J331" i="2"/>
  <c r="K331" i="2"/>
  <c r="J332" i="2"/>
  <c r="K332" i="2"/>
  <c r="J333" i="2"/>
  <c r="K333" i="2"/>
  <c r="J334" i="2"/>
  <c r="K334" i="2"/>
  <c r="J335" i="2"/>
  <c r="K335" i="2"/>
  <c r="J336" i="2"/>
  <c r="K336" i="2"/>
  <c r="J337" i="2"/>
  <c r="K337" i="2"/>
  <c r="J338" i="2"/>
  <c r="K338" i="2"/>
  <c r="J339" i="2"/>
  <c r="K339" i="2"/>
  <c r="J340" i="2"/>
  <c r="K340" i="2"/>
  <c r="J341" i="2"/>
  <c r="K341" i="2"/>
  <c r="J342" i="2"/>
  <c r="K342" i="2"/>
  <c r="J343" i="2"/>
  <c r="K343" i="2"/>
  <c r="J344" i="2"/>
  <c r="K344" i="2"/>
  <c r="J345" i="2"/>
  <c r="K345" i="2"/>
  <c r="J346" i="2"/>
  <c r="K346" i="2"/>
  <c r="J347" i="2"/>
  <c r="K347" i="2"/>
  <c r="J348" i="2"/>
  <c r="K348" i="2"/>
  <c r="J349" i="2"/>
  <c r="K349" i="2"/>
  <c r="J350" i="2"/>
  <c r="K350" i="2"/>
  <c r="J351" i="2"/>
  <c r="K351" i="2"/>
  <c r="J352" i="2"/>
  <c r="K352" i="2"/>
  <c r="J353" i="2"/>
  <c r="K353" i="2"/>
  <c r="J354" i="2"/>
  <c r="K354" i="2"/>
  <c r="J355" i="2"/>
  <c r="K355" i="2"/>
  <c r="J356" i="2"/>
  <c r="K356" i="2"/>
  <c r="J357" i="2"/>
  <c r="K357" i="2"/>
  <c r="J358" i="2"/>
  <c r="K358" i="2"/>
  <c r="J359" i="2"/>
  <c r="K359" i="2"/>
  <c r="J360" i="2"/>
  <c r="K360" i="2"/>
  <c r="J361" i="2"/>
  <c r="K361" i="2"/>
  <c r="J362" i="2"/>
  <c r="K362" i="2"/>
  <c r="J363" i="2"/>
  <c r="K363" i="2"/>
  <c r="J364" i="2"/>
  <c r="K364" i="2"/>
  <c r="J365" i="2"/>
  <c r="K365" i="2"/>
  <c r="J366" i="2"/>
  <c r="K366" i="2"/>
  <c r="J367" i="2"/>
  <c r="K367" i="2"/>
  <c r="J368" i="2"/>
  <c r="K368" i="2"/>
  <c r="J369" i="2"/>
  <c r="K369" i="2"/>
  <c r="J370" i="2"/>
  <c r="K370" i="2"/>
  <c r="J371" i="2"/>
  <c r="K371" i="2"/>
  <c r="J372" i="2"/>
  <c r="K372" i="2"/>
  <c r="J373" i="2"/>
  <c r="K373" i="2"/>
  <c r="J374" i="2"/>
  <c r="K374" i="2"/>
  <c r="J375" i="2"/>
  <c r="K375" i="2"/>
  <c r="J376" i="2"/>
  <c r="K376" i="2"/>
  <c r="J377" i="2"/>
  <c r="K377" i="2"/>
  <c r="J378" i="2"/>
  <c r="K378" i="2"/>
  <c r="J379" i="2"/>
  <c r="K379" i="2"/>
  <c r="J380" i="2"/>
  <c r="K380" i="2"/>
  <c r="J381" i="2"/>
  <c r="K381" i="2"/>
  <c r="J382" i="2"/>
  <c r="K382" i="2"/>
  <c r="J383" i="2"/>
  <c r="K383" i="2"/>
  <c r="J384" i="2"/>
  <c r="K384" i="2"/>
  <c r="J385" i="2"/>
  <c r="K385" i="2"/>
  <c r="J386" i="2"/>
  <c r="K386" i="2"/>
  <c r="J387" i="2"/>
  <c r="K387" i="2"/>
  <c r="J388" i="2"/>
  <c r="K388" i="2"/>
  <c r="J389" i="2"/>
  <c r="K389" i="2"/>
  <c r="J390" i="2"/>
  <c r="K390" i="2"/>
  <c r="J391" i="2"/>
  <c r="K391" i="2"/>
  <c r="J392" i="2"/>
  <c r="K392" i="2"/>
  <c r="J393" i="2"/>
  <c r="K393" i="2"/>
  <c r="J394" i="2"/>
  <c r="K394" i="2"/>
  <c r="J395" i="2"/>
  <c r="K395" i="2"/>
  <c r="J396" i="2"/>
  <c r="K396" i="2"/>
  <c r="J397" i="2"/>
  <c r="K397" i="2"/>
  <c r="J398" i="2"/>
  <c r="K398" i="2"/>
  <c r="J399" i="2"/>
  <c r="K399" i="2"/>
  <c r="J400" i="2"/>
  <c r="K400" i="2"/>
  <c r="J401" i="2"/>
  <c r="K401" i="2"/>
  <c r="J402" i="2"/>
  <c r="K402" i="2"/>
  <c r="J403" i="2"/>
  <c r="K403" i="2"/>
  <c r="J404" i="2"/>
  <c r="K404" i="2"/>
  <c r="J405" i="2"/>
  <c r="K405" i="2"/>
  <c r="J406" i="2"/>
  <c r="K406" i="2"/>
  <c r="J407" i="2"/>
  <c r="K407" i="2"/>
  <c r="J408" i="2"/>
  <c r="K408" i="2"/>
  <c r="J409" i="2"/>
  <c r="K409" i="2"/>
  <c r="J410" i="2"/>
  <c r="K410" i="2"/>
  <c r="J411" i="2"/>
  <c r="K411" i="2"/>
  <c r="J412" i="2"/>
  <c r="K412" i="2"/>
  <c r="J413" i="2"/>
  <c r="K413" i="2"/>
  <c r="J414" i="2"/>
  <c r="K414" i="2"/>
  <c r="J415" i="2"/>
  <c r="K415" i="2"/>
  <c r="J416" i="2"/>
  <c r="K416" i="2"/>
  <c r="J417" i="2"/>
  <c r="K417" i="2"/>
  <c r="J418" i="2"/>
  <c r="K418" i="2"/>
  <c r="J419" i="2"/>
  <c r="K419" i="2"/>
  <c r="J420" i="2"/>
  <c r="K420" i="2"/>
  <c r="J421" i="2"/>
  <c r="K421" i="2"/>
  <c r="J422" i="2"/>
  <c r="K422" i="2"/>
  <c r="J423" i="2"/>
  <c r="K423" i="2"/>
  <c r="J424" i="2"/>
  <c r="K424" i="2"/>
  <c r="J425" i="2"/>
  <c r="K425" i="2"/>
  <c r="J426" i="2"/>
  <c r="K426" i="2"/>
  <c r="J427" i="2"/>
  <c r="K427" i="2"/>
  <c r="J428" i="2"/>
  <c r="K428" i="2"/>
  <c r="J429" i="2"/>
  <c r="K429" i="2"/>
  <c r="J430" i="2"/>
  <c r="K430" i="2"/>
  <c r="J431" i="2"/>
  <c r="K431" i="2"/>
  <c r="J432" i="2"/>
  <c r="K432" i="2"/>
  <c r="J433" i="2"/>
  <c r="K433" i="2"/>
  <c r="J434" i="2"/>
  <c r="K434" i="2"/>
  <c r="J435" i="2"/>
  <c r="K435" i="2"/>
  <c r="J436" i="2"/>
  <c r="K436" i="2"/>
  <c r="J437" i="2"/>
  <c r="K437" i="2"/>
  <c r="J438" i="2"/>
  <c r="K438" i="2"/>
  <c r="J439" i="2"/>
  <c r="K439" i="2"/>
  <c r="J440" i="2"/>
  <c r="K440" i="2"/>
  <c r="J441" i="2"/>
  <c r="K441" i="2"/>
  <c r="J442" i="2"/>
  <c r="K442" i="2"/>
  <c r="J443" i="2"/>
  <c r="K443" i="2"/>
  <c r="J444" i="2"/>
  <c r="K444" i="2"/>
  <c r="J445" i="2"/>
  <c r="K445" i="2"/>
  <c r="J446" i="2"/>
  <c r="K446" i="2"/>
  <c r="J447" i="2"/>
  <c r="K447" i="2"/>
  <c r="J448" i="2"/>
  <c r="K448" i="2"/>
  <c r="J449" i="2"/>
  <c r="K449" i="2"/>
  <c r="J450" i="2"/>
  <c r="K450" i="2"/>
  <c r="J451" i="2"/>
  <c r="K451" i="2"/>
  <c r="J452" i="2"/>
  <c r="K452" i="2"/>
  <c r="J453" i="2"/>
  <c r="K453" i="2"/>
  <c r="J454" i="2"/>
  <c r="K454" i="2"/>
  <c r="J455" i="2"/>
  <c r="K455" i="2"/>
  <c r="J456" i="2"/>
  <c r="K456" i="2"/>
  <c r="J457" i="2"/>
  <c r="K457" i="2"/>
  <c r="J458" i="2"/>
  <c r="K458" i="2"/>
  <c r="J459" i="2"/>
  <c r="K459" i="2"/>
  <c r="J460" i="2"/>
  <c r="K460" i="2"/>
  <c r="J461" i="2"/>
  <c r="K461" i="2"/>
  <c r="J462" i="2"/>
  <c r="K462" i="2"/>
  <c r="J463" i="2"/>
  <c r="K463" i="2"/>
  <c r="J464" i="2"/>
  <c r="K464" i="2"/>
  <c r="J465" i="2"/>
  <c r="K465" i="2"/>
  <c r="J466" i="2"/>
  <c r="K466" i="2"/>
  <c r="J467" i="2"/>
  <c r="K467" i="2"/>
  <c r="J468" i="2"/>
  <c r="K468" i="2"/>
  <c r="J469" i="2"/>
  <c r="K469" i="2"/>
  <c r="J470" i="2"/>
  <c r="K470" i="2"/>
  <c r="J471" i="2"/>
  <c r="K471" i="2"/>
  <c r="J472" i="2"/>
  <c r="K472" i="2"/>
  <c r="J473" i="2"/>
  <c r="K473" i="2"/>
  <c r="J474" i="2"/>
  <c r="K474" i="2"/>
  <c r="J475" i="2"/>
  <c r="K475" i="2"/>
  <c r="J476" i="2"/>
  <c r="K476" i="2"/>
  <c r="J477" i="2"/>
  <c r="K477" i="2"/>
  <c r="J478" i="2"/>
  <c r="K478" i="2"/>
  <c r="J479" i="2"/>
  <c r="K479" i="2"/>
  <c r="J480" i="2"/>
  <c r="K480" i="2"/>
  <c r="J481" i="2"/>
  <c r="K481" i="2"/>
  <c r="J482" i="2"/>
  <c r="K482" i="2"/>
  <c r="J483" i="2"/>
  <c r="K483" i="2"/>
  <c r="J484" i="2"/>
  <c r="K484" i="2"/>
  <c r="J485" i="2"/>
  <c r="K485" i="2"/>
  <c r="J486" i="2"/>
  <c r="K486" i="2"/>
  <c r="J487" i="2"/>
  <c r="K487" i="2"/>
  <c r="J488" i="2"/>
  <c r="K488" i="2"/>
  <c r="J489" i="2"/>
  <c r="K489" i="2"/>
  <c r="J490" i="2"/>
  <c r="K490" i="2"/>
  <c r="J491" i="2"/>
  <c r="K491" i="2"/>
  <c r="J492" i="2"/>
  <c r="K492" i="2"/>
  <c r="J493" i="2"/>
  <c r="K493" i="2"/>
  <c r="J494" i="2"/>
  <c r="K494" i="2"/>
  <c r="J495" i="2"/>
  <c r="K495" i="2"/>
  <c r="J496" i="2"/>
  <c r="K496" i="2"/>
  <c r="J497" i="2"/>
  <c r="K497" i="2"/>
  <c r="J498" i="2"/>
  <c r="K498" i="2"/>
  <c r="J499" i="2"/>
  <c r="K499" i="2"/>
  <c r="J500" i="2"/>
  <c r="K500" i="2"/>
  <c r="J501" i="2"/>
  <c r="K501" i="2"/>
  <c r="J502" i="2"/>
  <c r="K502" i="2"/>
  <c r="J503" i="2"/>
  <c r="K503" i="2"/>
  <c r="J504" i="2"/>
  <c r="K504" i="2"/>
  <c r="J505" i="2"/>
  <c r="K505" i="2"/>
  <c r="J506" i="2"/>
  <c r="K506" i="2"/>
  <c r="J507" i="2"/>
  <c r="K507" i="2"/>
  <c r="J508" i="2"/>
  <c r="K508" i="2"/>
  <c r="J509" i="2"/>
  <c r="K509" i="2"/>
  <c r="J510" i="2"/>
  <c r="K510" i="2"/>
  <c r="J511" i="2"/>
  <c r="K511" i="2"/>
  <c r="J512" i="2"/>
  <c r="K512" i="2"/>
  <c r="J513" i="2"/>
  <c r="K513" i="2"/>
  <c r="J514" i="2"/>
  <c r="K514" i="2"/>
  <c r="J515" i="2"/>
  <c r="K515" i="2"/>
  <c r="J516" i="2"/>
  <c r="K516" i="2"/>
  <c r="J517" i="2"/>
  <c r="K517" i="2"/>
  <c r="J518" i="2"/>
  <c r="K518" i="2"/>
  <c r="J519" i="2"/>
  <c r="K519" i="2"/>
  <c r="J520" i="2"/>
  <c r="K520" i="2"/>
  <c r="J521" i="2"/>
  <c r="K521" i="2"/>
  <c r="J522" i="2"/>
  <c r="K522" i="2"/>
  <c r="J523" i="2"/>
  <c r="K523" i="2"/>
  <c r="J524" i="2"/>
  <c r="K524" i="2"/>
  <c r="J525" i="2"/>
  <c r="K525" i="2"/>
  <c r="J526" i="2"/>
  <c r="K526" i="2"/>
  <c r="J527" i="2"/>
  <c r="K527" i="2"/>
  <c r="J528" i="2"/>
  <c r="K528" i="2"/>
  <c r="J529" i="2"/>
  <c r="K529" i="2"/>
  <c r="J530" i="2"/>
  <c r="K530" i="2"/>
  <c r="J531" i="2"/>
  <c r="K531" i="2"/>
  <c r="J532" i="2"/>
  <c r="K532" i="2"/>
  <c r="J533" i="2"/>
  <c r="K533" i="2"/>
  <c r="J534" i="2"/>
  <c r="K534" i="2"/>
  <c r="J535" i="2"/>
  <c r="K535" i="2"/>
  <c r="J536" i="2"/>
  <c r="K536" i="2"/>
  <c r="J537" i="2"/>
  <c r="K537" i="2"/>
  <c r="J538" i="2"/>
  <c r="K538" i="2"/>
  <c r="J539" i="2"/>
  <c r="K539" i="2"/>
  <c r="J540" i="2"/>
  <c r="K540" i="2"/>
  <c r="J541" i="2"/>
  <c r="K541" i="2"/>
  <c r="J542" i="2"/>
  <c r="K542" i="2"/>
  <c r="J543" i="2"/>
  <c r="K543" i="2"/>
  <c r="J544" i="2"/>
  <c r="K544" i="2"/>
  <c r="J545" i="2"/>
  <c r="K545" i="2"/>
  <c r="J546" i="2"/>
  <c r="K546" i="2"/>
  <c r="J547" i="2"/>
  <c r="K547" i="2"/>
  <c r="J548" i="2"/>
  <c r="K548" i="2"/>
  <c r="J549" i="2"/>
  <c r="K549" i="2"/>
  <c r="J550" i="2"/>
  <c r="K550" i="2"/>
  <c r="J551" i="2"/>
  <c r="K551" i="2"/>
  <c r="J552" i="2"/>
  <c r="K552" i="2"/>
  <c r="J553" i="2"/>
  <c r="K553" i="2"/>
  <c r="J554" i="2"/>
  <c r="K554" i="2"/>
  <c r="J555" i="2"/>
  <c r="K555" i="2"/>
  <c r="J556" i="2"/>
  <c r="K556" i="2"/>
  <c r="J557" i="2"/>
  <c r="K557" i="2"/>
  <c r="J558" i="2"/>
  <c r="K558" i="2"/>
  <c r="J559" i="2"/>
  <c r="K559" i="2"/>
  <c r="J560" i="2"/>
  <c r="K560" i="2"/>
  <c r="J561" i="2"/>
  <c r="K561" i="2"/>
  <c r="J562" i="2"/>
  <c r="K562" i="2"/>
  <c r="J563" i="2"/>
  <c r="K563" i="2"/>
  <c r="J564" i="2"/>
  <c r="K564" i="2"/>
  <c r="J565" i="2"/>
  <c r="K565" i="2"/>
  <c r="J566" i="2"/>
  <c r="K566" i="2"/>
  <c r="J567" i="2"/>
  <c r="K567" i="2"/>
  <c r="J568" i="2"/>
  <c r="K568" i="2"/>
  <c r="J569" i="2"/>
  <c r="K569" i="2"/>
  <c r="J570" i="2"/>
  <c r="K570" i="2"/>
  <c r="J571" i="2"/>
  <c r="K571" i="2"/>
  <c r="J572" i="2"/>
  <c r="K572" i="2"/>
  <c r="J573" i="2"/>
  <c r="K573" i="2"/>
  <c r="J574" i="2"/>
  <c r="K574" i="2"/>
  <c r="J575" i="2"/>
  <c r="K575" i="2"/>
  <c r="J576" i="2"/>
  <c r="K576" i="2"/>
  <c r="J577" i="2"/>
  <c r="K577" i="2"/>
  <c r="J578" i="2"/>
  <c r="K578" i="2"/>
  <c r="J579" i="2"/>
  <c r="K579" i="2"/>
  <c r="J580" i="2"/>
  <c r="K580" i="2"/>
  <c r="J581" i="2"/>
  <c r="K581" i="2"/>
  <c r="J582" i="2"/>
  <c r="K582" i="2"/>
  <c r="J583" i="2"/>
  <c r="K583" i="2"/>
  <c r="J584" i="2"/>
  <c r="K584" i="2"/>
  <c r="J585" i="2"/>
  <c r="K585" i="2"/>
  <c r="J586" i="2"/>
  <c r="K586" i="2"/>
  <c r="J587" i="2"/>
  <c r="K587" i="2"/>
  <c r="J588" i="2"/>
  <c r="K588" i="2"/>
  <c r="J589" i="2"/>
  <c r="K589" i="2"/>
  <c r="J590" i="2"/>
  <c r="K590" i="2"/>
  <c r="J591" i="2"/>
  <c r="K591" i="2"/>
  <c r="J592" i="2"/>
  <c r="K592" i="2"/>
  <c r="J593" i="2"/>
  <c r="K593" i="2"/>
  <c r="J594" i="2"/>
  <c r="K594" i="2"/>
  <c r="J595" i="2"/>
  <c r="K595" i="2"/>
  <c r="J596" i="2"/>
  <c r="K596" i="2"/>
  <c r="J597" i="2"/>
  <c r="K597" i="2"/>
  <c r="J598" i="2"/>
  <c r="K598" i="2"/>
  <c r="J599" i="2"/>
  <c r="K599" i="2"/>
  <c r="J600" i="2"/>
  <c r="K600" i="2"/>
  <c r="J601" i="2"/>
  <c r="K601" i="2"/>
  <c r="J602" i="2"/>
  <c r="K602" i="2"/>
  <c r="J603" i="2"/>
  <c r="K603" i="2"/>
  <c r="J604" i="2"/>
  <c r="K604" i="2"/>
  <c r="J605" i="2"/>
  <c r="K605" i="2"/>
  <c r="J606" i="2"/>
  <c r="K606" i="2"/>
  <c r="J607" i="2"/>
  <c r="K607" i="2"/>
  <c r="J608" i="2"/>
  <c r="K608" i="2"/>
  <c r="J609" i="2"/>
  <c r="K609" i="2"/>
  <c r="J610" i="2"/>
  <c r="K610" i="2"/>
  <c r="J611" i="2"/>
  <c r="K611" i="2"/>
  <c r="J612" i="2"/>
  <c r="K612" i="2"/>
  <c r="J613" i="2"/>
  <c r="K613" i="2"/>
  <c r="J614" i="2"/>
  <c r="K614" i="2"/>
  <c r="J615" i="2"/>
  <c r="K615" i="2"/>
  <c r="J616" i="2"/>
  <c r="K616" i="2"/>
  <c r="J617" i="2"/>
  <c r="K617" i="2"/>
  <c r="J618" i="2"/>
  <c r="K618" i="2"/>
  <c r="J619" i="2"/>
  <c r="K619" i="2"/>
  <c r="J620" i="2"/>
  <c r="K620" i="2"/>
  <c r="J621" i="2"/>
  <c r="K621" i="2"/>
  <c r="J622" i="2"/>
  <c r="K622" i="2"/>
  <c r="J623" i="2"/>
  <c r="K623" i="2"/>
  <c r="J624" i="2"/>
  <c r="K624" i="2"/>
  <c r="J625" i="2"/>
  <c r="K625" i="2"/>
  <c r="J626" i="2"/>
  <c r="K626" i="2"/>
  <c r="J627" i="2"/>
  <c r="K627" i="2"/>
  <c r="J628" i="2"/>
  <c r="K628" i="2"/>
  <c r="J629" i="2"/>
  <c r="K629" i="2"/>
  <c r="J630" i="2"/>
  <c r="K630" i="2"/>
  <c r="J631" i="2"/>
  <c r="K631" i="2"/>
  <c r="J632" i="2"/>
  <c r="K632" i="2"/>
  <c r="J633" i="2"/>
  <c r="K633" i="2"/>
  <c r="J634" i="2"/>
  <c r="K634" i="2"/>
  <c r="J635" i="2"/>
  <c r="K635" i="2"/>
  <c r="J636" i="2"/>
  <c r="K636" i="2"/>
  <c r="J637" i="2"/>
  <c r="K637" i="2"/>
  <c r="J638" i="2"/>
  <c r="K638" i="2"/>
  <c r="J639" i="2"/>
  <c r="K639" i="2"/>
  <c r="J640" i="2"/>
  <c r="K640" i="2"/>
  <c r="J641" i="2"/>
  <c r="K641" i="2"/>
  <c r="J642" i="2"/>
  <c r="K642" i="2"/>
  <c r="J643" i="2"/>
  <c r="K643" i="2"/>
  <c r="J644" i="2"/>
  <c r="K644" i="2"/>
  <c r="J645" i="2"/>
  <c r="K645" i="2"/>
  <c r="J646" i="2"/>
  <c r="K646" i="2"/>
  <c r="J647" i="2"/>
  <c r="K647" i="2"/>
  <c r="J648" i="2"/>
  <c r="K648" i="2"/>
  <c r="J649" i="2"/>
  <c r="K649" i="2"/>
  <c r="J650" i="2"/>
  <c r="K650" i="2"/>
  <c r="J651" i="2"/>
  <c r="K651" i="2"/>
  <c r="J652" i="2"/>
  <c r="K652" i="2"/>
  <c r="J653" i="2"/>
  <c r="K653" i="2"/>
  <c r="J654" i="2"/>
  <c r="K654" i="2"/>
  <c r="J655" i="2"/>
  <c r="K655" i="2"/>
  <c r="J656" i="2"/>
  <c r="K656" i="2"/>
  <c r="J657" i="2"/>
  <c r="K657" i="2"/>
  <c r="J658" i="2"/>
  <c r="K658" i="2"/>
  <c r="J659" i="2"/>
  <c r="K659" i="2"/>
  <c r="J660" i="2"/>
  <c r="K660" i="2"/>
  <c r="J661" i="2"/>
  <c r="K661" i="2"/>
  <c r="J662" i="2"/>
  <c r="K662" i="2"/>
  <c r="J663" i="2"/>
  <c r="K663" i="2"/>
  <c r="J664" i="2"/>
  <c r="K664" i="2"/>
  <c r="J665" i="2"/>
  <c r="K665" i="2"/>
  <c r="J666" i="2"/>
  <c r="K666" i="2"/>
  <c r="J667" i="2"/>
  <c r="K667" i="2"/>
  <c r="J668" i="2"/>
  <c r="K668" i="2"/>
  <c r="J669" i="2"/>
  <c r="K669" i="2"/>
  <c r="J670" i="2"/>
  <c r="K670" i="2"/>
  <c r="J671" i="2"/>
  <c r="K671" i="2"/>
  <c r="J672" i="2"/>
  <c r="K672" i="2"/>
  <c r="J673" i="2"/>
  <c r="K673" i="2"/>
  <c r="J674" i="2"/>
  <c r="K674" i="2"/>
  <c r="J675" i="2"/>
  <c r="K675" i="2"/>
  <c r="J676" i="2"/>
  <c r="K676" i="2"/>
  <c r="J677" i="2"/>
  <c r="K677" i="2"/>
  <c r="J678" i="2"/>
  <c r="K678" i="2"/>
  <c r="J679" i="2"/>
  <c r="K679" i="2"/>
  <c r="J680" i="2"/>
  <c r="K680" i="2"/>
  <c r="J681" i="2"/>
  <c r="K681" i="2"/>
  <c r="J682" i="2"/>
  <c r="K682" i="2"/>
  <c r="J683" i="2"/>
  <c r="K683" i="2"/>
  <c r="J684" i="2"/>
  <c r="K684" i="2"/>
  <c r="J685" i="2"/>
  <c r="K685" i="2"/>
  <c r="J686" i="2"/>
  <c r="K686" i="2"/>
  <c r="J687" i="2"/>
  <c r="K687" i="2"/>
  <c r="J688" i="2"/>
  <c r="K688" i="2"/>
  <c r="J689" i="2"/>
  <c r="K689" i="2"/>
  <c r="J690" i="2"/>
  <c r="K690" i="2"/>
  <c r="J691" i="2"/>
  <c r="K691" i="2"/>
  <c r="J692" i="2"/>
  <c r="K692" i="2"/>
  <c r="J693" i="2"/>
  <c r="K693" i="2"/>
  <c r="J694" i="2"/>
  <c r="K694" i="2"/>
  <c r="J695" i="2"/>
  <c r="K695" i="2"/>
  <c r="J696" i="2"/>
  <c r="K696" i="2"/>
  <c r="J697" i="2"/>
  <c r="K697" i="2"/>
  <c r="J698" i="2"/>
  <c r="K698" i="2"/>
  <c r="J699" i="2"/>
  <c r="K699" i="2"/>
  <c r="J700" i="2"/>
  <c r="K700" i="2"/>
  <c r="J701" i="2"/>
  <c r="K701" i="2"/>
  <c r="J702" i="2"/>
  <c r="K702" i="2"/>
  <c r="J703" i="2"/>
  <c r="K703" i="2"/>
  <c r="J704" i="2"/>
  <c r="K704" i="2"/>
  <c r="J705" i="2"/>
  <c r="K705" i="2"/>
  <c r="J706" i="2"/>
  <c r="K706" i="2"/>
  <c r="J707" i="2"/>
  <c r="K707" i="2"/>
  <c r="J708" i="2"/>
  <c r="K708" i="2"/>
  <c r="J709" i="2"/>
  <c r="K709" i="2"/>
  <c r="J710" i="2"/>
  <c r="K710" i="2"/>
  <c r="J711" i="2"/>
  <c r="K711" i="2"/>
  <c r="J712" i="2"/>
  <c r="K712" i="2"/>
  <c r="J713" i="2"/>
  <c r="K713" i="2"/>
  <c r="J714" i="2"/>
  <c r="K714" i="2"/>
  <c r="J715" i="2"/>
  <c r="K715" i="2"/>
  <c r="J716" i="2"/>
  <c r="K716" i="2"/>
  <c r="J717" i="2"/>
  <c r="K717" i="2"/>
  <c r="J718" i="2"/>
  <c r="K718" i="2"/>
  <c r="J719" i="2"/>
  <c r="K719" i="2"/>
  <c r="J720" i="2"/>
  <c r="K720" i="2"/>
  <c r="J721" i="2"/>
  <c r="K721" i="2"/>
  <c r="J722" i="2"/>
  <c r="K722" i="2"/>
  <c r="J723" i="2"/>
  <c r="K723" i="2"/>
  <c r="J724" i="2"/>
  <c r="K724" i="2"/>
  <c r="J725" i="2"/>
  <c r="K725" i="2"/>
  <c r="J726" i="2"/>
  <c r="K726" i="2"/>
  <c r="J727" i="2"/>
  <c r="K727" i="2"/>
  <c r="J728" i="2"/>
  <c r="K728" i="2"/>
  <c r="J729" i="2"/>
  <c r="K729" i="2"/>
  <c r="J730" i="2"/>
  <c r="K730" i="2"/>
  <c r="J731" i="2"/>
  <c r="K731" i="2"/>
  <c r="J732" i="2"/>
  <c r="K732" i="2"/>
  <c r="J733" i="2"/>
  <c r="K733" i="2"/>
  <c r="J734" i="2"/>
  <c r="K734" i="2"/>
  <c r="J735" i="2"/>
  <c r="K735" i="2"/>
  <c r="J736" i="2"/>
  <c r="K736" i="2"/>
  <c r="J737" i="2"/>
  <c r="K737" i="2"/>
  <c r="J738" i="2"/>
  <c r="K738" i="2"/>
  <c r="J739" i="2"/>
  <c r="K739" i="2"/>
  <c r="J740" i="2"/>
  <c r="K740" i="2"/>
  <c r="J741" i="2"/>
  <c r="K741" i="2"/>
  <c r="J742" i="2"/>
  <c r="K742" i="2"/>
  <c r="J743" i="2"/>
  <c r="K743" i="2"/>
  <c r="J744" i="2"/>
  <c r="K744" i="2"/>
  <c r="J745" i="2"/>
  <c r="K745" i="2"/>
  <c r="J746" i="2"/>
  <c r="K746" i="2"/>
  <c r="J747" i="2"/>
  <c r="K747" i="2"/>
  <c r="J748" i="2"/>
  <c r="K748" i="2"/>
  <c r="J749" i="2"/>
  <c r="K749" i="2"/>
  <c r="J750" i="2"/>
  <c r="K750" i="2"/>
  <c r="J751" i="2"/>
  <c r="K751" i="2"/>
  <c r="J752" i="2"/>
  <c r="K752" i="2"/>
  <c r="J753" i="2"/>
  <c r="K753" i="2"/>
  <c r="J754" i="2"/>
  <c r="K754" i="2"/>
  <c r="J755" i="2"/>
  <c r="K755" i="2"/>
  <c r="J756" i="2"/>
  <c r="K756" i="2"/>
  <c r="J757" i="2"/>
  <c r="K757" i="2"/>
  <c r="J758" i="2"/>
  <c r="K758" i="2"/>
  <c r="J759" i="2"/>
  <c r="K759" i="2"/>
  <c r="J760" i="2"/>
  <c r="K760" i="2"/>
  <c r="J761" i="2"/>
  <c r="K761" i="2"/>
  <c r="J762" i="2"/>
  <c r="K762" i="2"/>
  <c r="J763" i="2"/>
  <c r="K763" i="2"/>
  <c r="J764" i="2"/>
  <c r="K764" i="2"/>
  <c r="J765" i="2"/>
  <c r="K765" i="2"/>
  <c r="J766" i="2"/>
  <c r="K766" i="2"/>
  <c r="J767" i="2"/>
  <c r="K767" i="2"/>
  <c r="J768" i="2"/>
  <c r="K768" i="2"/>
  <c r="J769" i="2"/>
  <c r="K769" i="2"/>
  <c r="J770" i="2"/>
  <c r="K770" i="2"/>
  <c r="J771" i="2"/>
  <c r="K771" i="2"/>
  <c r="J772" i="2"/>
  <c r="K772" i="2"/>
  <c r="J773" i="2"/>
  <c r="K773" i="2"/>
  <c r="J774" i="2"/>
  <c r="K774" i="2"/>
  <c r="J775" i="2"/>
  <c r="K775" i="2"/>
  <c r="J776" i="2"/>
  <c r="K776" i="2"/>
  <c r="J777" i="2"/>
  <c r="K777" i="2"/>
  <c r="J778" i="2"/>
  <c r="K778" i="2"/>
  <c r="J779" i="2"/>
  <c r="K779" i="2"/>
  <c r="J780" i="2"/>
  <c r="K780" i="2"/>
  <c r="J781" i="2"/>
  <c r="K781" i="2"/>
  <c r="J782" i="2"/>
  <c r="K782" i="2"/>
  <c r="J783" i="2"/>
  <c r="K783" i="2"/>
  <c r="J784" i="2"/>
  <c r="K784" i="2"/>
  <c r="J785" i="2"/>
  <c r="K785" i="2"/>
  <c r="J786" i="2"/>
  <c r="K786" i="2"/>
  <c r="J787" i="2"/>
  <c r="K787" i="2"/>
  <c r="J788" i="2"/>
  <c r="K788" i="2"/>
  <c r="J789" i="2"/>
  <c r="K789" i="2"/>
  <c r="J790" i="2"/>
  <c r="K790" i="2"/>
  <c r="J791" i="2"/>
  <c r="K791" i="2"/>
  <c r="J792" i="2"/>
  <c r="K792" i="2"/>
  <c r="J793" i="2"/>
  <c r="K793" i="2"/>
  <c r="J794" i="2"/>
  <c r="K794" i="2"/>
  <c r="J795" i="2"/>
  <c r="K795" i="2"/>
  <c r="J796" i="2"/>
  <c r="K796" i="2"/>
  <c r="J797" i="2"/>
  <c r="K797" i="2"/>
  <c r="J798" i="2"/>
  <c r="K798" i="2"/>
  <c r="J799" i="2"/>
  <c r="K799" i="2"/>
  <c r="J800" i="2"/>
  <c r="K800" i="2"/>
  <c r="J801" i="2"/>
  <c r="K801" i="2"/>
  <c r="J802" i="2"/>
  <c r="K802" i="2"/>
  <c r="J803" i="2"/>
  <c r="K803" i="2"/>
  <c r="J804" i="2"/>
  <c r="K804" i="2"/>
  <c r="J805" i="2"/>
  <c r="K805" i="2"/>
  <c r="J806" i="2"/>
  <c r="K806" i="2"/>
  <c r="J807" i="2"/>
  <c r="K807" i="2"/>
  <c r="J808" i="2"/>
  <c r="K808" i="2"/>
  <c r="J809" i="2"/>
  <c r="K809" i="2"/>
  <c r="J810" i="2"/>
  <c r="K810" i="2"/>
  <c r="J811" i="2"/>
  <c r="K811" i="2"/>
  <c r="J812" i="2"/>
  <c r="K812" i="2"/>
  <c r="J813" i="2"/>
  <c r="K813" i="2"/>
  <c r="J814" i="2"/>
  <c r="K814" i="2"/>
  <c r="J815" i="2"/>
  <c r="K815" i="2"/>
  <c r="J816" i="2"/>
  <c r="K816" i="2"/>
  <c r="J817" i="2"/>
  <c r="K817" i="2"/>
  <c r="J818" i="2"/>
  <c r="K818" i="2"/>
  <c r="J819" i="2"/>
  <c r="K819" i="2"/>
  <c r="J820" i="2"/>
  <c r="K820" i="2"/>
  <c r="J821" i="2"/>
  <c r="K821" i="2"/>
  <c r="J822" i="2"/>
  <c r="K822" i="2"/>
  <c r="J823" i="2"/>
  <c r="K823" i="2"/>
  <c r="J824" i="2"/>
  <c r="K824" i="2"/>
  <c r="J825" i="2"/>
  <c r="K825" i="2"/>
  <c r="J826" i="2"/>
  <c r="K826" i="2"/>
  <c r="J827" i="2"/>
  <c r="K827" i="2"/>
  <c r="J828" i="2"/>
  <c r="K828" i="2"/>
  <c r="J829" i="2"/>
  <c r="K829" i="2"/>
  <c r="J830" i="2"/>
  <c r="K830" i="2"/>
  <c r="J831" i="2"/>
  <c r="K831" i="2"/>
  <c r="J832" i="2"/>
  <c r="K832" i="2"/>
  <c r="J833" i="2"/>
  <c r="K833" i="2"/>
  <c r="J834" i="2"/>
  <c r="K834" i="2"/>
  <c r="J835" i="2"/>
  <c r="K835" i="2"/>
  <c r="J836" i="2"/>
  <c r="K836" i="2"/>
  <c r="J837" i="2"/>
  <c r="K837" i="2"/>
  <c r="J838" i="2"/>
  <c r="K838" i="2"/>
  <c r="J839" i="2"/>
  <c r="K839" i="2"/>
  <c r="J840" i="2"/>
  <c r="K840" i="2"/>
  <c r="J841" i="2"/>
  <c r="K841" i="2"/>
  <c r="J842" i="2"/>
  <c r="K842" i="2"/>
  <c r="J843" i="2"/>
  <c r="K843" i="2"/>
  <c r="J844" i="2"/>
  <c r="K844" i="2"/>
  <c r="J845" i="2"/>
  <c r="K845" i="2"/>
  <c r="J846" i="2"/>
  <c r="K846" i="2"/>
  <c r="J847" i="2"/>
  <c r="K847" i="2"/>
  <c r="J848" i="2"/>
  <c r="K848" i="2"/>
  <c r="J849" i="2"/>
  <c r="K849" i="2"/>
  <c r="J850" i="2"/>
  <c r="K850" i="2"/>
  <c r="J851" i="2"/>
  <c r="K851" i="2"/>
  <c r="J852" i="2"/>
  <c r="K852" i="2"/>
  <c r="J853" i="2"/>
  <c r="K853" i="2"/>
  <c r="J854" i="2"/>
  <c r="K854" i="2"/>
  <c r="J855" i="2"/>
  <c r="K855" i="2"/>
  <c r="J856" i="2"/>
  <c r="K856" i="2"/>
  <c r="J857" i="2"/>
  <c r="K857" i="2"/>
  <c r="J858" i="2"/>
  <c r="K858" i="2"/>
  <c r="J859" i="2"/>
  <c r="K859" i="2"/>
  <c r="J860" i="2"/>
  <c r="K860" i="2"/>
  <c r="J861" i="2"/>
  <c r="K861" i="2"/>
  <c r="J862" i="2"/>
  <c r="K862" i="2"/>
  <c r="J863" i="2"/>
  <c r="K863" i="2"/>
  <c r="J864" i="2"/>
  <c r="K864" i="2"/>
  <c r="J865" i="2"/>
  <c r="K865" i="2"/>
  <c r="J866" i="2"/>
  <c r="K866" i="2"/>
  <c r="J867" i="2"/>
  <c r="K867" i="2"/>
  <c r="J868" i="2"/>
  <c r="K868" i="2"/>
  <c r="J869" i="2"/>
  <c r="K869" i="2"/>
  <c r="J870" i="2"/>
  <c r="K870" i="2"/>
  <c r="J871" i="2"/>
  <c r="K871" i="2"/>
  <c r="J872" i="2"/>
  <c r="K872" i="2"/>
  <c r="J873" i="2"/>
  <c r="K873" i="2"/>
  <c r="J874" i="2"/>
  <c r="K874" i="2"/>
  <c r="J875" i="2"/>
  <c r="K875" i="2"/>
  <c r="J876" i="2"/>
  <c r="K876" i="2"/>
  <c r="J877" i="2"/>
  <c r="K877" i="2"/>
  <c r="J878" i="2"/>
  <c r="K878" i="2"/>
  <c r="J879" i="2"/>
  <c r="K879" i="2"/>
  <c r="J880" i="2"/>
  <c r="K880" i="2"/>
  <c r="J881" i="2"/>
  <c r="K881" i="2"/>
  <c r="J882" i="2"/>
  <c r="K882" i="2"/>
  <c r="J883" i="2"/>
  <c r="K883" i="2"/>
  <c r="J884" i="2"/>
  <c r="K884" i="2"/>
  <c r="J885" i="2"/>
  <c r="K885" i="2"/>
  <c r="J886" i="2"/>
  <c r="K886" i="2"/>
  <c r="J887" i="2"/>
  <c r="K887" i="2"/>
  <c r="J888" i="2"/>
  <c r="K888" i="2"/>
  <c r="J889" i="2"/>
  <c r="K889" i="2"/>
  <c r="J890" i="2"/>
  <c r="K890" i="2"/>
  <c r="J891" i="2"/>
  <c r="K891" i="2"/>
  <c r="J892" i="2"/>
  <c r="K892" i="2"/>
  <c r="J893" i="2"/>
  <c r="K893" i="2"/>
  <c r="J894" i="2"/>
  <c r="K894" i="2"/>
  <c r="J895" i="2"/>
  <c r="K895" i="2"/>
  <c r="J896" i="2"/>
  <c r="K896" i="2"/>
  <c r="J897" i="2"/>
  <c r="K897" i="2"/>
  <c r="J898" i="2"/>
  <c r="K898" i="2"/>
  <c r="J899" i="2"/>
  <c r="K899" i="2"/>
  <c r="J900" i="2"/>
  <c r="K900" i="2"/>
  <c r="J901" i="2"/>
  <c r="K901" i="2"/>
  <c r="J902" i="2"/>
  <c r="K902" i="2"/>
  <c r="J903" i="2"/>
  <c r="K903" i="2"/>
  <c r="J904" i="2"/>
  <c r="K904" i="2"/>
  <c r="J905" i="2"/>
  <c r="K905" i="2"/>
  <c r="J906" i="2"/>
  <c r="K906" i="2"/>
  <c r="J907" i="2"/>
  <c r="K907" i="2"/>
  <c r="J908" i="2"/>
  <c r="K908" i="2"/>
  <c r="J909" i="2"/>
  <c r="K909" i="2"/>
  <c r="J910" i="2"/>
  <c r="K910" i="2"/>
  <c r="J911" i="2"/>
  <c r="K911" i="2"/>
  <c r="J912" i="2"/>
  <c r="K912" i="2"/>
  <c r="J913" i="2"/>
  <c r="K913" i="2"/>
  <c r="J914" i="2"/>
  <c r="K914" i="2"/>
  <c r="J915" i="2"/>
  <c r="K915" i="2"/>
  <c r="J916" i="2"/>
  <c r="K916" i="2"/>
  <c r="J917" i="2"/>
  <c r="K917" i="2"/>
  <c r="J918" i="2"/>
  <c r="K918" i="2"/>
  <c r="J919" i="2"/>
  <c r="K919" i="2"/>
  <c r="J920" i="2"/>
  <c r="K920" i="2"/>
  <c r="J921" i="2"/>
  <c r="K921" i="2"/>
  <c r="J922" i="2"/>
  <c r="K922" i="2"/>
  <c r="J923" i="2"/>
  <c r="K923" i="2"/>
  <c r="J924" i="2"/>
  <c r="K924" i="2"/>
  <c r="J925" i="2"/>
  <c r="K925" i="2"/>
  <c r="J926" i="2"/>
  <c r="K926" i="2"/>
  <c r="J927" i="2"/>
  <c r="K927" i="2"/>
  <c r="J928" i="2"/>
  <c r="K928" i="2"/>
  <c r="J929" i="2"/>
  <c r="K929" i="2"/>
  <c r="J930" i="2"/>
  <c r="K930" i="2"/>
  <c r="J931" i="2"/>
  <c r="K931" i="2"/>
  <c r="J932" i="2"/>
  <c r="K932" i="2"/>
  <c r="J933" i="2"/>
  <c r="K933" i="2"/>
  <c r="J934" i="2"/>
  <c r="K934" i="2"/>
  <c r="J935" i="2"/>
  <c r="K935" i="2"/>
  <c r="J936" i="2"/>
  <c r="K936" i="2"/>
  <c r="J937" i="2"/>
  <c r="K937" i="2"/>
  <c r="J938" i="2"/>
  <c r="K938" i="2"/>
  <c r="J939" i="2"/>
  <c r="K939" i="2"/>
  <c r="J940" i="2"/>
  <c r="K940" i="2"/>
  <c r="J941" i="2"/>
  <c r="K941" i="2"/>
  <c r="J942" i="2"/>
  <c r="K942" i="2"/>
  <c r="J943" i="2"/>
  <c r="K943" i="2"/>
  <c r="J944" i="2"/>
  <c r="K944" i="2"/>
  <c r="J945" i="2"/>
  <c r="K945" i="2"/>
  <c r="J946" i="2"/>
  <c r="K946" i="2"/>
  <c r="J947" i="2"/>
  <c r="K947" i="2"/>
  <c r="J948" i="2"/>
  <c r="K948" i="2"/>
  <c r="J949" i="2"/>
  <c r="K949" i="2"/>
  <c r="J950" i="2"/>
  <c r="K950" i="2"/>
  <c r="J951" i="2"/>
  <c r="K951" i="2"/>
  <c r="J952" i="2"/>
  <c r="K952" i="2"/>
  <c r="J953" i="2"/>
  <c r="K953" i="2"/>
  <c r="J954" i="2"/>
  <c r="K954" i="2"/>
  <c r="J955" i="2"/>
  <c r="K955" i="2"/>
  <c r="J956" i="2"/>
  <c r="K956" i="2"/>
  <c r="J957" i="2"/>
  <c r="K957" i="2"/>
  <c r="J958" i="2"/>
  <c r="K958" i="2"/>
  <c r="J959" i="2"/>
  <c r="K959" i="2"/>
  <c r="J960" i="2"/>
  <c r="K960" i="2"/>
  <c r="J961" i="2"/>
  <c r="K961" i="2"/>
  <c r="J962" i="2"/>
  <c r="K962" i="2"/>
  <c r="J963" i="2"/>
  <c r="K963" i="2"/>
  <c r="J964" i="2"/>
  <c r="K964" i="2"/>
  <c r="J965" i="2"/>
  <c r="K965" i="2"/>
  <c r="J966" i="2"/>
  <c r="K966" i="2"/>
  <c r="J967" i="2"/>
  <c r="K967" i="2"/>
  <c r="J968" i="2"/>
  <c r="K968" i="2"/>
  <c r="J969" i="2"/>
  <c r="K969" i="2"/>
  <c r="J970" i="2"/>
  <c r="K970" i="2"/>
  <c r="J971" i="2"/>
  <c r="K971" i="2"/>
  <c r="J972" i="2"/>
  <c r="K972" i="2"/>
  <c r="J973" i="2"/>
  <c r="K973" i="2"/>
  <c r="J974" i="2"/>
  <c r="K974" i="2"/>
  <c r="J975" i="2"/>
  <c r="K975" i="2"/>
  <c r="J976" i="2"/>
  <c r="K976" i="2"/>
  <c r="J977" i="2"/>
  <c r="K977" i="2"/>
  <c r="J978" i="2"/>
  <c r="K978" i="2"/>
  <c r="J979" i="2"/>
  <c r="K979" i="2"/>
  <c r="J980" i="2"/>
  <c r="K980" i="2"/>
  <c r="J981" i="2"/>
  <c r="K981" i="2"/>
  <c r="J982" i="2"/>
  <c r="K982" i="2"/>
  <c r="J983" i="2"/>
  <c r="K983" i="2"/>
  <c r="J984" i="2"/>
  <c r="K984" i="2"/>
  <c r="J985" i="2"/>
  <c r="K985" i="2"/>
  <c r="J986" i="2"/>
  <c r="K986" i="2"/>
  <c r="J987" i="2"/>
  <c r="K987" i="2"/>
  <c r="J988" i="2"/>
  <c r="K988" i="2"/>
  <c r="J989" i="2"/>
  <c r="K989" i="2"/>
  <c r="J990" i="2"/>
  <c r="K990" i="2"/>
  <c r="J991" i="2"/>
  <c r="K991" i="2"/>
  <c r="J992" i="2"/>
  <c r="K992" i="2"/>
  <c r="J993" i="2"/>
  <c r="K993" i="2"/>
  <c r="J994" i="2"/>
  <c r="K994" i="2"/>
  <c r="J995" i="2"/>
  <c r="K995" i="2"/>
  <c r="J996" i="2"/>
  <c r="K996" i="2"/>
  <c r="J997" i="2"/>
  <c r="K997" i="2"/>
  <c r="J998" i="2"/>
  <c r="K998" i="2"/>
  <c r="J999" i="2"/>
  <c r="K999" i="2"/>
  <c r="J1000" i="2"/>
  <c r="K1000" i="2"/>
  <c r="J1001" i="2"/>
  <c r="K1001" i="2"/>
  <c r="J1002" i="2"/>
  <c r="K1002" i="2"/>
  <c r="J1003" i="2"/>
  <c r="K1003" i="2"/>
  <c r="J1004" i="2"/>
  <c r="K1004" i="2"/>
  <c r="J1005" i="2"/>
  <c r="K1005" i="2"/>
  <c r="J1006" i="2"/>
  <c r="K1006" i="2"/>
  <c r="J1007" i="2"/>
  <c r="K1007" i="2"/>
  <c r="J1008" i="2"/>
  <c r="K1008" i="2"/>
  <c r="J1009" i="2"/>
  <c r="K1009" i="2"/>
  <c r="J1010" i="2"/>
  <c r="K1010" i="2"/>
  <c r="J1011" i="2"/>
  <c r="K1011" i="2"/>
  <c r="J1012" i="2"/>
  <c r="K1012" i="2"/>
  <c r="J1013" i="2"/>
  <c r="K1013" i="2"/>
  <c r="J1014" i="2"/>
  <c r="K1014" i="2"/>
  <c r="J1015" i="2"/>
  <c r="K1015" i="2"/>
  <c r="J1016" i="2"/>
  <c r="K1016" i="2"/>
  <c r="J1017" i="2"/>
  <c r="K1017" i="2"/>
  <c r="J1018" i="2"/>
  <c r="K1018" i="2"/>
  <c r="J1019" i="2"/>
  <c r="K1019" i="2"/>
  <c r="J1020" i="2"/>
  <c r="K1020" i="2"/>
  <c r="J1021" i="2"/>
  <c r="K1021" i="2"/>
  <c r="J1022" i="2"/>
  <c r="K1022" i="2"/>
  <c r="J1023" i="2"/>
  <c r="K1023" i="2"/>
  <c r="J1024" i="2"/>
  <c r="K1024" i="2"/>
  <c r="J1025" i="2"/>
  <c r="K1025" i="2"/>
  <c r="J1026" i="2"/>
  <c r="K1026" i="2"/>
  <c r="J1027" i="2"/>
  <c r="K1027" i="2"/>
  <c r="J1028" i="2"/>
  <c r="K1028" i="2"/>
  <c r="J1029" i="2"/>
  <c r="K1029" i="2"/>
  <c r="J1030" i="2"/>
  <c r="K1030" i="2"/>
  <c r="J1031" i="2"/>
  <c r="K1031" i="2"/>
  <c r="J1032" i="2"/>
  <c r="K1032" i="2"/>
  <c r="J1033" i="2"/>
  <c r="K1033" i="2"/>
  <c r="J1034" i="2"/>
  <c r="K1034" i="2"/>
  <c r="J1035" i="2"/>
  <c r="K1035" i="2"/>
  <c r="J1036" i="2"/>
  <c r="K1036" i="2"/>
  <c r="J1037" i="2"/>
  <c r="K1037" i="2"/>
  <c r="J1038" i="2"/>
  <c r="K1038" i="2"/>
  <c r="J1039" i="2"/>
  <c r="K1039" i="2"/>
  <c r="J1040" i="2"/>
  <c r="K1040" i="2"/>
  <c r="J1041" i="2"/>
  <c r="K1041" i="2"/>
  <c r="J1042" i="2"/>
  <c r="K1042" i="2"/>
  <c r="J1043" i="2"/>
  <c r="K1043" i="2"/>
  <c r="J1044" i="2"/>
  <c r="K1044" i="2"/>
  <c r="J1045" i="2"/>
  <c r="K1045" i="2"/>
  <c r="J1046" i="2"/>
  <c r="K1046" i="2"/>
  <c r="J1047" i="2"/>
  <c r="K1047" i="2"/>
  <c r="J1048" i="2"/>
  <c r="K1048" i="2"/>
  <c r="J1049" i="2"/>
  <c r="K1049" i="2"/>
  <c r="J1050" i="2"/>
  <c r="K1050" i="2"/>
  <c r="J1051" i="2"/>
  <c r="K1051" i="2"/>
  <c r="J1052" i="2"/>
  <c r="K1052" i="2"/>
  <c r="J1053" i="2"/>
  <c r="K1053" i="2"/>
  <c r="J1054" i="2"/>
  <c r="K1054" i="2"/>
  <c r="J1055" i="2"/>
  <c r="K1055" i="2"/>
  <c r="J1056" i="2"/>
  <c r="K1056" i="2"/>
  <c r="J1057" i="2"/>
  <c r="K1057" i="2"/>
  <c r="J1058" i="2"/>
  <c r="K1058" i="2"/>
  <c r="J1059" i="2"/>
  <c r="K1059" i="2"/>
  <c r="J1060" i="2"/>
  <c r="K1060" i="2"/>
  <c r="J1061" i="2"/>
  <c r="K1061" i="2"/>
  <c r="J1062" i="2"/>
  <c r="K1062" i="2"/>
  <c r="J1063" i="2"/>
  <c r="K1063" i="2"/>
  <c r="J1064" i="2"/>
  <c r="K1064" i="2"/>
  <c r="J1065" i="2"/>
  <c r="K1065" i="2"/>
  <c r="J1066" i="2"/>
  <c r="K1066" i="2"/>
  <c r="J1067" i="2"/>
  <c r="K1067" i="2"/>
  <c r="J1068" i="2"/>
  <c r="K1068" i="2"/>
  <c r="J1069" i="2"/>
  <c r="K1069" i="2"/>
  <c r="J1070" i="2"/>
  <c r="K1070" i="2"/>
  <c r="J1071" i="2"/>
  <c r="K1071" i="2"/>
  <c r="J1072" i="2"/>
  <c r="K1072" i="2"/>
  <c r="J1073" i="2"/>
  <c r="K1073" i="2"/>
  <c r="J1074" i="2"/>
  <c r="K1074" i="2"/>
  <c r="J1075" i="2"/>
  <c r="K1075" i="2"/>
  <c r="J1076" i="2"/>
  <c r="K1076" i="2"/>
  <c r="J1077" i="2"/>
  <c r="K1077" i="2"/>
  <c r="J1078" i="2"/>
  <c r="K1078" i="2"/>
  <c r="J1079" i="2"/>
  <c r="K1079" i="2"/>
  <c r="J1080" i="2"/>
  <c r="K1080" i="2"/>
  <c r="J1081" i="2"/>
  <c r="K1081" i="2"/>
  <c r="J1082" i="2"/>
  <c r="K1082" i="2"/>
  <c r="J1083" i="2"/>
  <c r="K1083" i="2"/>
  <c r="J1084" i="2"/>
  <c r="K1084" i="2"/>
  <c r="J1085" i="2"/>
  <c r="K1085" i="2"/>
  <c r="J1086" i="2"/>
  <c r="K1086" i="2"/>
  <c r="J1087" i="2"/>
  <c r="K1087" i="2"/>
  <c r="J1088" i="2"/>
  <c r="K1088" i="2"/>
  <c r="J1089" i="2"/>
  <c r="K1089" i="2"/>
  <c r="J1090" i="2"/>
  <c r="K1090" i="2"/>
  <c r="J1091" i="2"/>
  <c r="K1091" i="2"/>
  <c r="J1092" i="2"/>
  <c r="K1092" i="2"/>
  <c r="J1093" i="2"/>
  <c r="K1093" i="2"/>
  <c r="J1094" i="2"/>
  <c r="K1094" i="2"/>
  <c r="J1095" i="2"/>
  <c r="K1095" i="2"/>
  <c r="J1096" i="2"/>
  <c r="K1096" i="2"/>
  <c r="J1097" i="2"/>
  <c r="K1097" i="2"/>
  <c r="J1098" i="2"/>
  <c r="K1098" i="2"/>
  <c r="J1099" i="2"/>
  <c r="K1099" i="2"/>
  <c r="J1100" i="2"/>
  <c r="K1100" i="2"/>
  <c r="J1101" i="2"/>
  <c r="K1101" i="2"/>
  <c r="J1102" i="2"/>
  <c r="K1102" i="2"/>
  <c r="J1103" i="2"/>
  <c r="K1103" i="2"/>
  <c r="J1104" i="2"/>
  <c r="K1104" i="2"/>
  <c r="J1105" i="2"/>
  <c r="K1105" i="2"/>
  <c r="J1106" i="2"/>
  <c r="K1106" i="2"/>
  <c r="J1107" i="2"/>
  <c r="K1107" i="2"/>
  <c r="J1108" i="2"/>
  <c r="K1108" i="2"/>
  <c r="J1109" i="2"/>
  <c r="K1109" i="2"/>
  <c r="J1110" i="2"/>
  <c r="K1110" i="2"/>
  <c r="J1111" i="2"/>
  <c r="K1111" i="2"/>
  <c r="J1112" i="2"/>
  <c r="K1112" i="2"/>
  <c r="J1113" i="2"/>
  <c r="K1113" i="2"/>
  <c r="J1114" i="2"/>
  <c r="K1114" i="2"/>
  <c r="J1115" i="2"/>
  <c r="K1115" i="2"/>
  <c r="J1116" i="2"/>
  <c r="K1116" i="2"/>
  <c r="J1117" i="2"/>
  <c r="K1117" i="2"/>
  <c r="J1118" i="2"/>
  <c r="K1118" i="2"/>
  <c r="J1119" i="2"/>
  <c r="K1119" i="2"/>
  <c r="J1120" i="2"/>
  <c r="K1120" i="2"/>
  <c r="J1121" i="2"/>
  <c r="K1121" i="2"/>
  <c r="J1122" i="2"/>
  <c r="K1122" i="2"/>
  <c r="J1123" i="2"/>
  <c r="K1123" i="2"/>
  <c r="J1124" i="2"/>
  <c r="K1124" i="2"/>
  <c r="J1125" i="2"/>
  <c r="K1125" i="2"/>
  <c r="J1126" i="2"/>
  <c r="K1126" i="2"/>
  <c r="J1127" i="2"/>
  <c r="K1127" i="2"/>
  <c r="J1128" i="2"/>
  <c r="K1128" i="2"/>
  <c r="J1129" i="2"/>
  <c r="K1129" i="2"/>
  <c r="J1130" i="2"/>
  <c r="K1130" i="2"/>
  <c r="J1131" i="2"/>
  <c r="K1131" i="2"/>
  <c r="J1132" i="2"/>
  <c r="K1132" i="2"/>
  <c r="J1133" i="2"/>
  <c r="K1133" i="2"/>
  <c r="J1134" i="2"/>
  <c r="K1134" i="2"/>
  <c r="J1135" i="2"/>
  <c r="K1135" i="2"/>
  <c r="J1136" i="2"/>
  <c r="K1136" i="2"/>
  <c r="J1137" i="2"/>
  <c r="K1137" i="2"/>
  <c r="J1138" i="2"/>
  <c r="K1138" i="2"/>
  <c r="J1139" i="2"/>
  <c r="K1139" i="2"/>
  <c r="J1140" i="2"/>
  <c r="K1140" i="2"/>
  <c r="J1141" i="2"/>
  <c r="K1141" i="2"/>
  <c r="J1142" i="2"/>
  <c r="K1142" i="2"/>
  <c r="J1143" i="2"/>
  <c r="K1143" i="2"/>
  <c r="J1144" i="2"/>
  <c r="K1144" i="2"/>
  <c r="J1145" i="2"/>
  <c r="K1145" i="2"/>
  <c r="J1146" i="2"/>
  <c r="K1146" i="2"/>
  <c r="J1147" i="2"/>
  <c r="K1147" i="2"/>
  <c r="J1148" i="2"/>
  <c r="K1148" i="2"/>
  <c r="J1149" i="2"/>
  <c r="K1149" i="2"/>
  <c r="J1150" i="2"/>
  <c r="K1150" i="2"/>
  <c r="J1151" i="2"/>
  <c r="K1151" i="2"/>
  <c r="J1152" i="2"/>
  <c r="K1152" i="2"/>
  <c r="J1153" i="2"/>
  <c r="K1153" i="2"/>
  <c r="J1154" i="2"/>
  <c r="K1154" i="2"/>
  <c r="J1155" i="2"/>
  <c r="K1155" i="2"/>
  <c r="J1156" i="2"/>
  <c r="K1156" i="2"/>
  <c r="J1157" i="2"/>
  <c r="K1157" i="2"/>
  <c r="J1158" i="2"/>
  <c r="K1158" i="2"/>
  <c r="J1159" i="2"/>
  <c r="K1159" i="2"/>
  <c r="J1160" i="2"/>
  <c r="K1160" i="2"/>
  <c r="J1161" i="2"/>
  <c r="K1161" i="2"/>
  <c r="J1162" i="2"/>
  <c r="K1162" i="2"/>
  <c r="J1163" i="2"/>
  <c r="K1163" i="2"/>
  <c r="J1164" i="2"/>
  <c r="K1164" i="2"/>
  <c r="J1165" i="2"/>
  <c r="K1165" i="2"/>
  <c r="J1166" i="2"/>
  <c r="K1166" i="2"/>
  <c r="J1167" i="2"/>
  <c r="K1167" i="2"/>
  <c r="J1168" i="2"/>
  <c r="K1168" i="2"/>
  <c r="J1169" i="2"/>
  <c r="K1169" i="2"/>
  <c r="J1170" i="2"/>
  <c r="K1170" i="2"/>
  <c r="J1171" i="2"/>
  <c r="K1171" i="2"/>
  <c r="J1172" i="2"/>
  <c r="K1172" i="2"/>
  <c r="J1173" i="2"/>
  <c r="K1173" i="2"/>
  <c r="J1174" i="2"/>
  <c r="K1174" i="2"/>
  <c r="J1175" i="2"/>
  <c r="K1175" i="2"/>
  <c r="J1176" i="2"/>
  <c r="K1176" i="2"/>
  <c r="J1177" i="2"/>
  <c r="K1177" i="2"/>
  <c r="J1178" i="2"/>
  <c r="K1178" i="2"/>
  <c r="J1179" i="2"/>
  <c r="K1179" i="2"/>
  <c r="J1180" i="2"/>
  <c r="K1180" i="2"/>
  <c r="J1181" i="2"/>
  <c r="K1181" i="2"/>
  <c r="J1182" i="2"/>
  <c r="K1182" i="2"/>
  <c r="J1183" i="2"/>
  <c r="K1183" i="2"/>
  <c r="J1184" i="2"/>
  <c r="K1184" i="2"/>
  <c r="J1185" i="2"/>
  <c r="K1185" i="2"/>
  <c r="J1186" i="2"/>
  <c r="K1186" i="2"/>
  <c r="J1187" i="2"/>
  <c r="K1187" i="2"/>
  <c r="J1188" i="2"/>
  <c r="K1188" i="2"/>
  <c r="J1189" i="2"/>
  <c r="K1189" i="2"/>
  <c r="J1190" i="2"/>
  <c r="K1190" i="2"/>
  <c r="J1191" i="2"/>
  <c r="K1191" i="2"/>
  <c r="J1192" i="2"/>
  <c r="K1192" i="2"/>
  <c r="J1193" i="2"/>
  <c r="K1193" i="2"/>
  <c r="J1194" i="2"/>
  <c r="K1194" i="2"/>
  <c r="J1195" i="2"/>
  <c r="K1195" i="2"/>
  <c r="J1196" i="2"/>
  <c r="K1196" i="2"/>
  <c r="J1197" i="2"/>
  <c r="K1197" i="2"/>
  <c r="J1198" i="2"/>
  <c r="K1198" i="2"/>
  <c r="J1199" i="2"/>
  <c r="K1199" i="2"/>
  <c r="J1200" i="2"/>
  <c r="K1200" i="2"/>
  <c r="J1201" i="2"/>
  <c r="K1201" i="2"/>
  <c r="J1202" i="2"/>
  <c r="K1202" i="2"/>
  <c r="J1203" i="2"/>
  <c r="K1203" i="2"/>
  <c r="J1204" i="2"/>
  <c r="K1204" i="2"/>
  <c r="J1205" i="2"/>
  <c r="K1205" i="2"/>
  <c r="J1206" i="2"/>
  <c r="K1206" i="2"/>
  <c r="J1207" i="2"/>
  <c r="K1207" i="2"/>
  <c r="J1208" i="2"/>
  <c r="K1208" i="2"/>
  <c r="J1209" i="2"/>
  <c r="K1209" i="2"/>
  <c r="J1210" i="2"/>
  <c r="K1210" i="2"/>
  <c r="J1211" i="2"/>
  <c r="K1211" i="2"/>
  <c r="J1212" i="2"/>
  <c r="K1212" i="2"/>
  <c r="J1213" i="2"/>
  <c r="K1213" i="2"/>
  <c r="J1214" i="2"/>
  <c r="K1214" i="2"/>
  <c r="J1215" i="2"/>
  <c r="K1215" i="2"/>
  <c r="J1216" i="2"/>
  <c r="K1216" i="2"/>
  <c r="J1217" i="2"/>
  <c r="K1217" i="2"/>
  <c r="J1218" i="2"/>
  <c r="K1218" i="2"/>
  <c r="J1219" i="2"/>
  <c r="K1219" i="2"/>
  <c r="J1220" i="2"/>
  <c r="K1220" i="2"/>
  <c r="J1221" i="2"/>
  <c r="K1221" i="2"/>
  <c r="J1222" i="2"/>
  <c r="K1222" i="2"/>
  <c r="J1223" i="2"/>
  <c r="K1223" i="2"/>
  <c r="J1224" i="2"/>
  <c r="K1224" i="2"/>
  <c r="J1225" i="2"/>
  <c r="K1225" i="2"/>
  <c r="J1226" i="2"/>
  <c r="K1226" i="2"/>
  <c r="J1227" i="2"/>
  <c r="K1227" i="2"/>
  <c r="J1228" i="2"/>
  <c r="K1228" i="2"/>
  <c r="J1229" i="2"/>
  <c r="K1229" i="2"/>
  <c r="J1230" i="2"/>
  <c r="K1230" i="2"/>
  <c r="J1231" i="2"/>
  <c r="K1231" i="2"/>
  <c r="J1232" i="2"/>
  <c r="K1232" i="2"/>
  <c r="J1233" i="2"/>
  <c r="K1233" i="2"/>
  <c r="J1234" i="2"/>
  <c r="K1234" i="2"/>
  <c r="J1235" i="2"/>
  <c r="K1235" i="2"/>
  <c r="J1236" i="2"/>
  <c r="K1236" i="2"/>
  <c r="J1237" i="2"/>
  <c r="K1237" i="2"/>
  <c r="J1238" i="2"/>
  <c r="K1238" i="2"/>
  <c r="J1239" i="2"/>
  <c r="K1239" i="2"/>
  <c r="J1240" i="2"/>
  <c r="K1240" i="2"/>
  <c r="J1241" i="2"/>
  <c r="K1241" i="2"/>
  <c r="J1242" i="2"/>
  <c r="K1242" i="2"/>
  <c r="J1243" i="2"/>
  <c r="K1243" i="2"/>
  <c r="J1244" i="2"/>
  <c r="K1244" i="2"/>
  <c r="J1245" i="2"/>
  <c r="K1245" i="2"/>
  <c r="J1246" i="2"/>
  <c r="K1246" i="2"/>
  <c r="J1247" i="2"/>
  <c r="K1247" i="2"/>
  <c r="J1248" i="2"/>
  <c r="K1248" i="2"/>
  <c r="J1249" i="2"/>
  <c r="K1249" i="2"/>
  <c r="J1250" i="2"/>
  <c r="K1250" i="2"/>
  <c r="J1251" i="2"/>
  <c r="K1251" i="2"/>
  <c r="J1252" i="2"/>
  <c r="K1252" i="2"/>
  <c r="J1253" i="2"/>
  <c r="K1253" i="2"/>
  <c r="J1254" i="2"/>
  <c r="K1254" i="2"/>
  <c r="J1255" i="2"/>
  <c r="K1255" i="2"/>
  <c r="J1256" i="2"/>
  <c r="K1256" i="2"/>
  <c r="J1257" i="2"/>
  <c r="K1257" i="2"/>
  <c r="J1258" i="2"/>
  <c r="K1258" i="2"/>
  <c r="J1259" i="2"/>
  <c r="K1259" i="2"/>
  <c r="J1260" i="2"/>
  <c r="K1260" i="2"/>
  <c r="J1261" i="2"/>
  <c r="K1261" i="2"/>
  <c r="J1262" i="2"/>
  <c r="K1262" i="2"/>
  <c r="J1263" i="2"/>
  <c r="K1263" i="2"/>
  <c r="J1264" i="2"/>
  <c r="K1264" i="2"/>
  <c r="J1265" i="2"/>
  <c r="K1265" i="2"/>
  <c r="J1266" i="2"/>
  <c r="K1266" i="2"/>
  <c r="J1267" i="2"/>
  <c r="K1267" i="2"/>
  <c r="J1268" i="2"/>
  <c r="K1268" i="2"/>
  <c r="J1269" i="2"/>
  <c r="K1269" i="2"/>
  <c r="J1270" i="2"/>
  <c r="K1270" i="2"/>
  <c r="J1271" i="2"/>
  <c r="K1271" i="2"/>
  <c r="J1272" i="2"/>
  <c r="K1272" i="2"/>
  <c r="J1273" i="2"/>
  <c r="K1273" i="2"/>
  <c r="J1274" i="2"/>
  <c r="K1274" i="2"/>
  <c r="J1275" i="2"/>
  <c r="K1275" i="2"/>
  <c r="J1276" i="2"/>
  <c r="K1276" i="2"/>
  <c r="J1277" i="2"/>
  <c r="K1277" i="2"/>
  <c r="J1278" i="2"/>
  <c r="K1278" i="2"/>
  <c r="J1279" i="2"/>
  <c r="K1279" i="2"/>
  <c r="J1280" i="2"/>
  <c r="K1280" i="2"/>
  <c r="J1281" i="2"/>
  <c r="K1281" i="2"/>
  <c r="J1282" i="2"/>
  <c r="K1282" i="2"/>
  <c r="J1283" i="2"/>
  <c r="K1283" i="2"/>
  <c r="J1284" i="2"/>
  <c r="K1284" i="2"/>
  <c r="J1285" i="2"/>
  <c r="K1285" i="2"/>
  <c r="J1286" i="2"/>
  <c r="K1286" i="2"/>
  <c r="J1287" i="2"/>
  <c r="K1287" i="2"/>
  <c r="J1288" i="2"/>
  <c r="K1288" i="2"/>
  <c r="J1289" i="2"/>
  <c r="K1289" i="2"/>
  <c r="J1290" i="2"/>
  <c r="K1290" i="2"/>
  <c r="J1291" i="2"/>
  <c r="K1291" i="2"/>
  <c r="J1292" i="2"/>
  <c r="K1292" i="2"/>
  <c r="J1293" i="2"/>
  <c r="K1293" i="2"/>
  <c r="J1294" i="2"/>
  <c r="K1294" i="2"/>
  <c r="J1295" i="2"/>
  <c r="K1295" i="2"/>
  <c r="J1296" i="2"/>
  <c r="K1296" i="2"/>
  <c r="J1297" i="2"/>
  <c r="K1297" i="2"/>
  <c r="J1298" i="2"/>
  <c r="K1298" i="2"/>
  <c r="J1299" i="2"/>
  <c r="K1299" i="2"/>
  <c r="J1300" i="2"/>
  <c r="K1300" i="2"/>
  <c r="J1301" i="2"/>
  <c r="K1301" i="2"/>
  <c r="J1302" i="2"/>
  <c r="K1302" i="2"/>
  <c r="J1303" i="2"/>
  <c r="K1303" i="2"/>
  <c r="J1304" i="2"/>
  <c r="K1304" i="2"/>
  <c r="J1305" i="2"/>
  <c r="K1305" i="2"/>
  <c r="J1306" i="2"/>
  <c r="K1306" i="2"/>
  <c r="J1307" i="2"/>
  <c r="K1307" i="2"/>
  <c r="J1308" i="2"/>
  <c r="K1308" i="2"/>
  <c r="J1309" i="2"/>
  <c r="K1309" i="2"/>
  <c r="J1310" i="2"/>
  <c r="K1310" i="2"/>
  <c r="J1311" i="2"/>
  <c r="K1311" i="2"/>
  <c r="J1312" i="2"/>
  <c r="K1312" i="2"/>
  <c r="J1313" i="2"/>
  <c r="K1313" i="2"/>
  <c r="J1314" i="2"/>
  <c r="K1314" i="2"/>
  <c r="J1315" i="2"/>
  <c r="K1315" i="2"/>
  <c r="J1316" i="2"/>
  <c r="K1316" i="2"/>
  <c r="J1317" i="2"/>
  <c r="K1317" i="2"/>
  <c r="J1318" i="2"/>
  <c r="K1318" i="2"/>
  <c r="J1319" i="2"/>
  <c r="K1319" i="2"/>
  <c r="J1320" i="2"/>
  <c r="K1320" i="2"/>
  <c r="J1321" i="2"/>
  <c r="K1321" i="2"/>
  <c r="J1322" i="2"/>
  <c r="K1322" i="2"/>
  <c r="J1323" i="2"/>
  <c r="K1323" i="2"/>
  <c r="J1324" i="2"/>
  <c r="K1324" i="2"/>
  <c r="J1325" i="2"/>
  <c r="K1325" i="2"/>
  <c r="J1326" i="2"/>
  <c r="K1326" i="2"/>
  <c r="J1327" i="2"/>
  <c r="K1327" i="2"/>
  <c r="J1328" i="2"/>
  <c r="K1328" i="2"/>
  <c r="J1329" i="2"/>
  <c r="K1329" i="2"/>
  <c r="J1330" i="2"/>
  <c r="K1330" i="2"/>
  <c r="J1331" i="2"/>
  <c r="K1331" i="2"/>
  <c r="J1332" i="2"/>
  <c r="K1332" i="2"/>
  <c r="J1333" i="2"/>
  <c r="K1333" i="2"/>
  <c r="J1334" i="2"/>
  <c r="K1334" i="2"/>
  <c r="J1335" i="2"/>
  <c r="K1335" i="2"/>
  <c r="J1336" i="2"/>
  <c r="K1336" i="2"/>
  <c r="J1337" i="2"/>
  <c r="K1337" i="2"/>
  <c r="J1338" i="2"/>
  <c r="K1338" i="2"/>
  <c r="J1339" i="2"/>
  <c r="K1339" i="2"/>
  <c r="J1340" i="2"/>
  <c r="K1340" i="2"/>
  <c r="J1341" i="2"/>
  <c r="K1341" i="2"/>
  <c r="J1342" i="2"/>
  <c r="K1342" i="2"/>
  <c r="J1343" i="2"/>
  <c r="K1343" i="2"/>
  <c r="J1344" i="2"/>
  <c r="K1344" i="2"/>
  <c r="J1345" i="2"/>
  <c r="K1345" i="2"/>
  <c r="J1346" i="2"/>
  <c r="K1346" i="2"/>
  <c r="J1347" i="2"/>
  <c r="K1347" i="2"/>
  <c r="J1348" i="2"/>
  <c r="K1348" i="2"/>
  <c r="J1349" i="2"/>
  <c r="K1349" i="2"/>
  <c r="J1350" i="2"/>
  <c r="K1350" i="2"/>
  <c r="J1351" i="2"/>
  <c r="K1351" i="2"/>
  <c r="J1352" i="2"/>
  <c r="K1352" i="2"/>
  <c r="J1353" i="2"/>
  <c r="K1353" i="2"/>
  <c r="J1354" i="2"/>
  <c r="K1354" i="2"/>
  <c r="J1355" i="2"/>
  <c r="K1355" i="2"/>
  <c r="J1356" i="2"/>
  <c r="K1356" i="2"/>
  <c r="J1357" i="2"/>
  <c r="K1357" i="2"/>
  <c r="J1358" i="2"/>
  <c r="K1358" i="2"/>
  <c r="J1359" i="2"/>
  <c r="K1359" i="2"/>
  <c r="J1360" i="2"/>
  <c r="K1360" i="2"/>
  <c r="J1361" i="2"/>
  <c r="K1361" i="2"/>
  <c r="J1362" i="2"/>
  <c r="K1362" i="2"/>
  <c r="J1363" i="2"/>
  <c r="K1363" i="2"/>
  <c r="J1364" i="2"/>
  <c r="K1364" i="2"/>
  <c r="J1365" i="2"/>
  <c r="K1365" i="2"/>
  <c r="J1366" i="2"/>
  <c r="K1366" i="2"/>
  <c r="J1367" i="2"/>
  <c r="K1367" i="2"/>
  <c r="J1368" i="2"/>
  <c r="K1368" i="2"/>
  <c r="J1369" i="2"/>
  <c r="K1369" i="2"/>
  <c r="J1370" i="2"/>
  <c r="K1370" i="2"/>
  <c r="J1371" i="2"/>
  <c r="K1371" i="2"/>
  <c r="J1372" i="2"/>
  <c r="K1372" i="2"/>
  <c r="J1373" i="2"/>
  <c r="K1373" i="2"/>
  <c r="J1374" i="2"/>
  <c r="K1374" i="2"/>
  <c r="J1375" i="2"/>
  <c r="K1375" i="2"/>
  <c r="J1376" i="2"/>
  <c r="K1376" i="2"/>
  <c r="J1377" i="2"/>
  <c r="K1377" i="2"/>
  <c r="J1378" i="2"/>
  <c r="K1378" i="2"/>
  <c r="J1379" i="2"/>
  <c r="K1379" i="2"/>
  <c r="J1380" i="2"/>
  <c r="K1380" i="2"/>
  <c r="J1381" i="2"/>
  <c r="K1381" i="2"/>
  <c r="J1382" i="2"/>
  <c r="K1382" i="2"/>
  <c r="J1383" i="2"/>
  <c r="K1383" i="2"/>
  <c r="J1384" i="2"/>
  <c r="K1384" i="2"/>
  <c r="J1385" i="2"/>
  <c r="K1385" i="2"/>
  <c r="J1386" i="2"/>
  <c r="K1386" i="2"/>
  <c r="J1387" i="2"/>
  <c r="K1387" i="2"/>
  <c r="J1388" i="2"/>
  <c r="K1388" i="2"/>
  <c r="J1389" i="2"/>
  <c r="K1389" i="2"/>
  <c r="J1390" i="2"/>
  <c r="K1390" i="2"/>
  <c r="J1391" i="2"/>
  <c r="K1391" i="2"/>
  <c r="J1392" i="2"/>
  <c r="K1392" i="2"/>
  <c r="K2" i="2"/>
  <c r="J2" i="2"/>
  <c r="I1396" i="2"/>
  <c r="H1396" i="2"/>
  <c r="G1396" i="2"/>
  <c r="F1396" i="2"/>
  <c r="I1394" i="2"/>
  <c r="H1394" i="2"/>
  <c r="G1394" i="2"/>
  <c r="F1394" i="2"/>
</calcChain>
</file>

<file path=xl/sharedStrings.xml><?xml version="1.0" encoding="utf-8"?>
<sst xmlns="http://schemas.openxmlformats.org/spreadsheetml/2006/main" count="13984" uniqueCount="3569">
  <si>
    <t>CAS</t>
  </si>
  <si>
    <t>Fund Group</t>
  </si>
  <si>
    <t>Fund</t>
  </si>
  <si>
    <t>ALI</t>
  </si>
  <si>
    <t>ALITitle</t>
  </si>
  <si>
    <t>FY 2020</t>
  </si>
  <si>
    <t>OBM Estimate
FY 2021</t>
  </si>
  <si>
    <t>Introduced
FY 2022</t>
  </si>
  <si>
    <t>Introduced
FY 2023</t>
  </si>
  <si>
    <t>House Passed
FY 2022</t>
  </si>
  <si>
    <t>House Passed
FY 2023</t>
  </si>
  <si>
    <t>Senate Passed
FY 2022</t>
  </si>
  <si>
    <t>Senate Passed
FY 2023</t>
  </si>
  <si>
    <t>Conference
FY 2022</t>
  </si>
  <si>
    <t>Conference
FY 2023</t>
  </si>
  <si>
    <t>ACC</t>
  </si>
  <si>
    <t>DPF</t>
  </si>
  <si>
    <t>4J80</t>
  </si>
  <si>
    <t>889601</t>
  </si>
  <si>
    <t>CPA Education Assistance</t>
  </si>
  <si>
    <t>4K90</t>
  </si>
  <si>
    <t>889609</t>
  </si>
  <si>
    <t>Operating Expenses</t>
  </si>
  <si>
    <t>ADJ</t>
  </si>
  <si>
    <t>5340</t>
  </si>
  <si>
    <t>745612</t>
  </si>
  <si>
    <t>Property Operations Management</t>
  </si>
  <si>
    <t>5360</t>
  </si>
  <si>
    <t>745605</t>
  </si>
  <si>
    <t>Marksmanship Activities</t>
  </si>
  <si>
    <t>745620</t>
  </si>
  <si>
    <t>Camp Perry and Buckeye Inn Operations</t>
  </si>
  <si>
    <t>5370</t>
  </si>
  <si>
    <t>745604</t>
  </si>
  <si>
    <t>Ohio National Guard Facilities Maintenance</t>
  </si>
  <si>
    <t>5CV1</t>
  </si>
  <si>
    <t>745632</t>
  </si>
  <si>
    <t>Coronavirus Relief - ADJ</t>
  </si>
  <si>
    <t>5LY0</t>
  </si>
  <si>
    <t>745626</t>
  </si>
  <si>
    <t>Military Medal of Distinction</t>
  </si>
  <si>
    <t>5U80</t>
  </si>
  <si>
    <t>745613</t>
  </si>
  <si>
    <t>Community Match Armories</t>
  </si>
  <si>
    <t>FED</t>
  </si>
  <si>
    <t>3420</t>
  </si>
  <si>
    <t>745616</t>
  </si>
  <si>
    <t>Army National Guard Service Agreement</t>
  </si>
  <si>
    <t>3E80</t>
  </si>
  <si>
    <t>745628</t>
  </si>
  <si>
    <t>Air National Guard Operations and Maintenance</t>
  </si>
  <si>
    <t>3R80</t>
  </si>
  <si>
    <t>745603</t>
  </si>
  <si>
    <t>Counter Drug Operations</t>
  </si>
  <si>
    <t>GRF</t>
  </si>
  <si>
    <t>745401</t>
  </si>
  <si>
    <t>Ohio Military Reserve</t>
  </si>
  <si>
    <t>745404</t>
  </si>
  <si>
    <t>Air National Guard</t>
  </si>
  <si>
    <t>745407</t>
  </si>
  <si>
    <t>National Guard Benefits</t>
  </si>
  <si>
    <t>745409</t>
  </si>
  <si>
    <t>Central Administration</t>
  </si>
  <si>
    <t>745499</t>
  </si>
  <si>
    <t>Army National Guard</t>
  </si>
  <si>
    <t>745503</t>
  </si>
  <si>
    <t>Ohio Cyber Reserve</t>
  </si>
  <si>
    <t>745504</t>
  </si>
  <si>
    <t>Ohio Cyber Range</t>
  </si>
  <si>
    <t>745505</t>
  </si>
  <si>
    <t>State Active Duty</t>
  </si>
  <si>
    <t>AGE</t>
  </si>
  <si>
    <t>4800</t>
  </si>
  <si>
    <t>490606</t>
  </si>
  <si>
    <t>Senior Community Outreach and Education</t>
  </si>
  <si>
    <t>4C40</t>
  </si>
  <si>
    <t>490609</t>
  </si>
  <si>
    <t>Regional Long-Term Care Ombudsman Program</t>
  </si>
  <si>
    <t>5BA0</t>
  </si>
  <si>
    <t>490620</t>
  </si>
  <si>
    <t>Ombudsman Support</t>
  </si>
  <si>
    <t>490629</t>
  </si>
  <si>
    <t>COVID Response - AGE Indoor Air Quality Assistance</t>
  </si>
  <si>
    <t>5K90</t>
  </si>
  <si>
    <t>490613</t>
  </si>
  <si>
    <t>Long-Term Care Consumers Guide</t>
  </si>
  <si>
    <t>5MT0</t>
  </si>
  <si>
    <t>490627</t>
  </si>
  <si>
    <t>Board of Executives of Long-Term Services and Supports</t>
  </si>
  <si>
    <t>5T40</t>
  </si>
  <si>
    <t>656625</t>
  </si>
  <si>
    <t>Health Care Grants - State</t>
  </si>
  <si>
    <t>5TI0</t>
  </si>
  <si>
    <t>656624</t>
  </si>
  <si>
    <t>Provider Certification</t>
  </si>
  <si>
    <t>5W10</t>
  </si>
  <si>
    <t>490616</t>
  </si>
  <si>
    <t>Resident Services Coordinator Program</t>
  </si>
  <si>
    <t>5XT0</t>
  </si>
  <si>
    <t>490628</t>
  </si>
  <si>
    <t>At Home Technology Pilot Program</t>
  </si>
  <si>
    <t>3220</t>
  </si>
  <si>
    <t>490618</t>
  </si>
  <si>
    <t>Federal Aging Grants</t>
  </si>
  <si>
    <t>3C40</t>
  </si>
  <si>
    <t>656623</t>
  </si>
  <si>
    <t>Long Term Care Budget-Federal</t>
  </si>
  <si>
    <t>3M40</t>
  </si>
  <si>
    <t>490612</t>
  </si>
  <si>
    <t>Federal Independence Services</t>
  </si>
  <si>
    <t>490321</t>
  </si>
  <si>
    <t>490410</t>
  </si>
  <si>
    <t>Long-Term Care Ombudsman</t>
  </si>
  <si>
    <t>490411</t>
  </si>
  <si>
    <t>Senior Community Services</t>
  </si>
  <si>
    <t>490414</t>
  </si>
  <si>
    <t>Alzheimer's and Other Dementia Respite</t>
  </si>
  <si>
    <t>490506</t>
  </si>
  <si>
    <t>National Senior Service Corps</t>
  </si>
  <si>
    <t>490507</t>
  </si>
  <si>
    <t>Statewide Aging Initiatives</t>
  </si>
  <si>
    <t>656423</t>
  </si>
  <si>
    <t>Long Term Care Budget-State</t>
  </si>
  <si>
    <t>AGO</t>
  </si>
  <si>
    <t>1060</t>
  </si>
  <si>
    <t>055612</t>
  </si>
  <si>
    <t>Attorney General Operating</t>
  </si>
  <si>
    <t>4020</t>
  </si>
  <si>
    <t>055616</t>
  </si>
  <si>
    <t>Victims of Crime</t>
  </si>
  <si>
    <t>4170</t>
  </si>
  <si>
    <t>055621</t>
  </si>
  <si>
    <t>Domestic Violence Shelter</t>
  </si>
  <si>
    <t>4180</t>
  </si>
  <si>
    <t>055615</t>
  </si>
  <si>
    <t>Charitable Foundations</t>
  </si>
  <si>
    <t>4190</t>
  </si>
  <si>
    <t>055623</t>
  </si>
  <si>
    <t>Claims Section</t>
  </si>
  <si>
    <t>4200</t>
  </si>
  <si>
    <t>055603</t>
  </si>
  <si>
    <t>Attorney General Antitrust</t>
  </si>
  <si>
    <t>4210</t>
  </si>
  <si>
    <t>055617</t>
  </si>
  <si>
    <t>Police Officers' Training Academy Fee</t>
  </si>
  <si>
    <t>4L60</t>
  </si>
  <si>
    <t>055606</t>
  </si>
  <si>
    <t>DARE Programs</t>
  </si>
  <si>
    <t>4Y70</t>
  </si>
  <si>
    <t>055608</t>
  </si>
  <si>
    <t>Title Defect Recision</t>
  </si>
  <si>
    <t>4Z20</t>
  </si>
  <si>
    <t>055609</t>
  </si>
  <si>
    <t>BCI Asset Forfeiture and Cost Reimbursement</t>
  </si>
  <si>
    <t>5900</t>
  </si>
  <si>
    <t>055633</t>
  </si>
  <si>
    <t>Peace Officer Private Security Training</t>
  </si>
  <si>
    <t>5A90</t>
  </si>
  <si>
    <t>055618</t>
  </si>
  <si>
    <t>Telemarketing Fraud Enforcement</t>
  </si>
  <si>
    <t>055507</t>
  </si>
  <si>
    <t>COVID Safety - Crisis Centers</t>
  </si>
  <si>
    <t>055662</t>
  </si>
  <si>
    <t>COVID Consumer Protection</t>
  </si>
  <si>
    <t>5LR0</t>
  </si>
  <si>
    <t>055655</t>
  </si>
  <si>
    <t>Peace Officer Training - Casino</t>
  </si>
  <si>
    <t>5MP0</t>
  </si>
  <si>
    <t>055657</t>
  </si>
  <si>
    <t>Peace Officer Training Commission</t>
  </si>
  <si>
    <t>5TL0</t>
  </si>
  <si>
    <t>055659</t>
  </si>
  <si>
    <t>Organized Crime Law Enforcement Trust</t>
  </si>
  <si>
    <t>5XZ0</t>
  </si>
  <si>
    <t>055664</t>
  </si>
  <si>
    <t>Law Enforcement Reimbursement Training Pilot Program</t>
  </si>
  <si>
    <t>6310</t>
  </si>
  <si>
    <t>055637</t>
  </si>
  <si>
    <t>Consumer Protection Enforcement</t>
  </si>
  <si>
    <t>6590</t>
  </si>
  <si>
    <t>055641</t>
  </si>
  <si>
    <t>Solid and Hazardous Waste Background Investigations</t>
  </si>
  <si>
    <t>U087</t>
  </si>
  <si>
    <t>055402</t>
  </si>
  <si>
    <t>Tobacco Settlement Oversight, Administration, and Enforcement</t>
  </si>
  <si>
    <t>3060</t>
  </si>
  <si>
    <t>055620</t>
  </si>
  <si>
    <t>Medicaid Fraud Control</t>
  </si>
  <si>
    <t>3830</t>
  </si>
  <si>
    <t>055634</t>
  </si>
  <si>
    <t>Crime Victims Assistance</t>
  </si>
  <si>
    <t>3E50</t>
  </si>
  <si>
    <t>055638</t>
  </si>
  <si>
    <t>Attorney General Pass-Through Funds</t>
  </si>
  <si>
    <t>3FV0</t>
  </si>
  <si>
    <t>055656</t>
  </si>
  <si>
    <t>Crime Victim Compensation</t>
  </si>
  <si>
    <t>3R60</t>
  </si>
  <si>
    <t>055613</t>
  </si>
  <si>
    <t>Attorney General Federal Funds</t>
  </si>
  <si>
    <t>055321</t>
  </si>
  <si>
    <t>055405</t>
  </si>
  <si>
    <t>Law-Related Education</t>
  </si>
  <si>
    <t>055406</t>
  </si>
  <si>
    <t>BCIRS Lease Rental Payments</t>
  </si>
  <si>
    <t>055411</t>
  </si>
  <si>
    <t>County Sheriffs' Pay Supplement</t>
  </si>
  <si>
    <t>055415</t>
  </si>
  <si>
    <t>County Prosecutors' Pay Supplement</t>
  </si>
  <si>
    <t>055431</t>
  </si>
  <si>
    <t>Drug Abuse Response Team Grants</t>
  </si>
  <si>
    <t>055432</t>
  </si>
  <si>
    <t>Drug Testing Equipment</t>
  </si>
  <si>
    <t>055434</t>
  </si>
  <si>
    <t>ICAC Task Force</t>
  </si>
  <si>
    <t>055440</t>
  </si>
  <si>
    <t>Rapid DNA Pilot Project</t>
  </si>
  <si>
    <t>055501</t>
  </si>
  <si>
    <t>Rape Crisis Centers</t>
  </si>
  <si>
    <t>055502</t>
  </si>
  <si>
    <t>School Safety Training Grants</t>
  </si>
  <si>
    <t>055504</t>
  </si>
  <si>
    <t>Domestic Violence Programs</t>
  </si>
  <si>
    <t>055505</t>
  </si>
  <si>
    <t>Pike County Capital Case</t>
  </si>
  <si>
    <t>055509</t>
  </si>
  <si>
    <t>055441</t>
  </si>
  <si>
    <t>HLD</t>
  </si>
  <si>
    <t>R004</t>
  </si>
  <si>
    <t>055631</t>
  </si>
  <si>
    <t>General Holding Account</t>
  </si>
  <si>
    <t>R005</t>
  </si>
  <si>
    <t>055632</t>
  </si>
  <si>
    <t>Antitrust Settlements</t>
  </si>
  <si>
    <t>R018</t>
  </si>
  <si>
    <t>055630</t>
  </si>
  <si>
    <t>Consumer Frauds</t>
  </si>
  <si>
    <t>R042</t>
  </si>
  <si>
    <t>055601</t>
  </si>
  <si>
    <t>Organized Crime Commission Distributions</t>
  </si>
  <si>
    <t>R054</t>
  </si>
  <si>
    <t>055650</t>
  </si>
  <si>
    <t>Collection Payment Redistribution</t>
  </si>
  <si>
    <t>ISA</t>
  </si>
  <si>
    <t>1950</t>
  </si>
  <si>
    <t>055660</t>
  </si>
  <si>
    <t>Workers' Compensation Section</t>
  </si>
  <si>
    <t>AGR</t>
  </si>
  <si>
    <t>CPF</t>
  </si>
  <si>
    <t>7057</t>
  </si>
  <si>
    <t>700632</t>
  </si>
  <si>
    <t>Clean Ohio Agricultural Easement Operating</t>
  </si>
  <si>
    <t>4900</t>
  </si>
  <si>
    <t>700651</t>
  </si>
  <si>
    <t>License Plates - Sustainable Agriculture</t>
  </si>
  <si>
    <t>4940</t>
  </si>
  <si>
    <t>700612</t>
  </si>
  <si>
    <t>Agricultural Commodity Marketing Program</t>
  </si>
  <si>
    <t>4960</t>
  </si>
  <si>
    <t>700626</t>
  </si>
  <si>
    <t>Ohio Grape Industries</t>
  </si>
  <si>
    <t>4970</t>
  </si>
  <si>
    <t>700627</t>
  </si>
  <si>
    <t>Grain Warehouse Program</t>
  </si>
  <si>
    <t>4980</t>
  </si>
  <si>
    <t>700628</t>
  </si>
  <si>
    <t>Grain Indemnity</t>
  </si>
  <si>
    <t>4C90</t>
  </si>
  <si>
    <t>700605</t>
  </si>
  <si>
    <t>Commercial Feed and Seed</t>
  </si>
  <si>
    <t>4D20</t>
  </si>
  <si>
    <t>700609</t>
  </si>
  <si>
    <t>Auction Education</t>
  </si>
  <si>
    <t>4E40</t>
  </si>
  <si>
    <t>700606</t>
  </si>
  <si>
    <t>Utility Radiological Safety</t>
  </si>
  <si>
    <t>4P70</t>
  </si>
  <si>
    <t>700610</t>
  </si>
  <si>
    <t>Food Safety Inspection</t>
  </si>
  <si>
    <t>4R00</t>
  </si>
  <si>
    <t>700636</t>
  </si>
  <si>
    <t>Ohio Proud Marketing</t>
  </si>
  <si>
    <t>4R20</t>
  </si>
  <si>
    <t>700637</t>
  </si>
  <si>
    <t>Dairy Industry Inspection</t>
  </si>
  <si>
    <t>4T60</t>
  </si>
  <si>
    <t>700611</t>
  </si>
  <si>
    <t>Poultry and Meat Inspection</t>
  </si>
  <si>
    <t>5780</t>
  </si>
  <si>
    <t>700620</t>
  </si>
  <si>
    <t>Ride Inspection</t>
  </si>
  <si>
    <t>5B80</t>
  </si>
  <si>
    <t>700629</t>
  </si>
  <si>
    <t>Auctioneers</t>
  </si>
  <si>
    <t>5BV0</t>
  </si>
  <si>
    <t>700660</t>
  </si>
  <si>
    <t>Heidelberg Water Quality Lab</t>
  </si>
  <si>
    <t>700661</t>
  </si>
  <si>
    <t>Soil and Water Districts</t>
  </si>
  <si>
    <t>700672</t>
  </si>
  <si>
    <t>Coronavirus Relief - Local Fairs</t>
  </si>
  <si>
    <t>5FC0</t>
  </si>
  <si>
    <t>700648</t>
  </si>
  <si>
    <t>Plant Pest Program</t>
  </si>
  <si>
    <t>5H20</t>
  </si>
  <si>
    <t>700608</t>
  </si>
  <si>
    <t>Metrology Lab and Scale Certification</t>
  </si>
  <si>
    <t>5L80</t>
  </si>
  <si>
    <t>700604</t>
  </si>
  <si>
    <t>Livestock Management Program</t>
  </si>
  <si>
    <t>5MA0</t>
  </si>
  <si>
    <t>700657</t>
  </si>
  <si>
    <t>Dangerous and Restricted Animals</t>
  </si>
  <si>
    <t>5MR0</t>
  </si>
  <si>
    <t>700658</t>
  </si>
  <si>
    <t>High Volume Breeders and Kennels</t>
  </si>
  <si>
    <t>5MS0</t>
  </si>
  <si>
    <t>700659</t>
  </si>
  <si>
    <t>Captive Deer</t>
  </si>
  <si>
    <t>5PL0</t>
  </si>
  <si>
    <t>700662</t>
  </si>
  <si>
    <t>Pet Store License</t>
  </si>
  <si>
    <t>5QW0</t>
  </si>
  <si>
    <t>700653</t>
  </si>
  <si>
    <t>Watershed Assistance</t>
  </si>
  <si>
    <t>5U10</t>
  </si>
  <si>
    <t>700624</t>
  </si>
  <si>
    <t>Auction Recovery</t>
  </si>
  <si>
    <t>5WJ0</t>
  </si>
  <si>
    <t>700671</t>
  </si>
  <si>
    <t>Hemp Program</t>
  </si>
  <si>
    <t>5XS0</t>
  </si>
  <si>
    <t>700675</t>
  </si>
  <si>
    <t>Meat Processing Investment Program</t>
  </si>
  <si>
    <t>5YB0</t>
  </si>
  <si>
    <t>700676</t>
  </si>
  <si>
    <t>Farm Financial Management Institute</t>
  </si>
  <si>
    <t>6520</t>
  </si>
  <si>
    <t>700634</t>
  </si>
  <si>
    <t>Animal, Consumer, and ATL Labs</t>
  </si>
  <si>
    <t>6690</t>
  </si>
  <si>
    <t>700635</t>
  </si>
  <si>
    <t>Pesticide, Fertilizer, and Lime Inspection Program</t>
  </si>
  <si>
    <t>6H20</t>
  </si>
  <si>
    <t>700670</t>
  </si>
  <si>
    <t>H2Ohio</t>
  </si>
  <si>
    <t>3260</t>
  </si>
  <si>
    <t>700618</t>
  </si>
  <si>
    <t>Meat Inspection Program - Federal Share</t>
  </si>
  <si>
    <t>3360</t>
  </si>
  <si>
    <t>700617</t>
  </si>
  <si>
    <t>Ohio Farm Loan - Revolving</t>
  </si>
  <si>
    <t>3820</t>
  </si>
  <si>
    <t>700601</t>
  </si>
  <si>
    <t>Federal Cooperative Contracts</t>
  </si>
  <si>
    <t>3AB0</t>
  </si>
  <si>
    <t>700641</t>
  </si>
  <si>
    <t>Agricultural Easement</t>
  </si>
  <si>
    <t>3J40</t>
  </si>
  <si>
    <t>700607</t>
  </si>
  <si>
    <t>Federal Administrative Programs</t>
  </si>
  <si>
    <t>3R20</t>
  </si>
  <si>
    <t>700614</t>
  </si>
  <si>
    <t>Federal Plant Industry</t>
  </si>
  <si>
    <t>700401</t>
  </si>
  <si>
    <t>Animal Health Programs</t>
  </si>
  <si>
    <t>700403</t>
  </si>
  <si>
    <t>Dairy Division</t>
  </si>
  <si>
    <t>700404</t>
  </si>
  <si>
    <t>Ohio Proud</t>
  </si>
  <si>
    <t>700406</t>
  </si>
  <si>
    <t>Consumer Protection Lab</t>
  </si>
  <si>
    <t>700407</t>
  </si>
  <si>
    <t>Food Safety</t>
  </si>
  <si>
    <t>700409</t>
  </si>
  <si>
    <t>Farmland Preservation</t>
  </si>
  <si>
    <t>700410</t>
  </si>
  <si>
    <t>Plant Industry</t>
  </si>
  <si>
    <t>700412</t>
  </si>
  <si>
    <t>Weights and Measures</t>
  </si>
  <si>
    <t>700415</t>
  </si>
  <si>
    <t>Poultry Inspection</t>
  </si>
  <si>
    <t>700417</t>
  </si>
  <si>
    <t>Soil and Water Phosphorus Program</t>
  </si>
  <si>
    <t>700418</t>
  </si>
  <si>
    <t>Livestock Regulation Program</t>
  </si>
  <si>
    <t>700424</t>
  </si>
  <si>
    <t>Livestock Testing and Inspections</t>
  </si>
  <si>
    <t>700426</t>
  </si>
  <si>
    <t>700427</t>
  </si>
  <si>
    <t>High Volume Breeder Kennel Control</t>
  </si>
  <si>
    <t>700428</t>
  </si>
  <si>
    <t>Soil and Water Division</t>
  </si>
  <si>
    <t>700499</t>
  </si>
  <si>
    <t>Meat Inspection Program - State Share</t>
  </si>
  <si>
    <t>700501</t>
  </si>
  <si>
    <t>County Agricultural Societies</t>
  </si>
  <si>
    <t>700509</t>
  </si>
  <si>
    <t>Soil and Water District Support</t>
  </si>
  <si>
    <t>700511</t>
  </si>
  <si>
    <t>700674</t>
  </si>
  <si>
    <t>Hemp Production</t>
  </si>
  <si>
    <t>5DA0</t>
  </si>
  <si>
    <t>700644</t>
  </si>
  <si>
    <t>Laboratory Administration Support</t>
  </si>
  <si>
    <t>5GH0</t>
  </si>
  <si>
    <t>700655</t>
  </si>
  <si>
    <t>Administrative Support</t>
  </si>
  <si>
    <t>AIR</t>
  </si>
  <si>
    <t>4Z90</t>
  </si>
  <si>
    <t>898602</t>
  </si>
  <si>
    <t>Small Business Ombudsman</t>
  </si>
  <si>
    <t>5700</t>
  </si>
  <si>
    <t>898601</t>
  </si>
  <si>
    <t>5A00</t>
  </si>
  <si>
    <t>898603</t>
  </si>
  <si>
    <t>Small Business Assistance</t>
  </si>
  <si>
    <t>ARC</t>
  </si>
  <si>
    <t>891609</t>
  </si>
  <si>
    <t>Operating</t>
  </si>
  <si>
    <t>ART</t>
  </si>
  <si>
    <t>4600</t>
  </si>
  <si>
    <t>370602</t>
  </si>
  <si>
    <t>Arts Council Program Support</t>
  </si>
  <si>
    <t>4B70</t>
  </si>
  <si>
    <t>370603</t>
  </si>
  <si>
    <t>Percent For Art Acquisitions</t>
  </si>
  <si>
    <t>370503</t>
  </si>
  <si>
    <t>Coronavirus Relief - Arts and Cultural Organizations</t>
  </si>
  <si>
    <t>3140</t>
  </si>
  <si>
    <t>370601</t>
  </si>
  <si>
    <t>Federal Support</t>
  </si>
  <si>
    <t>3HR0</t>
  </si>
  <si>
    <t>370504</t>
  </si>
  <si>
    <t>CARES Act Arts Support</t>
  </si>
  <si>
    <t>370321</t>
  </si>
  <si>
    <t>370502</t>
  </si>
  <si>
    <t>State Program Subsidies</t>
  </si>
  <si>
    <t>ATH</t>
  </si>
  <si>
    <t>175609</t>
  </si>
  <si>
    <t>AUD</t>
  </si>
  <si>
    <t>1090</t>
  </si>
  <si>
    <t>070601</t>
  </si>
  <si>
    <t>Public Audit Expense - Intrastate</t>
  </si>
  <si>
    <t>4220</t>
  </si>
  <si>
    <t>070602</t>
  </si>
  <si>
    <t>Public Audit Expense - Local Government</t>
  </si>
  <si>
    <t>5840</t>
  </si>
  <si>
    <t>070603</t>
  </si>
  <si>
    <t>Training Program</t>
  </si>
  <si>
    <t>5JZ0</t>
  </si>
  <si>
    <t>070606</t>
  </si>
  <si>
    <t>LEAP Revolving Loans</t>
  </si>
  <si>
    <t>5VP0</t>
  </si>
  <si>
    <t>070611</t>
  </si>
  <si>
    <t>Local Government Audit Support Fund</t>
  </si>
  <si>
    <t>6750</t>
  </si>
  <si>
    <t>070605</t>
  </si>
  <si>
    <t>Uniform Accounting Network</t>
  </si>
  <si>
    <t>070321</t>
  </si>
  <si>
    <t>070401</t>
  </si>
  <si>
    <t>Audit Management and Services</t>
  </si>
  <si>
    <t>070402</t>
  </si>
  <si>
    <t>Performance Audits</t>
  </si>
  <si>
    <t>070403</t>
  </si>
  <si>
    <t>Fiscal Watch/Emergency Technical Assistance</t>
  </si>
  <si>
    <t>070404</t>
  </si>
  <si>
    <t>Fraud/Corruption Audits and Investigations</t>
  </si>
  <si>
    <t>070409</t>
  </si>
  <si>
    <t>School District Performance Audits</t>
  </si>
  <si>
    <t>070412</t>
  </si>
  <si>
    <t>Local Government Audit Support</t>
  </si>
  <si>
    <t>BDP</t>
  </si>
  <si>
    <t>4M20</t>
  </si>
  <si>
    <t>974601</t>
  </si>
  <si>
    <t>Board of Deposit</t>
  </si>
  <si>
    <t>BOR</t>
  </si>
  <si>
    <t>BRD</t>
  </si>
  <si>
    <t>7011</t>
  </si>
  <si>
    <t>235634</t>
  </si>
  <si>
    <t>Research Incentive Third Frontier</t>
  </si>
  <si>
    <t>7014</t>
  </si>
  <si>
    <t>235639</t>
  </si>
  <si>
    <t>Research Incentive Third Frontier - Tax</t>
  </si>
  <si>
    <t>2200</t>
  </si>
  <si>
    <t>235614</t>
  </si>
  <si>
    <t>Program Approval and Reauthorization</t>
  </si>
  <si>
    <t>4560</t>
  </si>
  <si>
    <t>235603</t>
  </si>
  <si>
    <t>Sales and Services</t>
  </si>
  <si>
    <t>4E80</t>
  </si>
  <si>
    <t>235602</t>
  </si>
  <si>
    <t>Higher Educational Facility Commission Administration</t>
  </si>
  <si>
    <t>235557</t>
  </si>
  <si>
    <t>COVID Response - Higher Education Mental Health</t>
  </si>
  <si>
    <t>235677</t>
  </si>
  <si>
    <t>Coronavirus Relief Fund Public Higher Education Residential</t>
  </si>
  <si>
    <t>235678</t>
  </si>
  <si>
    <t>Coronavirus Relief Fund Independent Higher Education</t>
  </si>
  <si>
    <t>235679</t>
  </si>
  <si>
    <t>Coronavirus Relief Fund Public Higher Education</t>
  </si>
  <si>
    <t>5D40</t>
  </si>
  <si>
    <t>235675</t>
  </si>
  <si>
    <t>Conference/Special Purposes</t>
  </si>
  <si>
    <t>5FR0</t>
  </si>
  <si>
    <t>235650</t>
  </si>
  <si>
    <t>State and Non-Federal Grants and Award</t>
  </si>
  <si>
    <t>5JC0</t>
  </si>
  <si>
    <t>235649</t>
  </si>
  <si>
    <t>MAGNET Apprenticeship Program</t>
  </si>
  <si>
    <t>235654</t>
  </si>
  <si>
    <t>Federal Research Network</t>
  </si>
  <si>
    <t>5NH0</t>
  </si>
  <si>
    <t>235517</t>
  </si>
  <si>
    <t>Short-Term Certificates</t>
  </si>
  <si>
    <t>235684</t>
  </si>
  <si>
    <t>OhioMeansJobs Workforce Development Revolving Loan Program</t>
  </si>
  <si>
    <t>5P30</t>
  </si>
  <si>
    <t>235663</t>
  </si>
  <si>
    <t>Variable Savings Plan</t>
  </si>
  <si>
    <t>5RA0</t>
  </si>
  <si>
    <t>235616</t>
  </si>
  <si>
    <t>Workforce and Higher Education Programs</t>
  </si>
  <si>
    <t>5Y50</t>
  </si>
  <si>
    <t>235618</t>
  </si>
  <si>
    <t>State Financial Aid Reconciliation</t>
  </si>
  <si>
    <t>5UK0</t>
  </si>
  <si>
    <t>235594</t>
  </si>
  <si>
    <t>OhioCorps Program</t>
  </si>
  <si>
    <t>5YD0</t>
  </si>
  <si>
    <t>235494</t>
  </si>
  <si>
    <t>Second Chance Grant Pilot Program</t>
  </si>
  <si>
    <t>6450</t>
  </si>
  <si>
    <t>235664</t>
  </si>
  <si>
    <t>Guaranteed Savings Plan</t>
  </si>
  <si>
    <t>6820</t>
  </si>
  <si>
    <t>235606</t>
  </si>
  <si>
    <t>Nursing Loan Program</t>
  </si>
  <si>
    <t>3120</t>
  </si>
  <si>
    <t>235577</t>
  </si>
  <si>
    <t>Education, Research, Development, and Dissemination</t>
  </si>
  <si>
    <t>235611</t>
  </si>
  <si>
    <t>Gear-up Grant</t>
  </si>
  <si>
    <t>235612</t>
  </si>
  <si>
    <t>Carl D. Perkins Grant/Plan Administration</t>
  </si>
  <si>
    <t>235641</t>
  </si>
  <si>
    <t>Adult Basic and Literacy Education - Federal</t>
  </si>
  <si>
    <t>3BG0</t>
  </si>
  <si>
    <t>235651</t>
  </si>
  <si>
    <t>Gear Up Grant Scholarships</t>
  </si>
  <si>
    <t>3HQ0</t>
  </si>
  <si>
    <t>235509</t>
  </si>
  <si>
    <t>GEER - Higher Education Initiatives</t>
  </si>
  <si>
    <t>235512</t>
  </si>
  <si>
    <t>Governor's Emergency Education Relief - Higher Education Mental Health</t>
  </si>
  <si>
    <t>3N60</t>
  </si>
  <si>
    <t>235658</t>
  </si>
  <si>
    <t>John R. Justice Student Loan Repayment Program</t>
  </si>
  <si>
    <t>235321</t>
  </si>
  <si>
    <t>235402</t>
  </si>
  <si>
    <t>Sea Grants</t>
  </si>
  <si>
    <t>235406</t>
  </si>
  <si>
    <t>Articulation and Transfer</t>
  </si>
  <si>
    <t>235408</t>
  </si>
  <si>
    <t>Midwest Higher Education Compact</t>
  </si>
  <si>
    <t>235414</t>
  </si>
  <si>
    <t>Grants and Scholarship Administration</t>
  </si>
  <si>
    <t>235417</t>
  </si>
  <si>
    <t>Technology Maintenance and Operations</t>
  </si>
  <si>
    <t>235428</t>
  </si>
  <si>
    <t>Appalachian New Economy Workforce Partnership</t>
  </si>
  <si>
    <t>235438</t>
  </si>
  <si>
    <t>Choose Ohio First Scholarship</t>
  </si>
  <si>
    <t>235443</t>
  </si>
  <si>
    <t>Adult Basic and Literacy Education - State</t>
  </si>
  <si>
    <t>235444</t>
  </si>
  <si>
    <t>Ohio Technical Centers</t>
  </si>
  <si>
    <t>235474</t>
  </si>
  <si>
    <t>Area Health Education Centers Program Support</t>
  </si>
  <si>
    <t>235492</t>
  </si>
  <si>
    <t>Campus Safety and Training</t>
  </si>
  <si>
    <t>235493</t>
  </si>
  <si>
    <t>Shawnee State University Autism Spectrum Disorder Student Support Program</t>
  </si>
  <si>
    <t>235495</t>
  </si>
  <si>
    <t>Northeast Ohio Medical University Dental School</t>
  </si>
  <si>
    <t>235501</t>
  </si>
  <si>
    <t>State Share of Instruction</t>
  </si>
  <si>
    <t>235504</t>
  </si>
  <si>
    <t>War Orphans and Severely Disabled Veterans' Children Scholarships</t>
  </si>
  <si>
    <t>235505</t>
  </si>
  <si>
    <t>State Share of Instruction Reconciliation</t>
  </si>
  <si>
    <t>235507</t>
  </si>
  <si>
    <t>OhioLINK</t>
  </si>
  <si>
    <t>235508</t>
  </si>
  <si>
    <t>Air Force Institute of Technology</t>
  </si>
  <si>
    <t>235510</t>
  </si>
  <si>
    <t>Ohio Supercomputer Center</t>
  </si>
  <si>
    <t>235511</t>
  </si>
  <si>
    <t>The Ohio State University Extension Service</t>
  </si>
  <si>
    <t>235514</t>
  </si>
  <si>
    <t>Central State Supplement</t>
  </si>
  <si>
    <t>235515</t>
  </si>
  <si>
    <t>Case Western Reserve University School of Medicine</t>
  </si>
  <si>
    <t>235519</t>
  </si>
  <si>
    <t>Family Practice</t>
  </si>
  <si>
    <t>235520</t>
  </si>
  <si>
    <t>Shawnee State Supplement</t>
  </si>
  <si>
    <t>235525</t>
  </si>
  <si>
    <t>Geriatric Medicine</t>
  </si>
  <si>
    <t>235526</t>
  </si>
  <si>
    <t>Primary Care Residencies</t>
  </si>
  <si>
    <t>235533</t>
  </si>
  <si>
    <t>Program and Project Support</t>
  </si>
  <si>
    <t>235535</t>
  </si>
  <si>
    <t>Ohio Agricultural Research and Development Center</t>
  </si>
  <si>
    <t>235536</t>
  </si>
  <si>
    <t>The Ohio State University Clinical Teaching</t>
  </si>
  <si>
    <t>235537</t>
  </si>
  <si>
    <t>University of Cincinnati Clinical Teaching</t>
  </si>
  <si>
    <t>235538</t>
  </si>
  <si>
    <t>University of Toledo Clinical Teaching</t>
  </si>
  <si>
    <t>235539</t>
  </si>
  <si>
    <t>Wright State University Clinical Teaching</t>
  </si>
  <si>
    <t>235540</t>
  </si>
  <si>
    <t>Ohio University Clinical Teaching</t>
  </si>
  <si>
    <t>235541</t>
  </si>
  <si>
    <t>Northeast Ohio Medical University Clinical Teaching</t>
  </si>
  <si>
    <t>235543</t>
  </si>
  <si>
    <t>Kent State University College of Podiatric Medicine Clinic Subsidy</t>
  </si>
  <si>
    <t>235544</t>
  </si>
  <si>
    <t>STEM Public-Private Partnership Program</t>
  </si>
  <si>
    <t>235546</t>
  </si>
  <si>
    <t>Central State Agricultural Research and Development</t>
  </si>
  <si>
    <t>235548</t>
  </si>
  <si>
    <t>Central State Cooperative Extension Services</t>
  </si>
  <si>
    <t>235552</t>
  </si>
  <si>
    <t>Capital Component</t>
  </si>
  <si>
    <t>235555</t>
  </si>
  <si>
    <t>Library Depositories</t>
  </si>
  <si>
    <t>235556</t>
  </si>
  <si>
    <t>Ohio Academic Resources Network</t>
  </si>
  <si>
    <t>235558</t>
  </si>
  <si>
    <t>Long-term Care Research</t>
  </si>
  <si>
    <t>235563</t>
  </si>
  <si>
    <t>Ohio College Opportunity Grant</t>
  </si>
  <si>
    <t>235569</t>
  </si>
  <si>
    <t>The Ohio State University College of Veterinary Medicine Supplement</t>
  </si>
  <si>
    <t>235572</t>
  </si>
  <si>
    <t>The Ohio State University Clinic Support</t>
  </si>
  <si>
    <t>235578</t>
  </si>
  <si>
    <t>235586</t>
  </si>
  <si>
    <t>State Share of Instruction - Community and Technical Colleges</t>
  </si>
  <si>
    <t>235591</t>
  </si>
  <si>
    <t>Co-Op Internship Program</t>
  </si>
  <si>
    <t>235595</t>
  </si>
  <si>
    <t>Commercial Truck Driver Student Aid Program</t>
  </si>
  <si>
    <t>235597</t>
  </si>
  <si>
    <t>High School STEM Innovation and Ohio College Scholarship and Retention Program</t>
  </si>
  <si>
    <t>235598</t>
  </si>
  <si>
    <t>Rural University Program</t>
  </si>
  <si>
    <t>235599</t>
  </si>
  <si>
    <t>National Guard Scholarship Program</t>
  </si>
  <si>
    <t>235909</t>
  </si>
  <si>
    <t>Higher Education General Obligation Bond Debt Service</t>
  </si>
  <si>
    <t>BTA</t>
  </si>
  <si>
    <t>116321</t>
  </si>
  <si>
    <t>CAC</t>
  </si>
  <si>
    <t>5HS0</t>
  </si>
  <si>
    <t>955321</t>
  </si>
  <si>
    <t>5NU0</t>
  </si>
  <si>
    <t>955601</t>
  </si>
  <si>
    <t>Casino Commission Enforcement</t>
  </si>
  <si>
    <t>CDP</t>
  </si>
  <si>
    <t>930609</t>
  </si>
  <si>
    <t>CEB</t>
  </si>
  <si>
    <t>5KM0</t>
  </si>
  <si>
    <t>911614</t>
  </si>
  <si>
    <t>Controlling Board Emergency Purposes/Contingencies</t>
  </si>
  <si>
    <t>CHR</t>
  </si>
  <si>
    <t>878609</t>
  </si>
  <si>
    <t>CIV</t>
  </si>
  <si>
    <t>2170</t>
  </si>
  <si>
    <t>876604</t>
  </si>
  <si>
    <t>Operations Support</t>
  </si>
  <si>
    <t>3340</t>
  </si>
  <si>
    <t>876601</t>
  </si>
  <si>
    <t>Federal Programs</t>
  </si>
  <si>
    <t>876321</t>
  </si>
  <si>
    <t>CLA</t>
  </si>
  <si>
    <t>5K20</t>
  </si>
  <si>
    <t>015603</t>
  </si>
  <si>
    <t>CLA Victims of Crime</t>
  </si>
  <si>
    <t>5TE0</t>
  </si>
  <si>
    <t>015604</t>
  </si>
  <si>
    <t>Public Records</t>
  </si>
  <si>
    <t>015321</t>
  </si>
  <si>
    <t>015402</t>
  </si>
  <si>
    <t>Wrongful Imprisonment Compensation</t>
  </si>
  <si>
    <t>015403</t>
  </si>
  <si>
    <t>Public Records Adjudication</t>
  </si>
  <si>
    <t>COM</t>
  </si>
  <si>
    <t>4B20</t>
  </si>
  <si>
    <t>800631</t>
  </si>
  <si>
    <t>Real Estate Appraisal Recovery</t>
  </si>
  <si>
    <t>4H90</t>
  </si>
  <si>
    <t>800608</t>
  </si>
  <si>
    <t>Cemeteries</t>
  </si>
  <si>
    <t>4X20</t>
  </si>
  <si>
    <t>800619</t>
  </si>
  <si>
    <t>Financial Institutions</t>
  </si>
  <si>
    <t>5430</t>
  </si>
  <si>
    <t>800602</t>
  </si>
  <si>
    <t>Unclaimed Funds-Operating</t>
  </si>
  <si>
    <t>800625</t>
  </si>
  <si>
    <t>Unclaimed Funds-Claims</t>
  </si>
  <si>
    <t>5440</t>
  </si>
  <si>
    <t>800612</t>
  </si>
  <si>
    <t>Banks</t>
  </si>
  <si>
    <t>5460</t>
  </si>
  <si>
    <t>800610</t>
  </si>
  <si>
    <t>Fire Marshal</t>
  </si>
  <si>
    <t>800639</t>
  </si>
  <si>
    <t>Fire Department Grants</t>
  </si>
  <si>
    <t>5470</t>
  </si>
  <si>
    <t>800603</t>
  </si>
  <si>
    <t>Real Estate Education/Research</t>
  </si>
  <si>
    <t>5480</t>
  </si>
  <si>
    <t>800611</t>
  </si>
  <si>
    <t>Real Estate Recovery</t>
  </si>
  <si>
    <t>5490</t>
  </si>
  <si>
    <t>800614</t>
  </si>
  <si>
    <t>Real Estate</t>
  </si>
  <si>
    <t>5500</t>
  </si>
  <si>
    <t>800617</t>
  </si>
  <si>
    <t>Securities</t>
  </si>
  <si>
    <t>5520</t>
  </si>
  <si>
    <t>800604</t>
  </si>
  <si>
    <t>Credit Union</t>
  </si>
  <si>
    <t>5530</t>
  </si>
  <si>
    <t>800607</t>
  </si>
  <si>
    <t>Consumer Finance</t>
  </si>
  <si>
    <t>5560</t>
  </si>
  <si>
    <t>800615</t>
  </si>
  <si>
    <t>Industrial Compliance</t>
  </si>
  <si>
    <t>5F10</t>
  </si>
  <si>
    <t>800635</t>
  </si>
  <si>
    <t>Small Government Fire Departments</t>
  </si>
  <si>
    <t>5FW0</t>
  </si>
  <si>
    <t>800616</t>
  </si>
  <si>
    <t>Financial Literacy Education</t>
  </si>
  <si>
    <t>5GK0</t>
  </si>
  <si>
    <t>800609</t>
  </si>
  <si>
    <t>Securities Investor Education/Enforcement</t>
  </si>
  <si>
    <t>5HV0</t>
  </si>
  <si>
    <t>800641</t>
  </si>
  <si>
    <t>Cigarette Enforcement</t>
  </si>
  <si>
    <t>5LC0</t>
  </si>
  <si>
    <t>800644</t>
  </si>
  <si>
    <t>Liquor JobsOhio Extraordinary Allowance</t>
  </si>
  <si>
    <t>5LN0</t>
  </si>
  <si>
    <t>800645</t>
  </si>
  <si>
    <t>Liquor Operating Services</t>
  </si>
  <si>
    <t>5LP0</t>
  </si>
  <si>
    <t>800646</t>
  </si>
  <si>
    <t>Liquor Regulatory Operating Expenses</t>
  </si>
  <si>
    <t>5SE0</t>
  </si>
  <si>
    <t>800651</t>
  </si>
  <si>
    <t>Cemetery Grant Program</t>
  </si>
  <si>
    <t>5SJ0</t>
  </si>
  <si>
    <t>800648</t>
  </si>
  <si>
    <t>Volunteer Peace Officers' Dependent Fund</t>
  </si>
  <si>
    <t>5SU0</t>
  </si>
  <si>
    <t>800649</t>
  </si>
  <si>
    <t>Manufactured Homes Regulation</t>
  </si>
  <si>
    <t>5SY0</t>
  </si>
  <si>
    <t>800650</t>
  </si>
  <si>
    <t>Medical Marijuana Control Program</t>
  </si>
  <si>
    <t>5VC0</t>
  </si>
  <si>
    <t>800652</t>
  </si>
  <si>
    <t>Real Estate Home Inspector Operating</t>
  </si>
  <si>
    <t>5VD0</t>
  </si>
  <si>
    <t>800653</t>
  </si>
  <si>
    <t>Real Estate Home Inspector Recovery</t>
  </si>
  <si>
    <t>5X60</t>
  </si>
  <si>
    <t>800623</t>
  </si>
  <si>
    <t>Video Service</t>
  </si>
  <si>
    <t>5XK0</t>
  </si>
  <si>
    <t>800657</t>
  </si>
  <si>
    <t>Ohio Investor Recovery</t>
  </si>
  <si>
    <t>6530</t>
  </si>
  <si>
    <t>800629</t>
  </si>
  <si>
    <t>UST Registration/Permit Fee</t>
  </si>
  <si>
    <t>6A40</t>
  </si>
  <si>
    <t>800630</t>
  </si>
  <si>
    <t>Real Estate Appraiser-Operating</t>
  </si>
  <si>
    <t>3480</t>
  </si>
  <si>
    <t>800622</t>
  </si>
  <si>
    <t>Underground Storage Tanks</t>
  </si>
  <si>
    <t>800624</t>
  </si>
  <si>
    <t>Leaking Underground Storage Tanks</t>
  </si>
  <si>
    <t>3HK0</t>
  </si>
  <si>
    <t>800654</t>
  </si>
  <si>
    <t>911 Grant Program</t>
  </si>
  <si>
    <t>1630</t>
  </si>
  <si>
    <t>800620</t>
  </si>
  <si>
    <t>Division of Administration</t>
  </si>
  <si>
    <t>800637</t>
  </si>
  <si>
    <t>Information Technology</t>
  </si>
  <si>
    <t>COS</t>
  </si>
  <si>
    <t>879609</t>
  </si>
  <si>
    <t>CRB</t>
  </si>
  <si>
    <t>865601</t>
  </si>
  <si>
    <t>CSF</t>
  </si>
  <si>
    <t>DSF</t>
  </si>
  <si>
    <t>7070</t>
  </si>
  <si>
    <t>155905</t>
  </si>
  <si>
    <t>Third Frontier Research and Development Bond Retirement Fund</t>
  </si>
  <si>
    <t>7072</t>
  </si>
  <si>
    <t>155902</t>
  </si>
  <si>
    <t>Highway Capital Improvement Bond Retirement Fund</t>
  </si>
  <si>
    <t>7073</t>
  </si>
  <si>
    <t>155903</t>
  </si>
  <si>
    <t>Natural Resources Bond Retirement Fund</t>
  </si>
  <si>
    <t>7074</t>
  </si>
  <si>
    <t>155904</t>
  </si>
  <si>
    <t>Conservation Projects Bond Retirement Fund</t>
  </si>
  <si>
    <t>7076</t>
  </si>
  <si>
    <t>155906</t>
  </si>
  <si>
    <t>Coal Research and Development Bond Retirement Fund</t>
  </si>
  <si>
    <t>7077</t>
  </si>
  <si>
    <t>155907</t>
  </si>
  <si>
    <t>State Capital Improvement Bond Retirement Fund</t>
  </si>
  <si>
    <t>7078</t>
  </si>
  <si>
    <t>155908</t>
  </si>
  <si>
    <t>Common Schools Bond Retirement Fund</t>
  </si>
  <si>
    <t>7079</t>
  </si>
  <si>
    <t>155909</t>
  </si>
  <si>
    <t>Higher Education Bond Retirement Fund</t>
  </si>
  <si>
    <t>7080</t>
  </si>
  <si>
    <t>155901</t>
  </si>
  <si>
    <t>Persian Gulf, Afghanistan, and Iraq Conflict Bond Retirement Fund</t>
  </si>
  <si>
    <t>7090</t>
  </si>
  <si>
    <t>155912</t>
  </si>
  <si>
    <t>Job Ready Site Development Bond Retirement Fund</t>
  </si>
  <si>
    <t>CSR</t>
  </si>
  <si>
    <t>2080</t>
  </si>
  <si>
    <t>874601</t>
  </si>
  <si>
    <t>Underground Parking Garage Operations</t>
  </si>
  <si>
    <t>4G50</t>
  </si>
  <si>
    <t>874603</t>
  </si>
  <si>
    <t>Capitol Square Education Center and Arts</t>
  </si>
  <si>
    <t>874100</t>
  </si>
  <si>
    <t>Personal Services</t>
  </si>
  <si>
    <t>874320</t>
  </si>
  <si>
    <t>Maintenance and Equipment</t>
  </si>
  <si>
    <t>4S70</t>
  </si>
  <si>
    <t>874602</t>
  </si>
  <si>
    <t>Statehouse Gift Shop/Events</t>
  </si>
  <si>
    <t>CSV</t>
  </si>
  <si>
    <t>5GN0</t>
  </si>
  <si>
    <t>866605</t>
  </si>
  <si>
    <t>Serve Ohio Support</t>
  </si>
  <si>
    <t>3R70</t>
  </si>
  <si>
    <t>866617</t>
  </si>
  <si>
    <t>AmeriCorps Programs</t>
  </si>
  <si>
    <t>866321</t>
  </si>
  <si>
    <t>CSV Operations</t>
  </si>
  <si>
    <t>CSW</t>
  </si>
  <si>
    <t>899609</t>
  </si>
  <si>
    <t>DAS</t>
  </si>
  <si>
    <t>100671</t>
  </si>
  <si>
    <t>Coronavirus Relief - DAS</t>
  </si>
  <si>
    <t>5L70</t>
  </si>
  <si>
    <t>100610</t>
  </si>
  <si>
    <t>Professional Development</t>
  </si>
  <si>
    <t>5MV0</t>
  </si>
  <si>
    <t>100662</t>
  </si>
  <si>
    <t>Theatre Equipment Maintenance</t>
  </si>
  <si>
    <t>5NM0</t>
  </si>
  <si>
    <t>100663</t>
  </si>
  <si>
    <t>911 Program</t>
  </si>
  <si>
    <t>5V60</t>
  </si>
  <si>
    <t>100619</t>
  </si>
  <si>
    <t>Employee Educational Development</t>
  </si>
  <si>
    <t>3AJ0</t>
  </si>
  <si>
    <t>100623</t>
  </si>
  <si>
    <t>Information Technology Grants</t>
  </si>
  <si>
    <t>FID</t>
  </si>
  <si>
    <t>5UH0</t>
  </si>
  <si>
    <t>100670</t>
  </si>
  <si>
    <t>Enterprise Transactions</t>
  </si>
  <si>
    <t>100412</t>
  </si>
  <si>
    <t>Unemployment Insurance System Lease Rental Payments</t>
  </si>
  <si>
    <t>100413</t>
  </si>
  <si>
    <t>EDCS Lease Rental Payments</t>
  </si>
  <si>
    <t>100414</t>
  </si>
  <si>
    <t>MARCS Lease Rental Payments</t>
  </si>
  <si>
    <t>100415</t>
  </si>
  <si>
    <t>OAKS Lease Rental Payments</t>
  </si>
  <si>
    <t>100416</t>
  </si>
  <si>
    <t>STARS Lease Rental Payments</t>
  </si>
  <si>
    <t>100447</t>
  </si>
  <si>
    <t>Administrative Buildings Lease Rental Bond Payments</t>
  </si>
  <si>
    <t>100456</t>
  </si>
  <si>
    <t>State IT Services</t>
  </si>
  <si>
    <t>100457</t>
  </si>
  <si>
    <t>Equal Opportunity Services</t>
  </si>
  <si>
    <t>100459</t>
  </si>
  <si>
    <t>Ohio Business Gateway</t>
  </si>
  <si>
    <t>100469</t>
  </si>
  <si>
    <t>Aronoff Center Building Maintenance</t>
  </si>
  <si>
    <t>100501</t>
  </si>
  <si>
    <t>MARCS Fee Offset</t>
  </si>
  <si>
    <t>100504</t>
  </si>
  <si>
    <t>Central Warehouse</t>
  </si>
  <si>
    <t>130321</t>
  </si>
  <si>
    <t>State Agency Support Services</t>
  </si>
  <si>
    <t>1120</t>
  </si>
  <si>
    <t>100616</t>
  </si>
  <si>
    <t>DAS Administration</t>
  </si>
  <si>
    <t>1150</t>
  </si>
  <si>
    <t>100632</t>
  </si>
  <si>
    <t>Central Service Agency</t>
  </si>
  <si>
    <t>1170</t>
  </si>
  <si>
    <t>100644</t>
  </si>
  <si>
    <t>General Services Division - Operating</t>
  </si>
  <si>
    <t>1220</t>
  </si>
  <si>
    <t>100637</t>
  </si>
  <si>
    <t>Fleet Management</t>
  </si>
  <si>
    <t>1250</t>
  </si>
  <si>
    <t>100622</t>
  </si>
  <si>
    <t>Human Resources Division - Operating</t>
  </si>
  <si>
    <t>100657</t>
  </si>
  <si>
    <t>Benefits Communication</t>
  </si>
  <si>
    <t>1280</t>
  </si>
  <si>
    <t>100620</t>
  </si>
  <si>
    <t>Office of Collective Bargaining</t>
  </si>
  <si>
    <t>1300</t>
  </si>
  <si>
    <t>100606</t>
  </si>
  <si>
    <t>Risk Management Reserve</t>
  </si>
  <si>
    <t>1320</t>
  </si>
  <si>
    <t>100631</t>
  </si>
  <si>
    <t>DAS Building Management</t>
  </si>
  <si>
    <t>1330</t>
  </si>
  <si>
    <t>100607</t>
  </si>
  <si>
    <t>IT Services Delivery</t>
  </si>
  <si>
    <t>1880</t>
  </si>
  <si>
    <t>100649</t>
  </si>
  <si>
    <t>Equal Opportunity Division- Operating</t>
  </si>
  <si>
    <t>2100</t>
  </si>
  <si>
    <t>100612</t>
  </si>
  <si>
    <t>State Printing</t>
  </si>
  <si>
    <t>2290</t>
  </si>
  <si>
    <t>100630</t>
  </si>
  <si>
    <t>IT Governance</t>
  </si>
  <si>
    <t>100640</t>
  </si>
  <si>
    <t>Consolidated IT Purchases</t>
  </si>
  <si>
    <t>4270</t>
  </si>
  <si>
    <t>100602</t>
  </si>
  <si>
    <t>Investment Recovery</t>
  </si>
  <si>
    <t>4N60</t>
  </si>
  <si>
    <t>100617</t>
  </si>
  <si>
    <t>Major IT Purchases</t>
  </si>
  <si>
    <t>5C20</t>
  </si>
  <si>
    <t>100605</t>
  </si>
  <si>
    <t>MARCS Administration</t>
  </si>
  <si>
    <t>5EB0</t>
  </si>
  <si>
    <t>100635</t>
  </si>
  <si>
    <t>OAKS Support Organization</t>
  </si>
  <si>
    <t>100656</t>
  </si>
  <si>
    <t>OAKS Updates and Developments</t>
  </si>
  <si>
    <t>5JQ0</t>
  </si>
  <si>
    <t>100658</t>
  </si>
  <si>
    <t>Professionals Licensing System</t>
  </si>
  <si>
    <t>5KZ0</t>
  </si>
  <si>
    <t>100659</t>
  </si>
  <si>
    <t>Building Improvement</t>
  </si>
  <si>
    <t>5LJ0</t>
  </si>
  <si>
    <t>100661</t>
  </si>
  <si>
    <t>IT Development</t>
  </si>
  <si>
    <t>5PC0</t>
  </si>
  <si>
    <t>100665</t>
  </si>
  <si>
    <t>Enterprise Applications</t>
  </si>
  <si>
    <t>5WU0</t>
  </si>
  <si>
    <t>100672</t>
  </si>
  <si>
    <t>Ohio Benefits</t>
  </si>
  <si>
    <t>DDD</t>
  </si>
  <si>
    <t>2210</t>
  </si>
  <si>
    <t>322620</t>
  </si>
  <si>
    <t>Supplement Service Trust</t>
  </si>
  <si>
    <t>4890</t>
  </si>
  <si>
    <t>653632</t>
  </si>
  <si>
    <t>Developmental Centers Direct Care Services</t>
  </si>
  <si>
    <t>5DK0</t>
  </si>
  <si>
    <t>322629</t>
  </si>
  <si>
    <t>Capital Replacement Facilities</t>
  </si>
  <si>
    <t>5EV0</t>
  </si>
  <si>
    <t>653627</t>
  </si>
  <si>
    <t>Medicaid Program Support</t>
  </si>
  <si>
    <t>5GE0</t>
  </si>
  <si>
    <t>320606</t>
  </si>
  <si>
    <t>Central Office Operating Expenses</t>
  </si>
  <si>
    <t>653606</t>
  </si>
  <si>
    <t>ICF/IID and Waiver Match</t>
  </si>
  <si>
    <t>5H00</t>
  </si>
  <si>
    <t>322619</t>
  </si>
  <si>
    <t>Medicaid Repayment</t>
  </si>
  <si>
    <t>5QM0</t>
  </si>
  <si>
    <t>320607</t>
  </si>
  <si>
    <t>System Transformation Supports</t>
  </si>
  <si>
    <t>5S20</t>
  </si>
  <si>
    <t>653622</t>
  </si>
  <si>
    <t>Medicaid Administration and Oversight</t>
  </si>
  <si>
    <t>5Z10</t>
  </si>
  <si>
    <t>653624</t>
  </si>
  <si>
    <t>County Board Waiver Match</t>
  </si>
  <si>
    <t>3250</t>
  </si>
  <si>
    <t>322612</t>
  </si>
  <si>
    <t>Community Social Service Programs</t>
  </si>
  <si>
    <t>3A40</t>
  </si>
  <si>
    <t>653654</t>
  </si>
  <si>
    <t>Medicaid Services</t>
  </si>
  <si>
    <t>653655</t>
  </si>
  <si>
    <t>Medicaid Support</t>
  </si>
  <si>
    <t>3A50</t>
  </si>
  <si>
    <t>320613</t>
  </si>
  <si>
    <t>Developmental Disabilities Council</t>
  </si>
  <si>
    <t>322656</t>
  </si>
  <si>
    <t>DODD GEER - Supplemental Learning</t>
  </si>
  <si>
    <t>320411</t>
  </si>
  <si>
    <t>Special Olympics</t>
  </si>
  <si>
    <t>320412</t>
  </si>
  <si>
    <t>Protective Services</t>
  </si>
  <si>
    <t>320415</t>
  </si>
  <si>
    <t>Developmental Disabilities Facilities Lease Rental Bond Payments</t>
  </si>
  <si>
    <t>322420</t>
  </si>
  <si>
    <t>Screening and Early Identification</t>
  </si>
  <si>
    <t>322421</t>
  </si>
  <si>
    <t>Part C Early Intervention</t>
  </si>
  <si>
    <t>322422</t>
  </si>
  <si>
    <t>Multi System Youth</t>
  </si>
  <si>
    <t>322451</t>
  </si>
  <si>
    <t>Family Support Services</t>
  </si>
  <si>
    <t>322502</t>
  </si>
  <si>
    <t>Community Program Support</t>
  </si>
  <si>
    <t>322508</t>
  </si>
  <si>
    <t>Employment First Initiative</t>
  </si>
  <si>
    <t>322509</t>
  </si>
  <si>
    <t>Community Supports and Rental Assistance</t>
  </si>
  <si>
    <t>322510</t>
  </si>
  <si>
    <t>Best Buddies Ohio</t>
  </si>
  <si>
    <t>653321</t>
  </si>
  <si>
    <t>Medicaid Program Support-State</t>
  </si>
  <si>
    <t>653407</t>
  </si>
  <si>
    <t>1520</t>
  </si>
  <si>
    <t>653609</t>
  </si>
  <si>
    <t>DC and Residential Facilities Operating Services</t>
  </si>
  <si>
    <t>DEN</t>
  </si>
  <si>
    <t>880609</t>
  </si>
  <si>
    <t>DEV</t>
  </si>
  <si>
    <t>195605</t>
  </si>
  <si>
    <t>Broadband Development Grants</t>
  </si>
  <si>
    <t>195686</t>
  </si>
  <si>
    <t>Third Frontier Tax Exempt - Operating</t>
  </si>
  <si>
    <t>195687</t>
  </si>
  <si>
    <t>Third Frontier Research and Development Projects</t>
  </si>
  <si>
    <t>195620</t>
  </si>
  <si>
    <t>Third Frontier Taxable - Operating</t>
  </si>
  <si>
    <t>195692</t>
  </si>
  <si>
    <t>Research and Development Taxable Bond Projects</t>
  </si>
  <si>
    <t>4500</t>
  </si>
  <si>
    <t>195624</t>
  </si>
  <si>
    <t>Minority Business Bonding Program Administration</t>
  </si>
  <si>
    <t>4510</t>
  </si>
  <si>
    <t>195649</t>
  </si>
  <si>
    <t>Business Assistance Programs</t>
  </si>
  <si>
    <t>4F20</t>
  </si>
  <si>
    <t>195639</t>
  </si>
  <si>
    <t>State Special Projects</t>
  </si>
  <si>
    <t>195655</t>
  </si>
  <si>
    <t>Workforce Development Programs</t>
  </si>
  <si>
    <t>195699</t>
  </si>
  <si>
    <t>Utility Community Assistance</t>
  </si>
  <si>
    <t>4W10</t>
  </si>
  <si>
    <t>195646</t>
  </si>
  <si>
    <t>Minority Business Enterprise Loan</t>
  </si>
  <si>
    <t>195608</t>
  </si>
  <si>
    <t>Coronavirus Relief - Economic Relief Grant</t>
  </si>
  <si>
    <t>195562</t>
  </si>
  <si>
    <t>Lodging Industry Grants</t>
  </si>
  <si>
    <t>195621</t>
  </si>
  <si>
    <t>Coronavirus Relief - Entertainment Venues</t>
  </si>
  <si>
    <t>195625</t>
  </si>
  <si>
    <t>Coronavirus Relief Personal Protective Equipment Manufacturing Grant</t>
  </si>
  <si>
    <t>195630</t>
  </si>
  <si>
    <t>Coronavirus Relief New Business Relief Grants</t>
  </si>
  <si>
    <t>195631</t>
  </si>
  <si>
    <t>Coronavirus Relief - Small Business Grant</t>
  </si>
  <si>
    <t>195693</t>
  </si>
  <si>
    <t>Economic Relief - Rent Mortgage Utility Assistance</t>
  </si>
  <si>
    <t>5CV2</t>
  </si>
  <si>
    <t>195559</t>
  </si>
  <si>
    <t>Rent and Utility Assistance</t>
  </si>
  <si>
    <t>5HR0</t>
  </si>
  <si>
    <t>195403</t>
  </si>
  <si>
    <t>Appalachian Workforce Assistance</t>
  </si>
  <si>
    <t>195606</t>
  </si>
  <si>
    <t>TechCred Program</t>
  </si>
  <si>
    <t>195622</t>
  </si>
  <si>
    <t>Defense Development Assistance</t>
  </si>
  <si>
    <t>195662</t>
  </si>
  <si>
    <t>Incumbent Workforce Training Vouchers</t>
  </si>
  <si>
    <t>5JR0</t>
  </si>
  <si>
    <t>195635</t>
  </si>
  <si>
    <t>Tax Incentives Operating</t>
  </si>
  <si>
    <t>5KN0</t>
  </si>
  <si>
    <t>195640</t>
  </si>
  <si>
    <t>Local Government Innovation</t>
  </si>
  <si>
    <t>5GT0</t>
  </si>
  <si>
    <t>195550</t>
  </si>
  <si>
    <t>195571</t>
  </si>
  <si>
    <t>Special Projects</t>
  </si>
  <si>
    <t>5YE0</t>
  </si>
  <si>
    <t>1956A2</t>
  </si>
  <si>
    <t>Brownfield Remediation</t>
  </si>
  <si>
    <t>5YF0</t>
  </si>
  <si>
    <t>1956A3</t>
  </si>
  <si>
    <t>Demolition and Site Revitalizatoin</t>
  </si>
  <si>
    <t>5KP0</t>
  </si>
  <si>
    <t>195645</t>
  </si>
  <si>
    <t>Historic Rehabilitation Operating</t>
  </si>
  <si>
    <t>5LU0</t>
  </si>
  <si>
    <t>195673</t>
  </si>
  <si>
    <t>Racetrack Facility Community Economic Redevelopment</t>
  </si>
  <si>
    <t>5M40</t>
  </si>
  <si>
    <t>195659</t>
  </si>
  <si>
    <t>Low Income Energy Assistance (USF)</t>
  </si>
  <si>
    <t>5M50</t>
  </si>
  <si>
    <t>195660</t>
  </si>
  <si>
    <t>Advanced Energy Loan Programs</t>
  </si>
  <si>
    <t>5MH0</t>
  </si>
  <si>
    <t>195644</t>
  </si>
  <si>
    <t>SiteOhio Administration</t>
  </si>
  <si>
    <t>5MJ0</t>
  </si>
  <si>
    <t>195683</t>
  </si>
  <si>
    <t>TourismOhio Administration</t>
  </si>
  <si>
    <t>5UL0</t>
  </si>
  <si>
    <t>195627</t>
  </si>
  <si>
    <t>Brownfields Revolving Loan Program</t>
  </si>
  <si>
    <t>5UY0</t>
  </si>
  <si>
    <t>195496</t>
  </si>
  <si>
    <t>Sports Events Grants</t>
  </si>
  <si>
    <t>5W60</t>
  </si>
  <si>
    <t>195691</t>
  </si>
  <si>
    <t>International Trade Cooperative Projects</t>
  </si>
  <si>
    <t>5XH0</t>
  </si>
  <si>
    <t>195632</t>
  </si>
  <si>
    <t>Women Owned Business Loans</t>
  </si>
  <si>
    <t>195694</t>
  </si>
  <si>
    <t>Micro-Enterprise Loans</t>
  </si>
  <si>
    <t>5XM0</t>
  </si>
  <si>
    <t>195544</t>
  </si>
  <si>
    <t>Entertainment Venues</t>
  </si>
  <si>
    <t>195604</t>
  </si>
  <si>
    <t>195677</t>
  </si>
  <si>
    <t>Bar and Restaurant Assistance</t>
  </si>
  <si>
    <t>195685</t>
  </si>
  <si>
    <t>195697</t>
  </si>
  <si>
    <t>New Business Relief Grant</t>
  </si>
  <si>
    <t>5XU0</t>
  </si>
  <si>
    <t>195567</t>
  </si>
  <si>
    <t>Residential Broadband Expansion Grants</t>
  </si>
  <si>
    <t>5XX0</t>
  </si>
  <si>
    <t>195408</t>
  </si>
  <si>
    <t>5YC0</t>
  </si>
  <si>
    <t>195569</t>
  </si>
  <si>
    <t>Community Improvements</t>
  </si>
  <si>
    <t>6170</t>
  </si>
  <si>
    <t>195654</t>
  </si>
  <si>
    <t>Volume Cap Administration</t>
  </si>
  <si>
    <t>6460</t>
  </si>
  <si>
    <t>195638</t>
  </si>
  <si>
    <t>Low- and Moderate-Income Housing Programs</t>
  </si>
  <si>
    <t>M087</t>
  </si>
  <si>
    <t>195435</t>
  </si>
  <si>
    <t>Biomedical Research and Technology Transfer</t>
  </si>
  <si>
    <t>FCE</t>
  </si>
  <si>
    <t>4Z60</t>
  </si>
  <si>
    <t>195647</t>
  </si>
  <si>
    <t>Rural Industrial Park Loan</t>
  </si>
  <si>
    <t>5S90</t>
  </si>
  <si>
    <t>195628</t>
  </si>
  <si>
    <t>Capital Access Loan Program</t>
  </si>
  <si>
    <t>7009</t>
  </si>
  <si>
    <t>195664</t>
  </si>
  <si>
    <t>Innovation Ohio</t>
  </si>
  <si>
    <t>7010</t>
  </si>
  <si>
    <t>195665</t>
  </si>
  <si>
    <t>Research and Development</t>
  </si>
  <si>
    <t>7037</t>
  </si>
  <si>
    <t>195615</t>
  </si>
  <si>
    <t>Facilities Establishment</t>
  </si>
  <si>
    <t>3080</t>
  </si>
  <si>
    <t>195602</t>
  </si>
  <si>
    <t>Appalachian Regional Commission</t>
  </si>
  <si>
    <t>195603</t>
  </si>
  <si>
    <t>Housing Assistance Programs</t>
  </si>
  <si>
    <t>195609</t>
  </si>
  <si>
    <t>Small Business Administration Grants</t>
  </si>
  <si>
    <t>195618</t>
  </si>
  <si>
    <t>Energy Grants</t>
  </si>
  <si>
    <t>195670</t>
  </si>
  <si>
    <t>Home Weatherization Program</t>
  </si>
  <si>
    <t>195672</t>
  </si>
  <si>
    <t>Manufacturing Extension Partnership</t>
  </si>
  <si>
    <t>195675</t>
  </si>
  <si>
    <t>Procurement Technical Assistance</t>
  </si>
  <si>
    <t>195696</t>
  </si>
  <si>
    <t>State Trade and Export Promotion</t>
  </si>
  <si>
    <t>3350</t>
  </si>
  <si>
    <t>195610</t>
  </si>
  <si>
    <t>Energy Programs</t>
  </si>
  <si>
    <t>3AE0</t>
  </si>
  <si>
    <t>195643</t>
  </si>
  <si>
    <t>Workforce Development Initiatives</t>
  </si>
  <si>
    <t>3FJ0</t>
  </si>
  <si>
    <t>195626</t>
  </si>
  <si>
    <t>Small Business Capital Access and Collateral Enhancement Program</t>
  </si>
  <si>
    <t>195661</t>
  </si>
  <si>
    <t>Technology Targeted Investment Program</t>
  </si>
  <si>
    <t>3K80</t>
  </si>
  <si>
    <t>195613</t>
  </si>
  <si>
    <t>Community Development Block Grant</t>
  </si>
  <si>
    <t>3K90</t>
  </si>
  <si>
    <t>195611</t>
  </si>
  <si>
    <t>Home Energy Assistance Block Grant</t>
  </si>
  <si>
    <t>195614</t>
  </si>
  <si>
    <t>HEAP Weatherization</t>
  </si>
  <si>
    <t>3L00</t>
  </si>
  <si>
    <t>195612</t>
  </si>
  <si>
    <t>Community Services Block Grant</t>
  </si>
  <si>
    <t>3V10</t>
  </si>
  <si>
    <t>195601</t>
  </si>
  <si>
    <t>HOME Program</t>
  </si>
  <si>
    <t>195402</t>
  </si>
  <si>
    <t>Coal Research and Development Program</t>
  </si>
  <si>
    <t>195405</t>
  </si>
  <si>
    <t>Minority Business Development</t>
  </si>
  <si>
    <t>195415</t>
  </si>
  <si>
    <t>Business Development Services</t>
  </si>
  <si>
    <t>195426</t>
  </si>
  <si>
    <t>Redevelopment Assistance</t>
  </si>
  <si>
    <t>195453</t>
  </si>
  <si>
    <t>Technology Programs and Grants</t>
  </si>
  <si>
    <t>195454</t>
  </si>
  <si>
    <t>Small Business and Export Assistance</t>
  </si>
  <si>
    <t>195455</t>
  </si>
  <si>
    <t>Appalachia Assistance</t>
  </si>
  <si>
    <t>195497</t>
  </si>
  <si>
    <t>CDBG Operating Match</t>
  </si>
  <si>
    <t>195499</t>
  </si>
  <si>
    <t>BSD Federal Programs Match</t>
  </si>
  <si>
    <t>195501</t>
  </si>
  <si>
    <t>iBELIEVE</t>
  </si>
  <si>
    <t>195503</t>
  </si>
  <si>
    <t>Local Development Projects</t>
  </si>
  <si>
    <t>195520</t>
  </si>
  <si>
    <t>Ohio Main Street Program</t>
  </si>
  <si>
    <t>195532</t>
  </si>
  <si>
    <t>195537</t>
  </si>
  <si>
    <t>Ohio-Israel Agricultural Initiative</t>
  </si>
  <si>
    <t>195553</t>
  </si>
  <si>
    <t>Industry Sector Partnerships</t>
  </si>
  <si>
    <t>195556</t>
  </si>
  <si>
    <t>195566</t>
  </si>
  <si>
    <t>Main Street Job Recovery Program</t>
  </si>
  <si>
    <t>195651</t>
  </si>
  <si>
    <t>195901</t>
  </si>
  <si>
    <t>Coal Research and Development General Obligation Bond Debt Service</t>
  </si>
  <si>
    <t>195905</t>
  </si>
  <si>
    <t>Third Frontier Research and Development General Obligation Bond Debt Service</t>
  </si>
  <si>
    <t>195912</t>
  </si>
  <si>
    <t>Job Ready Site Development General Obligation Bond Debt Service</t>
  </si>
  <si>
    <t>1350</t>
  </si>
  <si>
    <t>195684</t>
  </si>
  <si>
    <t>Development Services Operations</t>
  </si>
  <si>
    <t>6850</t>
  </si>
  <si>
    <t>195636</t>
  </si>
  <si>
    <t>Development Services Reimbursable Expenditures</t>
  </si>
  <si>
    <t>DNR</t>
  </si>
  <si>
    <t>7061</t>
  </si>
  <si>
    <t>725405</t>
  </si>
  <si>
    <t>Clean Ohio Trail Operating</t>
  </si>
  <si>
    <t>2270</t>
  </si>
  <si>
    <t>725406</t>
  </si>
  <si>
    <t>Parks Projects Personnel</t>
  </si>
  <si>
    <t>4300</t>
  </si>
  <si>
    <t>725671</t>
  </si>
  <si>
    <t>Canal Lands</t>
  </si>
  <si>
    <t>4S90</t>
  </si>
  <si>
    <t>725622</t>
  </si>
  <si>
    <t>NatureWorks Personnel</t>
  </si>
  <si>
    <t>4U60</t>
  </si>
  <si>
    <t>725668</t>
  </si>
  <si>
    <t>Scenic Rivers Protection</t>
  </si>
  <si>
    <t>5090</t>
  </si>
  <si>
    <t>725602</t>
  </si>
  <si>
    <t>State Forest</t>
  </si>
  <si>
    <t>5110</t>
  </si>
  <si>
    <t>725646</t>
  </si>
  <si>
    <t>Ohio Geological Mapping</t>
  </si>
  <si>
    <t>725679</t>
  </si>
  <si>
    <t>Geographic Information System Centralized Services</t>
  </si>
  <si>
    <t>5120</t>
  </si>
  <si>
    <t>725605</t>
  </si>
  <si>
    <t>State Parks Operations</t>
  </si>
  <si>
    <t>5140</t>
  </si>
  <si>
    <t>725606</t>
  </si>
  <si>
    <t>Lake Erie Shoreline</t>
  </si>
  <si>
    <t>5160</t>
  </si>
  <si>
    <t>725620</t>
  </si>
  <si>
    <t>Water Management</t>
  </si>
  <si>
    <t>5180</t>
  </si>
  <si>
    <t>725643</t>
  </si>
  <si>
    <t>Oil and Gas Regulation and Safety</t>
  </si>
  <si>
    <t>725677</t>
  </si>
  <si>
    <t>Oil and Gas Well Plugging</t>
  </si>
  <si>
    <t>5210</t>
  </si>
  <si>
    <t>725627</t>
  </si>
  <si>
    <t>Off-Road Vehicle Trails</t>
  </si>
  <si>
    <t>5220</t>
  </si>
  <si>
    <t>725656</t>
  </si>
  <si>
    <t>Natural Areas and Preserves</t>
  </si>
  <si>
    <t>5290</t>
  </si>
  <si>
    <t>725639</t>
  </si>
  <si>
    <t>Mining Regulation and Safety</t>
  </si>
  <si>
    <t>5310</t>
  </si>
  <si>
    <t>725648</t>
  </si>
  <si>
    <t>Reclamation  Forfeiture</t>
  </si>
  <si>
    <t>725697</t>
  </si>
  <si>
    <t>Coronavirus Relief DNR COVID Safety</t>
  </si>
  <si>
    <t>5EL0</t>
  </si>
  <si>
    <t>725612</t>
  </si>
  <si>
    <t>Wildlife Law Enforcement</t>
  </si>
  <si>
    <t>5EM0</t>
  </si>
  <si>
    <t>725613</t>
  </si>
  <si>
    <t>Natural Resources Law Enforcement</t>
  </si>
  <si>
    <t>5HK0</t>
  </si>
  <si>
    <t>725625</t>
  </si>
  <si>
    <t>Ohio Nature Preserves</t>
  </si>
  <si>
    <t>5MW0</t>
  </si>
  <si>
    <t>725604</t>
  </si>
  <si>
    <t>Natural Resources Special Purposes</t>
  </si>
  <si>
    <t>5P20</t>
  </si>
  <si>
    <t>725634</t>
  </si>
  <si>
    <t>Wildlife Boater Angler Administration</t>
  </si>
  <si>
    <t>5TD0</t>
  </si>
  <si>
    <t>725514</t>
  </si>
  <si>
    <t>Park Maintenance</t>
  </si>
  <si>
    <t>6150</t>
  </si>
  <si>
    <t>725661</t>
  </si>
  <si>
    <t>Dam Safety</t>
  </si>
  <si>
    <t>6970</t>
  </si>
  <si>
    <t>725670</t>
  </si>
  <si>
    <t>Submerged Lands</t>
  </si>
  <si>
    <t>725681</t>
  </si>
  <si>
    <t>7015</t>
  </si>
  <si>
    <t>725607</t>
  </si>
  <si>
    <t>Appalachian Hills</t>
  </si>
  <si>
    <t>740401</t>
  </si>
  <si>
    <t>Division of Wildlife Conservation</t>
  </si>
  <si>
    <t>7086</t>
  </si>
  <si>
    <t>725414</t>
  </si>
  <si>
    <t>Waterways Improvement</t>
  </si>
  <si>
    <t>739401</t>
  </si>
  <si>
    <t>Watercraft Operations</t>
  </si>
  <si>
    <t>8150</t>
  </si>
  <si>
    <t>725636</t>
  </si>
  <si>
    <t>Cooperative Management Projects</t>
  </si>
  <si>
    <t>8160</t>
  </si>
  <si>
    <t>725649</t>
  </si>
  <si>
    <t>Wetlands Habitat</t>
  </si>
  <si>
    <t>8170</t>
  </si>
  <si>
    <t>725655</t>
  </si>
  <si>
    <t>Wildlife Conservation Checkoff</t>
  </si>
  <si>
    <t>8180</t>
  </si>
  <si>
    <t>725629</t>
  </si>
  <si>
    <t>Cooperative Fisheries Research</t>
  </si>
  <si>
    <t>8190</t>
  </si>
  <si>
    <t>725685</t>
  </si>
  <si>
    <t>Ohio River Management</t>
  </si>
  <si>
    <t>81B0</t>
  </si>
  <si>
    <t>725688</t>
  </si>
  <si>
    <t>Wildlife Habitats</t>
  </si>
  <si>
    <t>3320</t>
  </si>
  <si>
    <t>725669</t>
  </si>
  <si>
    <t>Federal Mine Safety Grant</t>
  </si>
  <si>
    <t>3B30</t>
  </si>
  <si>
    <t>725640</t>
  </si>
  <si>
    <t>Federal Forest Pass-Thru</t>
  </si>
  <si>
    <t>3B40</t>
  </si>
  <si>
    <t>725641</t>
  </si>
  <si>
    <t>Federal Flood Pass-Thru</t>
  </si>
  <si>
    <t>3B50</t>
  </si>
  <si>
    <t>725645</t>
  </si>
  <si>
    <t>Federal Abandoned Mine Lands</t>
  </si>
  <si>
    <t>3B60</t>
  </si>
  <si>
    <t>725653</t>
  </si>
  <si>
    <t>Federal Land and Water Conservation Grants</t>
  </si>
  <si>
    <t>3B70</t>
  </si>
  <si>
    <t>725654</t>
  </si>
  <si>
    <t>Reclamation - Regulatory</t>
  </si>
  <si>
    <t>3P10</t>
  </si>
  <si>
    <t>725632</t>
  </si>
  <si>
    <t>Geological Survey-Federal</t>
  </si>
  <si>
    <t>3P20</t>
  </si>
  <si>
    <t>725642</t>
  </si>
  <si>
    <t>Oil and Gas-Federal</t>
  </si>
  <si>
    <t>3P30</t>
  </si>
  <si>
    <t>725650</t>
  </si>
  <si>
    <t>Coastal Management - Federal</t>
  </si>
  <si>
    <t>3P40</t>
  </si>
  <si>
    <t>725660</t>
  </si>
  <si>
    <t>Federal - Soil and Water Resources</t>
  </si>
  <si>
    <t>3R50</t>
  </si>
  <si>
    <t>725673</t>
  </si>
  <si>
    <t>Acid Mine Drainage Abatement/Treatment</t>
  </si>
  <si>
    <t>3Z50</t>
  </si>
  <si>
    <t>725657</t>
  </si>
  <si>
    <t>Federal Recreation and Trails</t>
  </si>
  <si>
    <t>4M80</t>
  </si>
  <si>
    <t>725675</t>
  </si>
  <si>
    <t>FOP Contract</t>
  </si>
  <si>
    <t>725401</t>
  </si>
  <si>
    <t>Division of Wildlife-Operating Subsidy</t>
  </si>
  <si>
    <t>725413</t>
  </si>
  <si>
    <t>Parks and Recreational Facilities Lease Rental Bond Payments</t>
  </si>
  <si>
    <t>725456</t>
  </si>
  <si>
    <t>725505</t>
  </si>
  <si>
    <t>Healthy Lake Erie Program</t>
  </si>
  <si>
    <t>725507</t>
  </si>
  <si>
    <t>Coal and Mine Safety Programs</t>
  </si>
  <si>
    <t>725520</t>
  </si>
  <si>
    <t>725903</t>
  </si>
  <si>
    <t>Natural Resources General Obligation Bond Debt Service</t>
  </si>
  <si>
    <t>727321</t>
  </si>
  <si>
    <t>Division of Forestry</t>
  </si>
  <si>
    <t>729321</t>
  </si>
  <si>
    <t>Office of Information Technology</t>
  </si>
  <si>
    <t>730321</t>
  </si>
  <si>
    <t>Parks and Recreation</t>
  </si>
  <si>
    <t>736321</t>
  </si>
  <si>
    <t>Division of Engineering</t>
  </si>
  <si>
    <t>737321</t>
  </si>
  <si>
    <t>Division of Water Resources</t>
  </si>
  <si>
    <t>738321</t>
  </si>
  <si>
    <t>Office of Real Estate and Land Management</t>
  </si>
  <si>
    <t>741321</t>
  </si>
  <si>
    <t>Division of Natural Areas and Preserves</t>
  </si>
  <si>
    <t>R017</t>
  </si>
  <si>
    <t>725659</t>
  </si>
  <si>
    <t>Performance Cash Bond Refunds</t>
  </si>
  <si>
    <t>R043</t>
  </si>
  <si>
    <t>725624</t>
  </si>
  <si>
    <t>Forestry</t>
  </si>
  <si>
    <t>1550</t>
  </si>
  <si>
    <t>725601</t>
  </si>
  <si>
    <t>Departmental Projects</t>
  </si>
  <si>
    <t>725676</t>
  </si>
  <si>
    <t>Hocking Hills State Park Lodge</t>
  </si>
  <si>
    <t>1570</t>
  </si>
  <si>
    <t>725651</t>
  </si>
  <si>
    <t>Program Support</t>
  </si>
  <si>
    <t>2040</t>
  </si>
  <si>
    <t>725687</t>
  </si>
  <si>
    <t>Information Services</t>
  </si>
  <si>
    <t>2050</t>
  </si>
  <si>
    <t>725696</t>
  </si>
  <si>
    <t>Human Resource Direct Services</t>
  </si>
  <si>
    <t>2230</t>
  </si>
  <si>
    <t>725665</t>
  </si>
  <si>
    <t>Law Enforcement Administration</t>
  </si>
  <si>
    <t>5100</t>
  </si>
  <si>
    <t>725631</t>
  </si>
  <si>
    <t>Maintenance - State-owned Residences</t>
  </si>
  <si>
    <t>6350</t>
  </si>
  <si>
    <t>725664</t>
  </si>
  <si>
    <t>Fountain Square Facilities Management</t>
  </si>
  <si>
    <t>DOH</t>
  </si>
  <si>
    <t>4700</t>
  </si>
  <si>
    <t>440647</t>
  </si>
  <si>
    <t>Fee Supported Programs</t>
  </si>
  <si>
    <t>4710</t>
  </si>
  <si>
    <t>440619</t>
  </si>
  <si>
    <t>Certificate of Need</t>
  </si>
  <si>
    <t>4730</t>
  </si>
  <si>
    <t>440622</t>
  </si>
  <si>
    <t>Lab Operating Expenses</t>
  </si>
  <si>
    <t>4770</t>
  </si>
  <si>
    <t>440627</t>
  </si>
  <si>
    <t>Medically Handicapped Children Audit</t>
  </si>
  <si>
    <t>4D60</t>
  </si>
  <si>
    <t>440608</t>
  </si>
  <si>
    <t>Genetics Services</t>
  </si>
  <si>
    <t>4F90</t>
  </si>
  <si>
    <t>440610</t>
  </si>
  <si>
    <t>Sickle Cell Disease Control</t>
  </si>
  <si>
    <t>4G00</t>
  </si>
  <si>
    <t>440636</t>
  </si>
  <si>
    <t>Heirloom Birth Certificate</t>
  </si>
  <si>
    <t>440637</t>
  </si>
  <si>
    <t>Birth Certificate Surcharge</t>
  </si>
  <si>
    <t>4L30</t>
  </si>
  <si>
    <t>440609</t>
  </si>
  <si>
    <t>HIV Care and Miscellaneous Expenses</t>
  </si>
  <si>
    <t>4P40</t>
  </si>
  <si>
    <t>440628</t>
  </si>
  <si>
    <t>Ohio Physician Loan Repayment</t>
  </si>
  <si>
    <t>4V60</t>
  </si>
  <si>
    <t>440641</t>
  </si>
  <si>
    <t>Save Our Sight</t>
  </si>
  <si>
    <t>5B50</t>
  </si>
  <si>
    <t>440616</t>
  </si>
  <si>
    <t>Quality, Monitoring, and Inspection</t>
  </si>
  <si>
    <t>5BX0</t>
  </si>
  <si>
    <t>440656</t>
  </si>
  <si>
    <t>Tobacco Use Prevention, Cessation, and Enforcement</t>
  </si>
  <si>
    <t>5CN0</t>
  </si>
  <si>
    <t>440645</t>
  </si>
  <si>
    <t>Choose Life</t>
  </si>
  <si>
    <t>440534</t>
  </si>
  <si>
    <t>Coronavirus Relief - Local Health Departments</t>
  </si>
  <si>
    <t>440674</t>
  </si>
  <si>
    <t>Coronavirus Relief - DOH</t>
  </si>
  <si>
    <t>440675</t>
  </si>
  <si>
    <t>COVID Safety - Growers Workforce Safety</t>
  </si>
  <si>
    <t>440676</t>
  </si>
  <si>
    <t>COVID Relief - Testing Contracts</t>
  </si>
  <si>
    <t>440677</t>
  </si>
  <si>
    <t>COVID Relief - Testing Supplies and Equipment</t>
  </si>
  <si>
    <t>440678</t>
  </si>
  <si>
    <t>COVID Relief - Testing Lab Services</t>
  </si>
  <si>
    <t>5D60</t>
  </si>
  <si>
    <t>440620</t>
  </si>
  <si>
    <t>Second Chance Trust</t>
  </si>
  <si>
    <t>5ED0</t>
  </si>
  <si>
    <t>440651</t>
  </si>
  <si>
    <t>Smoke Free Indoor Air</t>
  </si>
  <si>
    <t>5G40</t>
  </si>
  <si>
    <t>440639</t>
  </si>
  <si>
    <t>Adoption Services</t>
  </si>
  <si>
    <t>5HB0</t>
  </si>
  <si>
    <t>440470</t>
  </si>
  <si>
    <t>Breast and Cervical Cancer Screening</t>
  </si>
  <si>
    <t>5PE0</t>
  </si>
  <si>
    <t>440659</t>
  </si>
  <si>
    <t>Breast and Cervical Cancer Services</t>
  </si>
  <si>
    <t>5QJ0</t>
  </si>
  <si>
    <t>440662</t>
  </si>
  <si>
    <t>Dental Hygienist Loan Repayments</t>
  </si>
  <si>
    <t>5SH0</t>
  </si>
  <si>
    <t>440520</t>
  </si>
  <si>
    <t>Children's Wish Grant Program</t>
  </si>
  <si>
    <t>5TZ0</t>
  </si>
  <si>
    <t>440621</t>
  </si>
  <si>
    <t>Toxicology Screenings</t>
  </si>
  <si>
    <t>5UA0</t>
  </si>
  <si>
    <t>440668</t>
  </si>
  <si>
    <t>Health Emergency</t>
  </si>
  <si>
    <t>5Z70</t>
  </si>
  <si>
    <t>440624</t>
  </si>
  <si>
    <t>Ohio Dentist Loan Repayment</t>
  </si>
  <si>
    <t>6100</t>
  </si>
  <si>
    <t>440626</t>
  </si>
  <si>
    <t>Radiation Emergency Response</t>
  </si>
  <si>
    <t>6660</t>
  </si>
  <si>
    <t>440607</t>
  </si>
  <si>
    <t>Medically Handicapped Children - County Assessments</t>
  </si>
  <si>
    <t>6980</t>
  </si>
  <si>
    <t>440634</t>
  </si>
  <si>
    <t>Nurse Aide Training</t>
  </si>
  <si>
    <t>L087</t>
  </si>
  <si>
    <t>440680</t>
  </si>
  <si>
    <t>Nursing Home Bed Reduction</t>
  </si>
  <si>
    <t>3200</t>
  </si>
  <si>
    <t>440601</t>
  </si>
  <si>
    <t>Maternal Child Health Block Grant</t>
  </si>
  <si>
    <t>3870</t>
  </si>
  <si>
    <t>440602</t>
  </si>
  <si>
    <t>Preventive Health Block Grant</t>
  </si>
  <si>
    <t>3890</t>
  </si>
  <si>
    <t>440604</t>
  </si>
  <si>
    <t>Women, Infants, and Children</t>
  </si>
  <si>
    <t>3910</t>
  </si>
  <si>
    <t>440606</t>
  </si>
  <si>
    <t>Medicare Survey and Certification</t>
  </si>
  <si>
    <t>3920</t>
  </si>
  <si>
    <t>440618</t>
  </si>
  <si>
    <t>Federal Public Health Programs</t>
  </si>
  <si>
    <t>3GD0</t>
  </si>
  <si>
    <t>654601</t>
  </si>
  <si>
    <t>3GN0</t>
  </si>
  <si>
    <t>440660</t>
  </si>
  <si>
    <t>Public Health Emergency Preparedness</t>
  </si>
  <si>
    <t>3HP0</t>
  </si>
  <si>
    <t>440673</t>
  </si>
  <si>
    <t>Public Health Emergency Response</t>
  </si>
  <si>
    <t>3HV0</t>
  </si>
  <si>
    <t>440679</t>
  </si>
  <si>
    <t>COVID-19 Vaccines Distribution and Administration</t>
  </si>
  <si>
    <t>440413</t>
  </si>
  <si>
    <t>Local Health Departments</t>
  </si>
  <si>
    <t>440416</t>
  </si>
  <si>
    <t>Mothers and Children Safety Net Services</t>
  </si>
  <si>
    <t>440431</t>
  </si>
  <si>
    <t>Free Clinic Safety Net Services</t>
  </si>
  <si>
    <t>440438</t>
  </si>
  <si>
    <t>440444</t>
  </si>
  <si>
    <t>AIDS Prevention</t>
  </si>
  <si>
    <t>440451</t>
  </si>
  <si>
    <t>Public Health Laboratory</t>
  </si>
  <si>
    <t>440452</t>
  </si>
  <si>
    <t>Child and Family Health Services Match</t>
  </si>
  <si>
    <t>440453</t>
  </si>
  <si>
    <t>Health Care Quality Assurance</t>
  </si>
  <si>
    <t>440454</t>
  </si>
  <si>
    <t>Environmental Health/Radiation Protection</t>
  </si>
  <si>
    <t>440459</t>
  </si>
  <si>
    <t>Help Me Grow</t>
  </si>
  <si>
    <t>440465</t>
  </si>
  <si>
    <t>FQHC Primary Care Workforce Initiative</t>
  </si>
  <si>
    <t>440472</t>
  </si>
  <si>
    <t>Alcohol Testing</t>
  </si>
  <si>
    <t>440474</t>
  </si>
  <si>
    <t>Infant Vitality</t>
  </si>
  <si>
    <t>440477</t>
  </si>
  <si>
    <t>Emergency Preparedness and Response</t>
  </si>
  <si>
    <t>440481</t>
  </si>
  <si>
    <t>Lupus Awareness</t>
  </si>
  <si>
    <t>440482</t>
  </si>
  <si>
    <t>Chronic Disease, Injury Prevention and Drug Overdose</t>
  </si>
  <si>
    <t>440483</t>
  </si>
  <si>
    <t>Infectious Disease Prevention and Control</t>
  </si>
  <si>
    <t>440484</t>
  </si>
  <si>
    <t>Public Health Technology Innovation</t>
  </si>
  <si>
    <t>440485</t>
  </si>
  <si>
    <t>Health Program Support</t>
  </si>
  <si>
    <t>440505</t>
  </si>
  <si>
    <t>Medically Handicapped Children</t>
  </si>
  <si>
    <t>440507</t>
  </si>
  <si>
    <t>Targeted Healthcare Services - Over 21</t>
  </si>
  <si>
    <t>440527</t>
  </si>
  <si>
    <t>Lead Abatement</t>
  </si>
  <si>
    <t>440529</t>
  </si>
  <si>
    <t>Harm Reduction</t>
  </si>
  <si>
    <t>440530</t>
  </si>
  <si>
    <t>Lead-Safe Home Fund Pilot Program</t>
  </si>
  <si>
    <t>440672</t>
  </si>
  <si>
    <t>Youth Homelessness</t>
  </si>
  <si>
    <t>654453</t>
  </si>
  <si>
    <t>Medicaid-Health Care Quality Assurance</t>
  </si>
  <si>
    <t>R014</t>
  </si>
  <si>
    <t>440631</t>
  </si>
  <si>
    <t>Vital Statistics</t>
  </si>
  <si>
    <t>R048</t>
  </si>
  <si>
    <t>440625</t>
  </si>
  <si>
    <t>Refunds, Grants Reconciliation, and Audit Settlements</t>
  </si>
  <si>
    <t>HSF</t>
  </si>
  <si>
    <t>4T40</t>
  </si>
  <si>
    <t>440603</t>
  </si>
  <si>
    <t>Child Highway Safety</t>
  </si>
  <si>
    <t>1420</t>
  </si>
  <si>
    <t>440646</t>
  </si>
  <si>
    <t>Agency Health Services</t>
  </si>
  <si>
    <t>2110</t>
  </si>
  <si>
    <t>440613</t>
  </si>
  <si>
    <t>Central Support Indirect Costs</t>
  </si>
  <si>
    <t>DOT</t>
  </si>
  <si>
    <t>5QT0</t>
  </si>
  <si>
    <t>776670</t>
  </si>
  <si>
    <t>Ohio Maritime Assistance Program</t>
  </si>
  <si>
    <t>772502</t>
  </si>
  <si>
    <t>Local Transportation Projects</t>
  </si>
  <si>
    <t>775451</t>
  </si>
  <si>
    <t>Public Transportation-State</t>
  </si>
  <si>
    <t>775470</t>
  </si>
  <si>
    <t>776465</t>
  </si>
  <si>
    <t>Rail Development</t>
  </si>
  <si>
    <t>777471</t>
  </si>
  <si>
    <t>Airport Improvements-State</t>
  </si>
  <si>
    <t>DPS</t>
  </si>
  <si>
    <t>4P60</t>
  </si>
  <si>
    <t>768601</t>
  </si>
  <si>
    <t>Justice Program Services</t>
  </si>
  <si>
    <t>4V30</t>
  </si>
  <si>
    <t>763662</t>
  </si>
  <si>
    <t>EMA Service and Reimbursements</t>
  </si>
  <si>
    <t>5330</t>
  </si>
  <si>
    <t>763601</t>
  </si>
  <si>
    <t>State Disaster Relief</t>
  </si>
  <si>
    <t>5B90</t>
  </si>
  <si>
    <t>766632</t>
  </si>
  <si>
    <t>Private Investigator and Security Guard Provider</t>
  </si>
  <si>
    <t>5BK0</t>
  </si>
  <si>
    <t>768687</t>
  </si>
  <si>
    <t>Criminal Justice Services - Operating</t>
  </si>
  <si>
    <t>768689</t>
  </si>
  <si>
    <t>Family Violence Shelter Programs</t>
  </si>
  <si>
    <t>763691</t>
  </si>
  <si>
    <t>Coronavirus Relief-DPS</t>
  </si>
  <si>
    <t>5ET0</t>
  </si>
  <si>
    <t>768625</t>
  </si>
  <si>
    <t>Drug Law Enforcement</t>
  </si>
  <si>
    <t>5LM0</t>
  </si>
  <si>
    <t>768698</t>
  </si>
  <si>
    <t>Criminal Justice Services Law Enforcement Support</t>
  </si>
  <si>
    <t>5ML0</t>
  </si>
  <si>
    <t>769635</t>
  </si>
  <si>
    <t>Infrastructure Protection</t>
  </si>
  <si>
    <t>5RH0</t>
  </si>
  <si>
    <t>767697</t>
  </si>
  <si>
    <t>OIU Special Projects</t>
  </si>
  <si>
    <t>5RS0</t>
  </si>
  <si>
    <t>768621</t>
  </si>
  <si>
    <t>Community Police Relations</t>
  </si>
  <si>
    <t>5TJ0</t>
  </si>
  <si>
    <t>763603</t>
  </si>
  <si>
    <t>Security Grants</t>
  </si>
  <si>
    <t>5Y10</t>
  </si>
  <si>
    <t>767696</t>
  </si>
  <si>
    <t>Ohio Investigative Unit Continuing Professional Training</t>
  </si>
  <si>
    <t>6220</t>
  </si>
  <si>
    <t>767615</t>
  </si>
  <si>
    <t>Investigative, Contraband, and Forfeiture</t>
  </si>
  <si>
    <t>6570</t>
  </si>
  <si>
    <t>763652</t>
  </si>
  <si>
    <t>6810</t>
  </si>
  <si>
    <t>763653</t>
  </si>
  <si>
    <t>SARA Title III Hazmat Planning</t>
  </si>
  <si>
    <t>3290</t>
  </si>
  <si>
    <t>763645</t>
  </si>
  <si>
    <t>Federal Mitigation Program</t>
  </si>
  <si>
    <t>3370</t>
  </si>
  <si>
    <t>763515</t>
  </si>
  <si>
    <t>COVID Relief - Federal</t>
  </si>
  <si>
    <t>763609</t>
  </si>
  <si>
    <t>Federal Disaster Relief</t>
  </si>
  <si>
    <t>3390</t>
  </si>
  <si>
    <t>763647</t>
  </si>
  <si>
    <t>Emergency Management Assistance and Training</t>
  </si>
  <si>
    <t>3FP0</t>
  </si>
  <si>
    <t>767620</t>
  </si>
  <si>
    <t>Ohio Investigative Unit Justice Contraband</t>
  </si>
  <si>
    <t>3GL0</t>
  </si>
  <si>
    <t>768619</t>
  </si>
  <si>
    <t>Justice Assistance Grants - FFY15</t>
  </si>
  <si>
    <t>3GT0</t>
  </si>
  <si>
    <t>767691</t>
  </si>
  <si>
    <t>Investigative Unit Federal Equity Share</t>
  </si>
  <si>
    <t>3GU0</t>
  </si>
  <si>
    <t>769610</t>
  </si>
  <si>
    <t>Investigations Grants - Food Stamps, Liquor and Tobacco Laws</t>
  </si>
  <si>
    <t>769631</t>
  </si>
  <si>
    <t>Homeland Security Disaster Grants</t>
  </si>
  <si>
    <t>3HT0</t>
  </si>
  <si>
    <t>768699</t>
  </si>
  <si>
    <t>Coronavirus Emergency Support Funding</t>
  </si>
  <si>
    <t>3L50</t>
  </si>
  <si>
    <t>768604</t>
  </si>
  <si>
    <t>Justice Program</t>
  </si>
  <si>
    <t>761403</t>
  </si>
  <si>
    <t>Recovery Ohio Law Enforcement</t>
  </si>
  <si>
    <t>761404</t>
  </si>
  <si>
    <t>763403</t>
  </si>
  <si>
    <t>EMA Operating</t>
  </si>
  <si>
    <t>763511</t>
  </si>
  <si>
    <t>Local Disaster Assistance</t>
  </si>
  <si>
    <t>763512</t>
  </si>
  <si>
    <t>Ohio Task Force One</t>
  </si>
  <si>
    <t>763513</t>
  </si>
  <si>
    <t>763514</t>
  </si>
  <si>
    <t>Security Grants - Personnel</t>
  </si>
  <si>
    <t>767420</t>
  </si>
  <si>
    <t>Investigative Unit Operating</t>
  </si>
  <si>
    <t>768425</t>
  </si>
  <si>
    <t>769406</t>
  </si>
  <si>
    <t>Homeland Security - Operating</t>
  </si>
  <si>
    <t>769407</t>
  </si>
  <si>
    <t>Youthful Driver Safety</t>
  </si>
  <si>
    <t>769501</t>
  </si>
  <si>
    <t>School Safety</t>
  </si>
  <si>
    <t>DRC</t>
  </si>
  <si>
    <t>4B00</t>
  </si>
  <si>
    <t>501601</t>
  </si>
  <si>
    <t>Sewer Treatment Services</t>
  </si>
  <si>
    <t>4D40</t>
  </si>
  <si>
    <t>501603</t>
  </si>
  <si>
    <t>Prisoner Programs</t>
  </si>
  <si>
    <t>4L40</t>
  </si>
  <si>
    <t>501604</t>
  </si>
  <si>
    <t>Transitional Control</t>
  </si>
  <si>
    <t>4S50</t>
  </si>
  <si>
    <t>501608</t>
  </si>
  <si>
    <t>Education Services</t>
  </si>
  <si>
    <t>5AF0</t>
  </si>
  <si>
    <t>501609</t>
  </si>
  <si>
    <t>State and Non-Federal Awards</t>
  </si>
  <si>
    <t>501627</t>
  </si>
  <si>
    <t>Coronavirus Relief - DRC</t>
  </si>
  <si>
    <t>5H80</t>
  </si>
  <si>
    <t>501617</t>
  </si>
  <si>
    <t>Offender Financial Responsibility</t>
  </si>
  <si>
    <t>501610</t>
  </si>
  <si>
    <t>Probation Improvement and Incentive Grants</t>
  </si>
  <si>
    <t>5UB0</t>
  </si>
  <si>
    <t>501612</t>
  </si>
  <si>
    <t>Institution Addiction Treatment Services</t>
  </si>
  <si>
    <t>3230</t>
  </si>
  <si>
    <t>501619</t>
  </si>
  <si>
    <t>Federal Grants</t>
  </si>
  <si>
    <t>3CW0</t>
  </si>
  <si>
    <t>501622</t>
  </si>
  <si>
    <t>Federal Equitable Sharing</t>
  </si>
  <si>
    <t>501321</t>
  </si>
  <si>
    <t>Institutional Operations</t>
  </si>
  <si>
    <t>501405</t>
  </si>
  <si>
    <t>Halfway House</t>
  </si>
  <si>
    <t>501406</t>
  </si>
  <si>
    <t>Adult Correctional Facilities Lease Rental Bond Payments</t>
  </si>
  <si>
    <t>501407</t>
  </si>
  <si>
    <t>Community Nonresidential Programs</t>
  </si>
  <si>
    <t>501408</t>
  </si>
  <si>
    <t>Community Misdemeanor Programs</t>
  </si>
  <si>
    <t>501501</t>
  </si>
  <si>
    <t>Community Residential Programs - Community Based Correctional Facilities</t>
  </si>
  <si>
    <t>503321</t>
  </si>
  <si>
    <t>Parole and Community Operations</t>
  </si>
  <si>
    <t>504321</t>
  </si>
  <si>
    <t>Administrative Operations</t>
  </si>
  <si>
    <t>505321</t>
  </si>
  <si>
    <t>Institution Medical Services</t>
  </si>
  <si>
    <t>506321</t>
  </si>
  <si>
    <t>Institution Education Services</t>
  </si>
  <si>
    <t>1480</t>
  </si>
  <si>
    <t>501602</t>
  </si>
  <si>
    <t>Institutional Services</t>
  </si>
  <si>
    <t>2000</t>
  </si>
  <si>
    <t>501607</t>
  </si>
  <si>
    <t>Ohio Penal Industries</t>
  </si>
  <si>
    <t>4830</t>
  </si>
  <si>
    <t>501605</t>
  </si>
  <si>
    <t>Leased Property Maintenance and Operating</t>
  </si>
  <si>
    <t>5710</t>
  </si>
  <si>
    <t>501606</t>
  </si>
  <si>
    <t>Corrections Training Maintenance and Operating</t>
  </si>
  <si>
    <t>5L60</t>
  </si>
  <si>
    <t>501611</t>
  </si>
  <si>
    <t>Information Technology Services</t>
  </si>
  <si>
    <t>DVM</t>
  </si>
  <si>
    <t>888609</t>
  </si>
  <si>
    <t>5BU0</t>
  </si>
  <si>
    <t>888602</t>
  </si>
  <si>
    <t>Veterinary Student Loan Program</t>
  </si>
  <si>
    <t>DVS</t>
  </si>
  <si>
    <t>4840</t>
  </si>
  <si>
    <t>900603</t>
  </si>
  <si>
    <t>Veterans' Homes Services</t>
  </si>
  <si>
    <t>4E20</t>
  </si>
  <si>
    <t>900602</t>
  </si>
  <si>
    <t>Veterans' Homes Operating</t>
  </si>
  <si>
    <t>900607</t>
  </si>
  <si>
    <t>COVID Safety - Ohio Veterans Homes</t>
  </si>
  <si>
    <t>5DB0</t>
  </si>
  <si>
    <t>900643</t>
  </si>
  <si>
    <t>Military Injury Relief Program</t>
  </si>
  <si>
    <t>5NX0</t>
  </si>
  <si>
    <t>900646</t>
  </si>
  <si>
    <t>State Opiod Response</t>
  </si>
  <si>
    <t>5PH0</t>
  </si>
  <si>
    <t>900642</t>
  </si>
  <si>
    <t>Veterans Initiatives</t>
  </si>
  <si>
    <t>6040</t>
  </si>
  <si>
    <t>900604</t>
  </si>
  <si>
    <t>Veterans' Homes Improvement</t>
  </si>
  <si>
    <t>7041</t>
  </si>
  <si>
    <t>900615</t>
  </si>
  <si>
    <t>Veteran Bonus Program - Administration</t>
  </si>
  <si>
    <t>900641</t>
  </si>
  <si>
    <t>Persian Gulf, Afghanistan, and Iraq Compensation</t>
  </si>
  <si>
    <t>3680</t>
  </si>
  <si>
    <t>900614</t>
  </si>
  <si>
    <t>Veterans Training</t>
  </si>
  <si>
    <t>3BX0</t>
  </si>
  <si>
    <t>900609</t>
  </si>
  <si>
    <t>Medicare Services</t>
  </si>
  <si>
    <t>3L20</t>
  </si>
  <si>
    <t>900601</t>
  </si>
  <si>
    <t>Veterans' Homes Operations - Federal</t>
  </si>
  <si>
    <t>900321</t>
  </si>
  <si>
    <t>Veterans' Homes</t>
  </si>
  <si>
    <t>900402</t>
  </si>
  <si>
    <t>Hall of Fame</t>
  </si>
  <si>
    <t>900408</t>
  </si>
  <si>
    <t>Department of Veterans Services</t>
  </si>
  <si>
    <t>900645</t>
  </si>
  <si>
    <t>Veterans Long Term Healthcare Needs and Support (VET)</t>
  </si>
  <si>
    <t>900901</t>
  </si>
  <si>
    <t>Veterans Compensation General Obligation Bond Debt Service</t>
  </si>
  <si>
    <t>DYS</t>
  </si>
  <si>
    <t>1470</t>
  </si>
  <si>
    <t>470612</t>
  </si>
  <si>
    <t>Vocational Education</t>
  </si>
  <si>
    <t>1750</t>
  </si>
  <si>
    <t>470613</t>
  </si>
  <si>
    <t>4790</t>
  </si>
  <si>
    <t>470609</t>
  </si>
  <si>
    <t>Employee Food Service</t>
  </si>
  <si>
    <t>4A20</t>
  </si>
  <si>
    <t>470602</t>
  </si>
  <si>
    <t>Child Support</t>
  </si>
  <si>
    <t>4G60</t>
  </si>
  <si>
    <t>470605</t>
  </si>
  <si>
    <t>Juvenile Special Revenue - Non-Federal</t>
  </si>
  <si>
    <t>5BN0</t>
  </si>
  <si>
    <t>470629</t>
  </si>
  <si>
    <t>E-Rate Program</t>
  </si>
  <si>
    <t>3210</t>
  </si>
  <si>
    <t>470601</t>
  </si>
  <si>
    <t>Education</t>
  </si>
  <si>
    <t>470603</t>
  </si>
  <si>
    <t>Juvenile Justice Prevention</t>
  </si>
  <si>
    <t>470606</t>
  </si>
  <si>
    <t>Nutrition</t>
  </si>
  <si>
    <t>470614</t>
  </si>
  <si>
    <t>Title IV-E Reimbursements</t>
  </si>
  <si>
    <t>3V50</t>
  </si>
  <si>
    <t>470604</t>
  </si>
  <si>
    <t>Juvenile Justice/Delinquency Prevention</t>
  </si>
  <si>
    <t>470401</t>
  </si>
  <si>
    <t>RECLAIM Ohio</t>
  </si>
  <si>
    <t>470412</t>
  </si>
  <si>
    <t>Juvenile Correctional Facilities Lease Rental Bond Payments</t>
  </si>
  <si>
    <t>470510</t>
  </si>
  <si>
    <t>Youth Services</t>
  </si>
  <si>
    <t>472321</t>
  </si>
  <si>
    <t>Parole Operations</t>
  </si>
  <si>
    <t>477321</t>
  </si>
  <si>
    <t>EBR</t>
  </si>
  <si>
    <t>172321</t>
  </si>
  <si>
    <t>EDU</t>
  </si>
  <si>
    <t>4520</t>
  </si>
  <si>
    <t>200638</t>
  </si>
  <si>
    <t>Charges and Reimbursements</t>
  </si>
  <si>
    <t>4550</t>
  </si>
  <si>
    <t>200608</t>
  </si>
  <si>
    <t>Commodity Foods</t>
  </si>
  <si>
    <t>4L20</t>
  </si>
  <si>
    <t>200681</t>
  </si>
  <si>
    <t>Teacher Certification and Licensure</t>
  </si>
  <si>
    <t>5980</t>
  </si>
  <si>
    <t>200659</t>
  </si>
  <si>
    <t>Auxiliary Services Reimbursement</t>
  </si>
  <si>
    <t>200632</t>
  </si>
  <si>
    <t>Coronavirus Relief - Rural and Small Town School Districts</t>
  </si>
  <si>
    <t>200642</t>
  </si>
  <si>
    <t>Coronavirus Relief - Suburban School Districts</t>
  </si>
  <si>
    <t>200643</t>
  </si>
  <si>
    <t>Coronavirus Relief - Urban School Districts</t>
  </si>
  <si>
    <t>200647</t>
  </si>
  <si>
    <t>Coronavirus Relief - School Connectivity</t>
  </si>
  <si>
    <t>200650</t>
  </si>
  <si>
    <t>Coronavirus Relief - Other Education Entities</t>
  </si>
  <si>
    <t>5H30</t>
  </si>
  <si>
    <t>200687</t>
  </si>
  <si>
    <t>School District Solvency Assistance</t>
  </si>
  <si>
    <t>5KX0</t>
  </si>
  <si>
    <t>200691</t>
  </si>
  <si>
    <t>Ohio School Sponsorship Program</t>
  </si>
  <si>
    <t>5MM0</t>
  </si>
  <si>
    <t>200677</t>
  </si>
  <si>
    <t>Child Nutrition Refunds</t>
  </si>
  <si>
    <t>5U20</t>
  </si>
  <si>
    <t>200685</t>
  </si>
  <si>
    <t>National Education Statistics</t>
  </si>
  <si>
    <t>5UC0</t>
  </si>
  <si>
    <t>200662</t>
  </si>
  <si>
    <t>Accountability/Report Cards</t>
  </si>
  <si>
    <t>5VS0</t>
  </si>
  <si>
    <t>200604</t>
  </si>
  <si>
    <t>Foundation Funding - All Students</t>
  </si>
  <si>
    <t>5VU0</t>
  </si>
  <si>
    <t>200663</t>
  </si>
  <si>
    <t>School Bus Purchase</t>
  </si>
  <si>
    <t>6200</t>
  </si>
  <si>
    <t>200615</t>
  </si>
  <si>
    <t>Educational Improvement Grants</t>
  </si>
  <si>
    <t>3670</t>
  </si>
  <si>
    <t>200607</t>
  </si>
  <si>
    <t>School Food Services</t>
  </si>
  <si>
    <t>3700</t>
  </si>
  <si>
    <t>200624</t>
  </si>
  <si>
    <t>Education of Exceptional Children</t>
  </si>
  <si>
    <t>3AF0</t>
  </si>
  <si>
    <t>657601</t>
  </si>
  <si>
    <t>Schools Medicaid Administrative Claims</t>
  </si>
  <si>
    <t>3AN0</t>
  </si>
  <si>
    <t>200671</t>
  </si>
  <si>
    <t>School Improvement Grants</t>
  </si>
  <si>
    <t>3C50</t>
  </si>
  <si>
    <t>200661</t>
  </si>
  <si>
    <t>Early Childhood Education</t>
  </si>
  <si>
    <t>3EH0</t>
  </si>
  <si>
    <t>200620</t>
  </si>
  <si>
    <t>Migrant Education</t>
  </si>
  <si>
    <t>3EJ0</t>
  </si>
  <si>
    <t>200622</t>
  </si>
  <si>
    <t>Homeless Children Education</t>
  </si>
  <si>
    <t>3FE0</t>
  </si>
  <si>
    <t>200669</t>
  </si>
  <si>
    <t>Striving Readers</t>
  </si>
  <si>
    <t>3GE0</t>
  </si>
  <si>
    <t>200674</t>
  </si>
  <si>
    <t>Summer Food Service Program</t>
  </si>
  <si>
    <t>3GG0</t>
  </si>
  <si>
    <t>200676</t>
  </si>
  <si>
    <t>Fresh Fruit and Vegetable Program</t>
  </si>
  <si>
    <t>3HF0</t>
  </si>
  <si>
    <t>200649</t>
  </si>
  <si>
    <t>Federal Education Grants</t>
  </si>
  <si>
    <t>3HI0</t>
  </si>
  <si>
    <t>200634</t>
  </si>
  <si>
    <t>Student Support and Academic Enrichment</t>
  </si>
  <si>
    <t>3HL0</t>
  </si>
  <si>
    <t>200678</t>
  </si>
  <si>
    <t>Comprehensive Literacy State Development Program</t>
  </si>
  <si>
    <t>200500</t>
  </si>
  <si>
    <t>Governor's Emergency Education Relief - K-12 Mental Health</t>
  </si>
  <si>
    <t>200627</t>
  </si>
  <si>
    <t>Governor Emergency Education Relief - EDU</t>
  </si>
  <si>
    <t>200651</t>
  </si>
  <si>
    <t>Emergency Assistance to Non-Public Schools</t>
  </si>
  <si>
    <t>3HS0</t>
  </si>
  <si>
    <t>200640</t>
  </si>
  <si>
    <t>Federal Coronavirus School Relief</t>
  </si>
  <si>
    <t>3L60</t>
  </si>
  <si>
    <t>200617</t>
  </si>
  <si>
    <t>Federal School Lunch</t>
  </si>
  <si>
    <t>3L70</t>
  </si>
  <si>
    <t>200618</t>
  </si>
  <si>
    <t>Federal School Breakfast</t>
  </si>
  <si>
    <t>3L80</t>
  </si>
  <si>
    <t>200619</t>
  </si>
  <si>
    <t>Child/Adult Food Programs</t>
  </si>
  <si>
    <t>3L90</t>
  </si>
  <si>
    <t>200621</t>
  </si>
  <si>
    <t>Career-Technical Education Basic Grant</t>
  </si>
  <si>
    <t>3M00</t>
  </si>
  <si>
    <t>200623</t>
  </si>
  <si>
    <t>ESEA Title 1A</t>
  </si>
  <si>
    <t>3M20</t>
  </si>
  <si>
    <t>200680</t>
  </si>
  <si>
    <t>Individuals with Disabilities Education Act</t>
  </si>
  <si>
    <t>3T40</t>
  </si>
  <si>
    <t>200613</t>
  </si>
  <si>
    <t>Public Charter Schools</t>
  </si>
  <si>
    <t>3Y20</t>
  </si>
  <si>
    <t>200688</t>
  </si>
  <si>
    <t>21st Century Community Learning Centers</t>
  </si>
  <si>
    <t>3Y60</t>
  </si>
  <si>
    <t>200635</t>
  </si>
  <si>
    <t>Improving Teacher Quality</t>
  </si>
  <si>
    <t>3Y70</t>
  </si>
  <si>
    <t>200689</t>
  </si>
  <si>
    <t>English Language Acquisition</t>
  </si>
  <si>
    <t>3Y80</t>
  </si>
  <si>
    <t>200639</t>
  </si>
  <si>
    <t>Rural and Low Income Technical Assistance</t>
  </si>
  <si>
    <t>3Z20</t>
  </si>
  <si>
    <t>200690</t>
  </si>
  <si>
    <t>State Assessments</t>
  </si>
  <si>
    <t>3Z30</t>
  </si>
  <si>
    <t>200645</t>
  </si>
  <si>
    <t>Consolidated Federal Grant Administration</t>
  </si>
  <si>
    <t>200321</t>
  </si>
  <si>
    <t>200408</t>
  </si>
  <si>
    <t>200420</t>
  </si>
  <si>
    <t>Information Technology Development and Support</t>
  </si>
  <si>
    <t>200422</t>
  </si>
  <si>
    <t>School Management Assistance</t>
  </si>
  <si>
    <t>200424</t>
  </si>
  <si>
    <t>Policy Analysis</t>
  </si>
  <si>
    <t>200426</t>
  </si>
  <si>
    <t>Ohio Educational Computer Network</t>
  </si>
  <si>
    <t>200427</t>
  </si>
  <si>
    <t>Academic Standards</t>
  </si>
  <si>
    <t>200437</t>
  </si>
  <si>
    <t>Student Assessment</t>
  </si>
  <si>
    <t>200439</t>
  </si>
  <si>
    <t>200442</t>
  </si>
  <si>
    <t>Child Care Licensing</t>
  </si>
  <si>
    <t>200446</t>
  </si>
  <si>
    <t>Education Management Information System</t>
  </si>
  <si>
    <t>200448</t>
  </si>
  <si>
    <t>Educator Preparation</t>
  </si>
  <si>
    <t>200455</t>
  </si>
  <si>
    <t>Community Schools and Choice Programs</t>
  </si>
  <si>
    <t>200457</t>
  </si>
  <si>
    <t>STEM Initiatives</t>
  </si>
  <si>
    <t>200465</t>
  </si>
  <si>
    <t>Education Technology Resources</t>
  </si>
  <si>
    <t>200478</t>
  </si>
  <si>
    <t>Industry-Recognized Credentials High School Students</t>
  </si>
  <si>
    <t>200502</t>
  </si>
  <si>
    <t>Pupil Transportation</t>
  </si>
  <si>
    <t>200503</t>
  </si>
  <si>
    <t>Bus Purchase Allowance</t>
  </si>
  <si>
    <t>200505</t>
  </si>
  <si>
    <t>School Lunch Match</t>
  </si>
  <si>
    <t>200511</t>
  </si>
  <si>
    <t>Auxiliary Services</t>
  </si>
  <si>
    <t>200532</t>
  </si>
  <si>
    <t>Nonpublic Administrative Cost Reimbursement</t>
  </si>
  <si>
    <t>200540</t>
  </si>
  <si>
    <t>Special Education Enhancements</t>
  </si>
  <si>
    <t>200545</t>
  </si>
  <si>
    <t>Career-Technical Education Enhancements</t>
  </si>
  <si>
    <t>200550</t>
  </si>
  <si>
    <t>200566</t>
  </si>
  <si>
    <t>Literacy Improvement</t>
  </si>
  <si>
    <t>200572</t>
  </si>
  <si>
    <t>Adult Education Programs</t>
  </si>
  <si>
    <t>200573</t>
  </si>
  <si>
    <t>EdChoice Expansion</t>
  </si>
  <si>
    <t>200574</t>
  </si>
  <si>
    <t>Half-Mill Maintenance Equalization</t>
  </si>
  <si>
    <t>200576</t>
  </si>
  <si>
    <t>Adaptive Sports Program</t>
  </si>
  <si>
    <t>200578</t>
  </si>
  <si>
    <t>Violence Prevention and School Safety</t>
  </si>
  <si>
    <t>200589</t>
  </si>
  <si>
    <t>Quality Community Schools Support</t>
  </si>
  <si>
    <t>200597</t>
  </si>
  <si>
    <t>657401</t>
  </si>
  <si>
    <t>Medicaid in Schools</t>
  </si>
  <si>
    <t>1380</t>
  </si>
  <si>
    <t>200606</t>
  </si>
  <si>
    <t>4R70</t>
  </si>
  <si>
    <t>200695</t>
  </si>
  <si>
    <t>Indirect Operational Support</t>
  </si>
  <si>
    <t>4V70</t>
  </si>
  <si>
    <t>200633</t>
  </si>
  <si>
    <t>Interagency Program Support</t>
  </si>
  <si>
    <t>SLF</t>
  </si>
  <si>
    <t>7017</t>
  </si>
  <si>
    <t>200602</t>
  </si>
  <si>
    <t>School Climate Grants</t>
  </si>
  <si>
    <t>200611</t>
  </si>
  <si>
    <t>Education Studies</t>
  </si>
  <si>
    <t>200612</t>
  </si>
  <si>
    <t>200614</t>
  </si>
  <si>
    <t>Accelerate Great Schools</t>
  </si>
  <si>
    <t>200616</t>
  </si>
  <si>
    <t>200629</t>
  </si>
  <si>
    <t>Community Connectors</t>
  </si>
  <si>
    <t>200631</t>
  </si>
  <si>
    <t>200636</t>
  </si>
  <si>
    <t>Enrollment Growth Supplement</t>
  </si>
  <si>
    <t>200684</t>
  </si>
  <si>
    <t>Community School Facilities</t>
  </si>
  <si>
    <t>ELC</t>
  </si>
  <si>
    <t>4P20</t>
  </si>
  <si>
    <t>051601</t>
  </si>
  <si>
    <t>Operating Support</t>
  </si>
  <si>
    <t>051321</t>
  </si>
  <si>
    <t>ENG</t>
  </si>
  <si>
    <t>892609</t>
  </si>
  <si>
    <t>EPA</t>
  </si>
  <si>
    <t>5S10</t>
  </si>
  <si>
    <t>715607</t>
  </si>
  <si>
    <t>Clean Ohio Revitalization Operating</t>
  </si>
  <si>
    <t>4D50</t>
  </si>
  <si>
    <t>715618</t>
  </si>
  <si>
    <t>Recycled State Materials</t>
  </si>
  <si>
    <t>4J00</t>
  </si>
  <si>
    <t>715638</t>
  </si>
  <si>
    <t>Underground Injection Control</t>
  </si>
  <si>
    <t>4K20</t>
  </si>
  <si>
    <t>715648</t>
  </si>
  <si>
    <t>Clean Air - Non Title V</t>
  </si>
  <si>
    <t>4K30</t>
  </si>
  <si>
    <t>715649</t>
  </si>
  <si>
    <t>Solid Waste</t>
  </si>
  <si>
    <t>4K40</t>
  </si>
  <si>
    <t>715650</t>
  </si>
  <si>
    <t>Surface Water Protection</t>
  </si>
  <si>
    <t>4K50</t>
  </si>
  <si>
    <t>715651</t>
  </si>
  <si>
    <t>Drinking Water Protection</t>
  </si>
  <si>
    <t>4P50</t>
  </si>
  <si>
    <t>715654</t>
  </si>
  <si>
    <t>Cozart Landfill</t>
  </si>
  <si>
    <t>4R50</t>
  </si>
  <si>
    <t>715656</t>
  </si>
  <si>
    <t>Scrap Tire Management</t>
  </si>
  <si>
    <t>4R90</t>
  </si>
  <si>
    <t>715658</t>
  </si>
  <si>
    <t>Voluntary Action Program</t>
  </si>
  <si>
    <t>4T30</t>
  </si>
  <si>
    <t>715659</t>
  </si>
  <si>
    <t>Clean Air - Title V Permit Program</t>
  </si>
  <si>
    <t>5000</t>
  </si>
  <si>
    <t>715608</t>
  </si>
  <si>
    <t>Immediate Removal Special Account</t>
  </si>
  <si>
    <t>5030</t>
  </si>
  <si>
    <t>715621</t>
  </si>
  <si>
    <t>Hazardous Waste Facility Management</t>
  </si>
  <si>
    <t>5050</t>
  </si>
  <si>
    <t>715623</t>
  </si>
  <si>
    <t>Hazardous Waste Cleanup</t>
  </si>
  <si>
    <t>715698</t>
  </si>
  <si>
    <t>Response and Investigations</t>
  </si>
  <si>
    <t>5320</t>
  </si>
  <si>
    <t>715646</t>
  </si>
  <si>
    <t>Recycling and Litter Control</t>
  </si>
  <si>
    <t>5410</t>
  </si>
  <si>
    <t>715670</t>
  </si>
  <si>
    <t>Site Specific Cleanup</t>
  </si>
  <si>
    <t>5420</t>
  </si>
  <si>
    <t>715671</t>
  </si>
  <si>
    <t>Risk Management Reporting</t>
  </si>
  <si>
    <t>5860</t>
  </si>
  <si>
    <t>715637</t>
  </si>
  <si>
    <t>Scrap Tire Market Development</t>
  </si>
  <si>
    <t>5BC0</t>
  </si>
  <si>
    <t>715622</t>
  </si>
  <si>
    <t>Local Air Pollution Control</t>
  </si>
  <si>
    <t>715624</t>
  </si>
  <si>
    <t>Surface Water</t>
  </si>
  <si>
    <t>715672</t>
  </si>
  <si>
    <t>Air Pollution Control</t>
  </si>
  <si>
    <t>715673</t>
  </si>
  <si>
    <t>Drinking and Ground Water</t>
  </si>
  <si>
    <t>715676</t>
  </si>
  <si>
    <t>Assistance and Prevention</t>
  </si>
  <si>
    <t>715677</t>
  </si>
  <si>
    <t>Laboratory</t>
  </si>
  <si>
    <t>715678</t>
  </si>
  <si>
    <t>Corrective Actions</t>
  </si>
  <si>
    <t>715687</t>
  </si>
  <si>
    <t>Areawide Planning Agencies</t>
  </si>
  <si>
    <t>715692</t>
  </si>
  <si>
    <t>Administration</t>
  </si>
  <si>
    <t>715694</t>
  </si>
  <si>
    <t>Environmental Resource Coordination</t>
  </si>
  <si>
    <t>5BT0</t>
  </si>
  <si>
    <t>715679</t>
  </si>
  <si>
    <t>C&amp;DD Groundwater Monitoring</t>
  </si>
  <si>
    <t>5BY0</t>
  </si>
  <si>
    <t>715681</t>
  </si>
  <si>
    <t>Auto Emissions Test</t>
  </si>
  <si>
    <t>715600</t>
  </si>
  <si>
    <t>Coronavirus Relief - EPA</t>
  </si>
  <si>
    <t>5H40</t>
  </si>
  <si>
    <t>715664</t>
  </si>
  <si>
    <t>Groundwater Support</t>
  </si>
  <si>
    <t>5PZ0</t>
  </si>
  <si>
    <t>715696</t>
  </si>
  <si>
    <t>Drinking Water Loan Fee</t>
  </si>
  <si>
    <t>5VA0</t>
  </si>
  <si>
    <t>715601</t>
  </si>
  <si>
    <t>Marsh Restoration</t>
  </si>
  <si>
    <t>5Y30</t>
  </si>
  <si>
    <t>715685</t>
  </si>
  <si>
    <t>Surface Water Improvement</t>
  </si>
  <si>
    <t>6440</t>
  </si>
  <si>
    <t>715631</t>
  </si>
  <si>
    <t>Emergency Response Radiological Safety</t>
  </si>
  <si>
    <t>6760</t>
  </si>
  <si>
    <t>715642</t>
  </si>
  <si>
    <t>Water Pollution Control Loan Administration</t>
  </si>
  <si>
    <t>715699</t>
  </si>
  <si>
    <t>Water Quality Administration</t>
  </si>
  <si>
    <t>6780</t>
  </si>
  <si>
    <t>715635</t>
  </si>
  <si>
    <t>Air Toxic Release</t>
  </si>
  <si>
    <t>6790</t>
  </si>
  <si>
    <t>715636</t>
  </si>
  <si>
    <t>Emergency Planning</t>
  </si>
  <si>
    <t>6960</t>
  </si>
  <si>
    <t>715643</t>
  </si>
  <si>
    <t>Air Pollution Control Administration</t>
  </si>
  <si>
    <t>6990</t>
  </si>
  <si>
    <t>715644</t>
  </si>
  <si>
    <t>Water Pollution Control Administration</t>
  </si>
  <si>
    <t>6A10</t>
  </si>
  <si>
    <t>715645</t>
  </si>
  <si>
    <t>Environmental Education</t>
  </si>
  <si>
    <t>715695</t>
  </si>
  <si>
    <t>3530</t>
  </si>
  <si>
    <t>715612</t>
  </si>
  <si>
    <t>Public Water Supply</t>
  </si>
  <si>
    <t>3570</t>
  </si>
  <si>
    <t>715619</t>
  </si>
  <si>
    <t>Air Pollution Control - Federal</t>
  </si>
  <si>
    <t>3620</t>
  </si>
  <si>
    <t>715605</t>
  </si>
  <si>
    <t>Underground Injection Control - Federal</t>
  </si>
  <si>
    <t>3BU0</t>
  </si>
  <si>
    <t>715684</t>
  </si>
  <si>
    <t>Water Quality Protection</t>
  </si>
  <si>
    <t>3CS0</t>
  </si>
  <si>
    <t>715688</t>
  </si>
  <si>
    <t>Federal NRD Settlements</t>
  </si>
  <si>
    <t>3F30</t>
  </si>
  <si>
    <t>715632</t>
  </si>
  <si>
    <t>Federally Supported Cleanup and Response</t>
  </si>
  <si>
    <t>3HE0</t>
  </si>
  <si>
    <t>715697</t>
  </si>
  <si>
    <t>Volkswagen Clean Air Act Settlement</t>
  </si>
  <si>
    <t>3T30</t>
  </si>
  <si>
    <t>715669</t>
  </si>
  <si>
    <t>Drinking Water State Revolving Fund</t>
  </si>
  <si>
    <t>3V70</t>
  </si>
  <si>
    <t>715606</t>
  </si>
  <si>
    <t>Agencywide Grants</t>
  </si>
  <si>
    <t>715404</t>
  </si>
  <si>
    <t>Recycling Projects</t>
  </si>
  <si>
    <t>715502</t>
  </si>
  <si>
    <t>Auto Emissions E-Check Program</t>
  </si>
  <si>
    <t>715506</t>
  </si>
  <si>
    <t>Environmental Program Support</t>
  </si>
  <si>
    <t>715507</t>
  </si>
  <si>
    <t>Water and Sewer System Grants</t>
  </si>
  <si>
    <t>1990</t>
  </si>
  <si>
    <t>715602</t>
  </si>
  <si>
    <t>Laboratory Services</t>
  </si>
  <si>
    <t>2190</t>
  </si>
  <si>
    <t>715604</t>
  </si>
  <si>
    <t>Central Support Indirect</t>
  </si>
  <si>
    <t>4A10</t>
  </si>
  <si>
    <t>715640</t>
  </si>
  <si>
    <t>ERB</t>
  </si>
  <si>
    <t>5720</t>
  </si>
  <si>
    <t>125603</t>
  </si>
  <si>
    <t>Training and Publications</t>
  </si>
  <si>
    <t>125321</t>
  </si>
  <si>
    <t>ETC</t>
  </si>
  <si>
    <t>5FK0</t>
  </si>
  <si>
    <t>935608</t>
  </si>
  <si>
    <t>Media Services</t>
  </si>
  <si>
    <t>5VB0</t>
  </si>
  <si>
    <t>935650</t>
  </si>
  <si>
    <t>Facility Rental</t>
  </si>
  <si>
    <t>935401</t>
  </si>
  <si>
    <t>Statehouse News Bureau</t>
  </si>
  <si>
    <t>935402</t>
  </si>
  <si>
    <t>Ohio Government Telecommunications Services</t>
  </si>
  <si>
    <t>935410</t>
  </si>
  <si>
    <t>Content Development, Acquisition, and Distribution</t>
  </si>
  <si>
    <t>935430</t>
  </si>
  <si>
    <t>Broadcast Education Operating</t>
  </si>
  <si>
    <t>4F30</t>
  </si>
  <si>
    <t>935603</t>
  </si>
  <si>
    <t>Affiliate Services</t>
  </si>
  <si>
    <t>ETH</t>
  </si>
  <si>
    <t>4M60</t>
  </si>
  <si>
    <t>146601</t>
  </si>
  <si>
    <t>146321</t>
  </si>
  <si>
    <t>EXP</t>
  </si>
  <si>
    <t>4N20</t>
  </si>
  <si>
    <t>723602</t>
  </si>
  <si>
    <t>Ohio State Fair Harness Racing</t>
  </si>
  <si>
    <t>5060</t>
  </si>
  <si>
    <t>723601</t>
  </si>
  <si>
    <t>723604</t>
  </si>
  <si>
    <t>Grounds Maintenance and Repairs</t>
  </si>
  <si>
    <t>723403</t>
  </si>
  <si>
    <t>Junior Fair Subsidy</t>
  </si>
  <si>
    <t>FCC</t>
  </si>
  <si>
    <t>230321</t>
  </si>
  <si>
    <t>230401</t>
  </si>
  <si>
    <t>Cultural Facilities Lease Rental Bond Payments</t>
  </si>
  <si>
    <t>230458</t>
  </si>
  <si>
    <t>State Construction Management Services</t>
  </si>
  <si>
    <t>230500</t>
  </si>
  <si>
    <t>230908</t>
  </si>
  <si>
    <t>Common Schools General Obligation Bond Debt Service</t>
  </si>
  <si>
    <t>1310</t>
  </si>
  <si>
    <t>230639</t>
  </si>
  <si>
    <t>State Construction Management Operations</t>
  </si>
  <si>
    <t>FUN</t>
  </si>
  <si>
    <t>881609</t>
  </si>
  <si>
    <t>881500</t>
  </si>
  <si>
    <t>Indigent Burial and Cremation Support</t>
  </si>
  <si>
    <t>GOV</t>
  </si>
  <si>
    <t>040321</t>
  </si>
  <si>
    <t>5AK0</t>
  </si>
  <si>
    <t>040607</t>
  </si>
  <si>
    <t>Government Relations</t>
  </si>
  <si>
    <t>HEF</t>
  </si>
  <si>
    <t>4610</t>
  </si>
  <si>
    <t>372601</t>
  </si>
  <si>
    <t>HFA</t>
  </si>
  <si>
    <t>5AZ0</t>
  </si>
  <si>
    <t>997601</t>
  </si>
  <si>
    <t>Housing Finance Agency Personal Services</t>
  </si>
  <si>
    <t>HGM</t>
  </si>
  <si>
    <t>525501</t>
  </si>
  <si>
    <t>IGO</t>
  </si>
  <si>
    <t>965321</t>
  </si>
  <si>
    <t>5FA0</t>
  </si>
  <si>
    <t>965603</t>
  </si>
  <si>
    <t>Deputy Inspector General for ODOT</t>
  </si>
  <si>
    <t>5FT0</t>
  </si>
  <si>
    <t>965604</t>
  </si>
  <si>
    <t>Deputy Inspector General for BWC/OIC</t>
  </si>
  <si>
    <t>INS</t>
  </si>
  <si>
    <t>5540</t>
  </si>
  <si>
    <t>820601</t>
  </si>
  <si>
    <t>Operating Expenses-OSHIIP</t>
  </si>
  <si>
    <t>820606</t>
  </si>
  <si>
    <t>5550</t>
  </si>
  <si>
    <t>820605</t>
  </si>
  <si>
    <t>Examination</t>
  </si>
  <si>
    <t>5PT0</t>
  </si>
  <si>
    <t>820613</t>
  </si>
  <si>
    <t>Captive Insurance Regulation and Supervision</t>
  </si>
  <si>
    <t>3U50</t>
  </si>
  <si>
    <t>820602</t>
  </si>
  <si>
    <t>OSHIIP Operating Grant</t>
  </si>
  <si>
    <t>JCO</t>
  </si>
  <si>
    <t>4030</t>
  </si>
  <si>
    <t>018601</t>
  </si>
  <si>
    <t>Ohio Jury Instructions</t>
  </si>
  <si>
    <t>018321</t>
  </si>
  <si>
    <t>JCR</t>
  </si>
  <si>
    <t>029321</t>
  </si>
  <si>
    <t>JEO</t>
  </si>
  <si>
    <t>047321</t>
  </si>
  <si>
    <t>JFS</t>
  </si>
  <si>
    <t>1980</t>
  </si>
  <si>
    <t>600647</t>
  </si>
  <si>
    <t>Children's Trust Fund</t>
  </si>
  <si>
    <t>2320</t>
  </si>
  <si>
    <t>600644</t>
  </si>
  <si>
    <t>Family and Children First</t>
  </si>
  <si>
    <t>4A80</t>
  </si>
  <si>
    <t>600658</t>
  </si>
  <si>
    <t>Public Assistance Activities</t>
  </si>
  <si>
    <t>4A90</t>
  </si>
  <si>
    <t>600607</t>
  </si>
  <si>
    <t>Unemployment Compensation Administration Fund</t>
  </si>
  <si>
    <t>4E70</t>
  </si>
  <si>
    <t>600604</t>
  </si>
  <si>
    <t>Family and Children Services Collections</t>
  </si>
  <si>
    <t>4F10</t>
  </si>
  <si>
    <t>600609</t>
  </si>
  <si>
    <t>Family and Children Activities</t>
  </si>
  <si>
    <t>600556</t>
  </si>
  <si>
    <t>COVID Relief - Nonprofits</t>
  </si>
  <si>
    <t>600557</t>
  </si>
  <si>
    <t>Coronavirus Relief - Foodbanks</t>
  </si>
  <si>
    <t>600664</t>
  </si>
  <si>
    <t>Coronavirus Relief - Childcare</t>
  </si>
  <si>
    <t>5DM0</t>
  </si>
  <si>
    <t>600633</t>
  </si>
  <si>
    <t>Audit Settlements and Contingency</t>
  </si>
  <si>
    <t>5ES0</t>
  </si>
  <si>
    <t>600630</t>
  </si>
  <si>
    <t>Food Bank Assistance</t>
  </si>
  <si>
    <t>5KT0</t>
  </si>
  <si>
    <t>600696</t>
  </si>
  <si>
    <t>5NG0</t>
  </si>
  <si>
    <t>600660</t>
  </si>
  <si>
    <t>Victims of Human Trafficking</t>
  </si>
  <si>
    <t>5RX0</t>
  </si>
  <si>
    <t>600699</t>
  </si>
  <si>
    <t>Workforce Development Projects</t>
  </si>
  <si>
    <t>5RY0</t>
  </si>
  <si>
    <t>600698</t>
  </si>
  <si>
    <t>Human Services Project</t>
  </si>
  <si>
    <t>600674</t>
  </si>
  <si>
    <t>Childrens Crisis Care</t>
  </si>
  <si>
    <t>5U60</t>
  </si>
  <si>
    <t>600663</t>
  </si>
  <si>
    <t>Family and Children Support</t>
  </si>
  <si>
    <t>5VJ0</t>
  </si>
  <si>
    <t>600600</t>
  </si>
  <si>
    <t>Ohio Governor Imagination Library</t>
  </si>
  <si>
    <t>3270</t>
  </si>
  <si>
    <t>600606</t>
  </si>
  <si>
    <t>Child Welfare</t>
  </si>
  <si>
    <t>3310</t>
  </si>
  <si>
    <t>600615</t>
  </si>
  <si>
    <t>Veterans Programs</t>
  </si>
  <si>
    <t>600624</t>
  </si>
  <si>
    <t>Employment Services</t>
  </si>
  <si>
    <t>600686</t>
  </si>
  <si>
    <t>Workforce Programs</t>
  </si>
  <si>
    <t>3840</t>
  </si>
  <si>
    <t>600610</t>
  </si>
  <si>
    <t>Food Assistance Programs</t>
  </si>
  <si>
    <t>3850</t>
  </si>
  <si>
    <t>600614</t>
  </si>
  <si>
    <t>Refugee Services</t>
  </si>
  <si>
    <t>3950</t>
  </si>
  <si>
    <t>600616</t>
  </si>
  <si>
    <t>Federal Discretionary Grants</t>
  </si>
  <si>
    <t>3960</t>
  </si>
  <si>
    <t>600620</t>
  </si>
  <si>
    <t>Social Services Block Grant</t>
  </si>
  <si>
    <t>3970</t>
  </si>
  <si>
    <t>600626</t>
  </si>
  <si>
    <t>Child Support-Federal</t>
  </si>
  <si>
    <t>3980</t>
  </si>
  <si>
    <t>600627</t>
  </si>
  <si>
    <t>Adoption Program-Federal</t>
  </si>
  <si>
    <t>3A20</t>
  </si>
  <si>
    <t>600641</t>
  </si>
  <si>
    <t>Emergency Food Distribution</t>
  </si>
  <si>
    <t>3D30</t>
  </si>
  <si>
    <t>600648</t>
  </si>
  <si>
    <t>Children's Trust Fund Federal</t>
  </si>
  <si>
    <t>3F01</t>
  </si>
  <si>
    <t>655624</t>
  </si>
  <si>
    <t>Medicaid Program Support - Federal</t>
  </si>
  <si>
    <t>3H70</t>
  </si>
  <si>
    <t>600617</t>
  </si>
  <si>
    <t>Child Care Federal</t>
  </si>
  <si>
    <t>600683</t>
  </si>
  <si>
    <t>Governor's Emergency Education Relief Fund</t>
  </si>
  <si>
    <t>3N00</t>
  </si>
  <si>
    <t>600628</t>
  </si>
  <si>
    <t>Foster Care Program-Federal</t>
  </si>
  <si>
    <t>3S50</t>
  </si>
  <si>
    <t>600622</t>
  </si>
  <si>
    <t>Child Support Projects</t>
  </si>
  <si>
    <t>3V00</t>
  </si>
  <si>
    <t>600688</t>
  </si>
  <si>
    <t>Workforce Innovation and Opportunity Act Programs</t>
  </si>
  <si>
    <t>3V40</t>
  </si>
  <si>
    <t>600632</t>
  </si>
  <si>
    <t>Trade Programs</t>
  </si>
  <si>
    <t>600678</t>
  </si>
  <si>
    <t>Federal Unemployment Programs</t>
  </si>
  <si>
    <t>600679</t>
  </si>
  <si>
    <t>Unemployment Compensation Review Commission-Federal</t>
  </si>
  <si>
    <t>3V60</t>
  </si>
  <si>
    <t>600689</t>
  </si>
  <si>
    <t>TANF Block Grant</t>
  </si>
  <si>
    <t>1920</t>
  </si>
  <si>
    <t>600646</t>
  </si>
  <si>
    <t>Child Support Intercept-Federal</t>
  </si>
  <si>
    <t>5830</t>
  </si>
  <si>
    <t>600642</t>
  </si>
  <si>
    <t>Child Support Intercept-State</t>
  </si>
  <si>
    <t>5B60</t>
  </si>
  <si>
    <t>600601</t>
  </si>
  <si>
    <t>Food Assistance Intercept</t>
  </si>
  <si>
    <t>600321</t>
  </si>
  <si>
    <t>600410</t>
  </si>
  <si>
    <t>TANF State Maintenance of Effort</t>
  </si>
  <si>
    <t>600413</t>
  </si>
  <si>
    <t>Child Care State/Maintenance of Effort</t>
  </si>
  <si>
    <t>600416</t>
  </si>
  <si>
    <t>Information Technology Projects</t>
  </si>
  <si>
    <t>600420</t>
  </si>
  <si>
    <t>Child Support Programs</t>
  </si>
  <si>
    <t>600421</t>
  </si>
  <si>
    <t>Family Assistance Programs</t>
  </si>
  <si>
    <t>600423</t>
  </si>
  <si>
    <t>Families and Children Programs</t>
  </si>
  <si>
    <t>600445</t>
  </si>
  <si>
    <t>Unemployment Insurance Administration</t>
  </si>
  <si>
    <t>600450</t>
  </si>
  <si>
    <t>Program Operations</t>
  </si>
  <si>
    <t>600451</t>
  </si>
  <si>
    <t>600502</t>
  </si>
  <si>
    <t>Child Support- Local</t>
  </si>
  <si>
    <t>600521</t>
  </si>
  <si>
    <t>Family Assistance- Local</t>
  </si>
  <si>
    <t>600523</t>
  </si>
  <si>
    <t>Family and Children Services</t>
  </si>
  <si>
    <t>600528</t>
  </si>
  <si>
    <t>600533</t>
  </si>
  <si>
    <t>Child, Family, and Community Protection Services</t>
  </si>
  <si>
    <t>600534</t>
  </si>
  <si>
    <t>Adult Protective Services</t>
  </si>
  <si>
    <t>600535</t>
  </si>
  <si>
    <t>Early Care and Education</t>
  </si>
  <si>
    <t>600541</t>
  </si>
  <si>
    <t>Kinship Permanency Incentive Program</t>
  </si>
  <si>
    <t>600546</t>
  </si>
  <si>
    <t>Healthy Food Financing Initiative</t>
  </si>
  <si>
    <t>600551</t>
  </si>
  <si>
    <t>Job and Family Services Program Support</t>
  </si>
  <si>
    <t>600560</t>
  </si>
  <si>
    <t>Employment Incentive Program</t>
  </si>
  <si>
    <t>600552</t>
  </si>
  <si>
    <t>Gracehaven Pilot Program</t>
  </si>
  <si>
    <t>600553</t>
  </si>
  <si>
    <t>Court Appointed Special Advocates</t>
  </si>
  <si>
    <t>600452</t>
  </si>
  <si>
    <t>600555</t>
  </si>
  <si>
    <t>Quality Infrastructure Grants</t>
  </si>
  <si>
    <t>655425</t>
  </si>
  <si>
    <t>655522</t>
  </si>
  <si>
    <t>Medicaid Program Support-Local</t>
  </si>
  <si>
    <t>655523</t>
  </si>
  <si>
    <t>Medicaid Program Support-Local Transportation</t>
  </si>
  <si>
    <t>R012</t>
  </si>
  <si>
    <t>600643</t>
  </si>
  <si>
    <t>Refunds and Audit Settlements</t>
  </si>
  <si>
    <t>5HL0</t>
  </si>
  <si>
    <t>600602</t>
  </si>
  <si>
    <t>State and County Shared Services</t>
  </si>
  <si>
    <t>JLE</t>
  </si>
  <si>
    <t>4G70</t>
  </si>
  <si>
    <t>028601</t>
  </si>
  <si>
    <t>Joint Legislative Ethics Committee</t>
  </si>
  <si>
    <t>5HN0</t>
  </si>
  <si>
    <t>028602</t>
  </si>
  <si>
    <t>Investigations and Financial Disclosure</t>
  </si>
  <si>
    <t>028321</t>
  </si>
  <si>
    <t>Legislative Ethics Committee</t>
  </si>
  <si>
    <t>JMO</t>
  </si>
  <si>
    <t>048321</t>
  </si>
  <si>
    <t>JSC</t>
  </si>
  <si>
    <t>4C80</t>
  </si>
  <si>
    <t>005605</t>
  </si>
  <si>
    <t>Attorney Services</t>
  </si>
  <si>
    <t>5HT0</t>
  </si>
  <si>
    <t>005617</t>
  </si>
  <si>
    <t>Court Interpreter Certification</t>
  </si>
  <si>
    <t>5SP0</t>
  </si>
  <si>
    <t>005626</t>
  </si>
  <si>
    <t>Civil Justice Grant Program</t>
  </si>
  <si>
    <t>5T80</t>
  </si>
  <si>
    <t>005609</t>
  </si>
  <si>
    <t>Grants and Awards</t>
  </si>
  <si>
    <t>6720</t>
  </si>
  <si>
    <t>005601</t>
  </si>
  <si>
    <t>Judiciary/Supreme Court Education</t>
  </si>
  <si>
    <t>6A80</t>
  </si>
  <si>
    <t>005606</t>
  </si>
  <si>
    <t>Supreme Court Admissions</t>
  </si>
  <si>
    <t>3J00</t>
  </si>
  <si>
    <t>005603</t>
  </si>
  <si>
    <t>5JY0</t>
  </si>
  <si>
    <t>005620</t>
  </si>
  <si>
    <t>County Law Library Resources Boards</t>
  </si>
  <si>
    <t>005321</t>
  </si>
  <si>
    <t>Operating Expenses - Judiciary/Supreme Court</t>
  </si>
  <si>
    <t>005401</t>
  </si>
  <si>
    <t>State Criminal Sentencing Commission</t>
  </si>
  <si>
    <t>005406</t>
  </si>
  <si>
    <t>005409</t>
  </si>
  <si>
    <t>Ohio Courts Technology Initiative</t>
  </si>
  <si>
    <t>LCO</t>
  </si>
  <si>
    <t>970601</t>
  </si>
  <si>
    <t>Commission Operating Expenses</t>
  </si>
  <si>
    <t>LEC</t>
  </si>
  <si>
    <t>4C00</t>
  </si>
  <si>
    <t>780601</t>
  </si>
  <si>
    <t>Lake Erie Protection</t>
  </si>
  <si>
    <t>780604</t>
  </si>
  <si>
    <t>3EP0</t>
  </si>
  <si>
    <t>780603</t>
  </si>
  <si>
    <t>LEC Federal Grants</t>
  </si>
  <si>
    <t>LIB</t>
  </si>
  <si>
    <t>4590</t>
  </si>
  <si>
    <t>350603</t>
  </si>
  <si>
    <t>Services for Libraries</t>
  </si>
  <si>
    <t>4S40</t>
  </si>
  <si>
    <t>350604</t>
  </si>
  <si>
    <t>Ohio Public Library Information Network</t>
  </si>
  <si>
    <t>5GB0</t>
  </si>
  <si>
    <t>350605</t>
  </si>
  <si>
    <t>Library for the Blind</t>
  </si>
  <si>
    <t>3130</t>
  </si>
  <si>
    <t>350601</t>
  </si>
  <si>
    <t>LSTA Federal</t>
  </si>
  <si>
    <t>350321</t>
  </si>
  <si>
    <t>350401</t>
  </si>
  <si>
    <t>Ohioana Library Association</t>
  </si>
  <si>
    <t>350406</t>
  </si>
  <si>
    <t>350502</t>
  </si>
  <si>
    <t>Regional Library Systems</t>
  </si>
  <si>
    <t>1390</t>
  </si>
  <si>
    <t>350602</t>
  </si>
  <si>
    <t>Services for State Agencies</t>
  </si>
  <si>
    <t>LOT</t>
  </si>
  <si>
    <t>7044</t>
  </si>
  <si>
    <t>950321</t>
  </si>
  <si>
    <t>950402</t>
  </si>
  <si>
    <t>Advertising Contracts</t>
  </si>
  <si>
    <t>950403</t>
  </si>
  <si>
    <t>Gaming Contracts</t>
  </si>
  <si>
    <t>950601</t>
  </si>
  <si>
    <t>Direct Prize Payments</t>
  </si>
  <si>
    <t>950605</t>
  </si>
  <si>
    <t>Problem Gambling</t>
  </si>
  <si>
    <t>8710</t>
  </si>
  <si>
    <t>950602</t>
  </si>
  <si>
    <t>Annuity Prizes</t>
  </si>
  <si>
    <t>LSC</t>
  </si>
  <si>
    <t>4100</t>
  </si>
  <si>
    <t>035601</t>
  </si>
  <si>
    <t>Sale of Publications</t>
  </si>
  <si>
    <t>035321</t>
  </si>
  <si>
    <t>035402</t>
  </si>
  <si>
    <t>Legislative Fellows</t>
  </si>
  <si>
    <t>035405</t>
  </si>
  <si>
    <t>Correctional Institution Inspection Committee</t>
  </si>
  <si>
    <t>035407</t>
  </si>
  <si>
    <t>Legislative Task Force on Redistricting</t>
  </si>
  <si>
    <t>035409</t>
  </si>
  <si>
    <t>National Associations</t>
  </si>
  <si>
    <t>035420</t>
  </si>
  <si>
    <t>Ohio Redistriction Commission</t>
  </si>
  <si>
    <t>035410</t>
  </si>
  <si>
    <t>Legislative Information Systems</t>
  </si>
  <si>
    <t>035501</t>
  </si>
  <si>
    <t>Litigation</t>
  </si>
  <si>
    <t>MCD</t>
  </si>
  <si>
    <t>4E30</t>
  </si>
  <si>
    <t>651605</t>
  </si>
  <si>
    <t>Resident Protection Fund</t>
  </si>
  <si>
    <t>5AJ0</t>
  </si>
  <si>
    <t>651631</t>
  </si>
  <si>
    <t>Money Follows the Person</t>
  </si>
  <si>
    <t>5AN0</t>
  </si>
  <si>
    <t>651686</t>
  </si>
  <si>
    <t>Care Innovation and Community Improvement Program</t>
  </si>
  <si>
    <t>5DL0</t>
  </si>
  <si>
    <t>651639</t>
  </si>
  <si>
    <t>Medicaid Services-Recoveries</t>
  </si>
  <si>
    <t>651685</t>
  </si>
  <si>
    <t>Medicaid Recoveries-Program Support</t>
  </si>
  <si>
    <t>651690</t>
  </si>
  <si>
    <t>Multi-system Youth Custody Relinquishment</t>
  </si>
  <si>
    <t>5FX0</t>
  </si>
  <si>
    <t>651638</t>
  </si>
  <si>
    <t>Medicaid Services-Payment Withholding</t>
  </si>
  <si>
    <t>5GF0</t>
  </si>
  <si>
    <t>651656</t>
  </si>
  <si>
    <t>Medicaid Services - Hospital Franchise Fee</t>
  </si>
  <si>
    <t>5R20</t>
  </si>
  <si>
    <t>651608</t>
  </si>
  <si>
    <t>Medicaid Services-Long Term</t>
  </si>
  <si>
    <t>5SA4</t>
  </si>
  <si>
    <t>651689</t>
  </si>
  <si>
    <t>Medicaid Health &amp; Human Services</t>
  </si>
  <si>
    <t>5TN0</t>
  </si>
  <si>
    <t>651684</t>
  </si>
  <si>
    <t>Medicaid Services-HIC Fee</t>
  </si>
  <si>
    <t>5XY0</t>
  </si>
  <si>
    <t>651694</t>
  </si>
  <si>
    <t>Improvements for Priority Populations</t>
  </si>
  <si>
    <t>6510</t>
  </si>
  <si>
    <t>651649</t>
  </si>
  <si>
    <t>Medicaid Services-Hospital Care Assurance Program</t>
  </si>
  <si>
    <t>3ER0</t>
  </si>
  <si>
    <t>651603</t>
  </si>
  <si>
    <t>Medicaid and Health Transformation Technology</t>
  </si>
  <si>
    <t>3F00</t>
  </si>
  <si>
    <t>651623</t>
  </si>
  <si>
    <t>Medicaid Services-Federal</t>
  </si>
  <si>
    <t>651624</t>
  </si>
  <si>
    <t>3FA0</t>
  </si>
  <si>
    <t>651680</t>
  </si>
  <si>
    <t>Health Care Grants-Federal</t>
  </si>
  <si>
    <t>3G50</t>
  </si>
  <si>
    <t>651655</t>
  </si>
  <si>
    <t>Medicaid Interagency Pass Through</t>
  </si>
  <si>
    <t>651425</t>
  </si>
  <si>
    <t>651426</t>
  </si>
  <si>
    <t>Positive Education Program Connections</t>
  </si>
  <si>
    <t>651525</t>
  </si>
  <si>
    <t>Medicaid Health Care Services</t>
  </si>
  <si>
    <t>651526</t>
  </si>
  <si>
    <t>Medicare Part D</t>
  </si>
  <si>
    <t>651529</t>
  </si>
  <si>
    <t>Brigid's Path Pilot</t>
  </si>
  <si>
    <t>651533</t>
  </si>
  <si>
    <t>Food Farmacy Pilot Project</t>
  </si>
  <si>
    <t>R055</t>
  </si>
  <si>
    <t>651644</t>
  </si>
  <si>
    <t>Refunds and Reconciliation</t>
  </si>
  <si>
    <t>MED</t>
  </si>
  <si>
    <t>5C60</t>
  </si>
  <si>
    <t>883609</t>
  </si>
  <si>
    <t>MHA</t>
  </si>
  <si>
    <t>336621</t>
  </si>
  <si>
    <t>4750</t>
  </si>
  <si>
    <t>336623</t>
  </si>
  <si>
    <t>Statewide Treatment and Prevention</t>
  </si>
  <si>
    <t>4850</t>
  </si>
  <si>
    <t>336632</t>
  </si>
  <si>
    <t>Mental Health Operating</t>
  </si>
  <si>
    <t>5AU0</t>
  </si>
  <si>
    <t>336615</t>
  </si>
  <si>
    <t>Behavioral Health Care</t>
  </si>
  <si>
    <t>336513</t>
  </si>
  <si>
    <t>COVID Response - Mental Health</t>
  </si>
  <si>
    <t>5JL0</t>
  </si>
  <si>
    <t>336629</t>
  </si>
  <si>
    <t>Problem Gambling and Casino Addiction</t>
  </si>
  <si>
    <t>5T90</t>
  </si>
  <si>
    <t>336641</t>
  </si>
  <si>
    <t>Problem Gambling Services</t>
  </si>
  <si>
    <t>336600</t>
  </si>
  <si>
    <t>Substance Abuse Stabilization Centers</t>
  </si>
  <si>
    <t>336643</t>
  </si>
  <si>
    <t>ADAMHS Boards</t>
  </si>
  <si>
    <t>5VV0</t>
  </si>
  <si>
    <t>336645</t>
  </si>
  <si>
    <t>Transcranial Magnetic Stimulation Pilot</t>
  </si>
  <si>
    <t>6320</t>
  </si>
  <si>
    <t>336616</t>
  </si>
  <si>
    <t>Community Capital Replacement</t>
  </si>
  <si>
    <t>6890</t>
  </si>
  <si>
    <t>336640</t>
  </si>
  <si>
    <t>Education and Conferences</t>
  </si>
  <si>
    <t>3240</t>
  </si>
  <si>
    <t>336605</t>
  </si>
  <si>
    <t>Medicaid/Medicare</t>
  </si>
  <si>
    <t>3A60</t>
  </si>
  <si>
    <t>336608</t>
  </si>
  <si>
    <t>Federal Miscellaneous</t>
  </si>
  <si>
    <t>3A70</t>
  </si>
  <si>
    <t>336612</t>
  </si>
  <si>
    <t>3A80</t>
  </si>
  <si>
    <t>336613</t>
  </si>
  <si>
    <t>3A90</t>
  </si>
  <si>
    <t>336614</t>
  </si>
  <si>
    <t>Mental Health Block Grant</t>
  </si>
  <si>
    <t>3B10</t>
  </si>
  <si>
    <t>652636</t>
  </si>
  <si>
    <t>Community Medicaid Legacy Support</t>
  </si>
  <si>
    <t>3G40</t>
  </si>
  <si>
    <t>336618</t>
  </si>
  <si>
    <t>Substance Abuse Block Grant</t>
  </si>
  <si>
    <t>3H80</t>
  </si>
  <si>
    <t>336606</t>
  </si>
  <si>
    <t>Demonstration Grants</t>
  </si>
  <si>
    <t>3HB0</t>
  </si>
  <si>
    <t>336503</t>
  </si>
  <si>
    <t>Cures Opioid State Targeted Response</t>
  </si>
  <si>
    <t>3HB1</t>
  </si>
  <si>
    <t>336644</t>
  </si>
  <si>
    <t>State Opioid Response</t>
  </si>
  <si>
    <t>336514</t>
  </si>
  <si>
    <t>Governor's Emergency Education Relief -  Mental Health Coordination</t>
  </si>
  <si>
    <t>3N80</t>
  </si>
  <si>
    <t>336639</t>
  </si>
  <si>
    <t>Administrative Reimbursement</t>
  </si>
  <si>
    <t>336321</t>
  </si>
  <si>
    <t>336402</t>
  </si>
  <si>
    <t>Resident Trainees</t>
  </si>
  <si>
    <t>336405</t>
  </si>
  <si>
    <t>336406</t>
  </si>
  <si>
    <t>Prevention and Wellness</t>
  </si>
  <si>
    <t>336412</t>
  </si>
  <si>
    <t>Hospital Services</t>
  </si>
  <si>
    <t>336415</t>
  </si>
  <si>
    <t>Mental Health Facilities Lease Rental Bond Payments</t>
  </si>
  <si>
    <t>336421</t>
  </si>
  <si>
    <t>Continuum of Care Services</t>
  </si>
  <si>
    <t>336422</t>
  </si>
  <si>
    <t>Criminal Justice Services</t>
  </si>
  <si>
    <t>336423</t>
  </si>
  <si>
    <t>Addiction Services Partnership with Corrections</t>
  </si>
  <si>
    <t>336424</t>
  </si>
  <si>
    <t>Recovery Housing</t>
  </si>
  <si>
    <t>336425</t>
  </si>
  <si>
    <t>Specialized Docket Support</t>
  </si>
  <si>
    <t>336504</t>
  </si>
  <si>
    <t>Community Innovations</t>
  </si>
  <si>
    <t>336506</t>
  </si>
  <si>
    <t>Court Costs</t>
  </si>
  <si>
    <t>336510</t>
  </si>
  <si>
    <t>Residential State Supplement</t>
  </si>
  <si>
    <t>336511</t>
  </si>
  <si>
    <t>Early Childhood Mental Health Counselors and Consultation</t>
  </si>
  <si>
    <t>336515</t>
  </si>
  <si>
    <t>Transcranial Magnetic Stimulation Program</t>
  </si>
  <si>
    <t>336516</t>
  </si>
  <si>
    <t>Appalachian Children Coalition</t>
  </si>
  <si>
    <t>652321</t>
  </si>
  <si>
    <t>1490</t>
  </si>
  <si>
    <t>336609</t>
  </si>
  <si>
    <t>Hospital Operating Expenses</t>
  </si>
  <si>
    <t>336610</t>
  </si>
  <si>
    <t>1510</t>
  </si>
  <si>
    <t>336601</t>
  </si>
  <si>
    <t>Ohio Pharmacy Services</t>
  </si>
  <si>
    <t>4P90</t>
  </si>
  <si>
    <t>336604</t>
  </si>
  <si>
    <t>Community Mental Health Projects</t>
  </si>
  <si>
    <t>MIH</t>
  </si>
  <si>
    <t>4C20</t>
  </si>
  <si>
    <t>149601</t>
  </si>
  <si>
    <t>Minority Health Conference</t>
  </si>
  <si>
    <t>149321</t>
  </si>
  <si>
    <t>149501</t>
  </si>
  <si>
    <t>149502</t>
  </si>
  <si>
    <t>Lupus Program</t>
  </si>
  <si>
    <t>149503</t>
  </si>
  <si>
    <t>Infant Mortality Health Grants</t>
  </si>
  <si>
    <t>NUR</t>
  </si>
  <si>
    <t>884609</t>
  </si>
  <si>
    <t>5AC0</t>
  </si>
  <si>
    <t>884602</t>
  </si>
  <si>
    <t>Nurse Education Grant Program</t>
  </si>
  <si>
    <t>5P80</t>
  </si>
  <si>
    <t>884601</t>
  </si>
  <si>
    <t>Nursing Special Issues</t>
  </si>
  <si>
    <t>OBM</t>
  </si>
  <si>
    <t>042501</t>
  </si>
  <si>
    <t>Coronavirus Relief-Local Government</t>
  </si>
  <si>
    <t>042502</t>
  </si>
  <si>
    <t>Provider Relief - Skilled Nursing Facilities</t>
  </si>
  <si>
    <t>042503</t>
  </si>
  <si>
    <t>Provider Relief - Infection Control</t>
  </si>
  <si>
    <t>042504</t>
  </si>
  <si>
    <t>Provider Relief - Longterm Care and Behavioral Health</t>
  </si>
  <si>
    <t>042505</t>
  </si>
  <si>
    <t>Provider Relief - Rural Hospitals</t>
  </si>
  <si>
    <t>042506</t>
  </si>
  <si>
    <t>Provider Relief - Behavioral Health</t>
  </si>
  <si>
    <t>042507</t>
  </si>
  <si>
    <t>COVID Safety - Public Libraries</t>
  </si>
  <si>
    <t>042508</t>
  </si>
  <si>
    <t>COVID Safety - Veterans Posts</t>
  </si>
  <si>
    <t>042515</t>
  </si>
  <si>
    <t>Provider Relief - Adult Day Care/Senior Centers</t>
  </si>
  <si>
    <t>042517</t>
  </si>
  <si>
    <t>Ohio Humanities Council</t>
  </si>
  <si>
    <t>042621</t>
  </si>
  <si>
    <t>COVID Response Costs - Multiple Agencies</t>
  </si>
  <si>
    <t>042623</t>
  </si>
  <si>
    <t>Coronavirus Relief - Local Distribution</t>
  </si>
  <si>
    <t>5EH0</t>
  </si>
  <si>
    <t>042604</t>
  </si>
  <si>
    <t>Forgery Recovery</t>
  </si>
  <si>
    <t>042321</t>
  </si>
  <si>
    <t>042425</t>
  </si>
  <si>
    <t>Shared Services Development</t>
  </si>
  <si>
    <t>1050</t>
  </si>
  <si>
    <t>042603</t>
  </si>
  <si>
    <t>Financial Management</t>
  </si>
  <si>
    <t>042620</t>
  </si>
  <si>
    <t>Shared Services Operating</t>
  </si>
  <si>
    <t>OCC</t>
  </si>
  <si>
    <t>5F50</t>
  </si>
  <si>
    <t>053601</t>
  </si>
  <si>
    <t>OHS</t>
  </si>
  <si>
    <t>5KL0</t>
  </si>
  <si>
    <t>360602</t>
  </si>
  <si>
    <t>Ohio History Tax Check-off</t>
  </si>
  <si>
    <t>5PD0</t>
  </si>
  <si>
    <t>360603</t>
  </si>
  <si>
    <t>Ohio History License Plate</t>
  </si>
  <si>
    <t>5XV0</t>
  </si>
  <si>
    <t>360525</t>
  </si>
  <si>
    <t>Ohio Commission for the U.S. Semiquincentennial</t>
  </si>
  <si>
    <t>360604</t>
  </si>
  <si>
    <t>GEER - History Initiatives</t>
  </si>
  <si>
    <t>360400</t>
  </si>
  <si>
    <t>Holocaust and Genocide Memorial and Education Commisssion</t>
  </si>
  <si>
    <t>360501</t>
  </si>
  <si>
    <t>Education and Collections</t>
  </si>
  <si>
    <t>360502</t>
  </si>
  <si>
    <t>Site and Museum Operations</t>
  </si>
  <si>
    <t>360504</t>
  </si>
  <si>
    <t>Ohio Preservation Office</t>
  </si>
  <si>
    <t>360505</t>
  </si>
  <si>
    <t>National Afro-American Museum</t>
  </si>
  <si>
    <t>360506</t>
  </si>
  <si>
    <t>Hayes Presidential Center</t>
  </si>
  <si>
    <t>360508</t>
  </si>
  <si>
    <t>State Historical Grants</t>
  </si>
  <si>
    <t>360509</t>
  </si>
  <si>
    <t>Outreach and Partnership</t>
  </si>
  <si>
    <t>OOD</t>
  </si>
  <si>
    <t>4670</t>
  </si>
  <si>
    <t>415609</t>
  </si>
  <si>
    <t>Business Enterprise Operating Expenses</t>
  </si>
  <si>
    <t>4680</t>
  </si>
  <si>
    <t>415618</t>
  </si>
  <si>
    <t>Third Party Services Funding</t>
  </si>
  <si>
    <t>4L10</t>
  </si>
  <si>
    <t>415619</t>
  </si>
  <si>
    <t>Services for Rehabilitation</t>
  </si>
  <si>
    <t>3170</t>
  </si>
  <si>
    <t>415620</t>
  </si>
  <si>
    <t>Disability Determination</t>
  </si>
  <si>
    <t>3790</t>
  </si>
  <si>
    <t>415616</t>
  </si>
  <si>
    <t>Federal-Vocational Rehabilitation</t>
  </si>
  <si>
    <t>3GH0</t>
  </si>
  <si>
    <t>415602</t>
  </si>
  <si>
    <t>Personal Care Assistance</t>
  </si>
  <si>
    <t>415604</t>
  </si>
  <si>
    <t>Community Centers for the Deaf</t>
  </si>
  <si>
    <t>415613</t>
  </si>
  <si>
    <t>Independent Living</t>
  </si>
  <si>
    <t>3L10</t>
  </si>
  <si>
    <t>415608</t>
  </si>
  <si>
    <t>Social Security Vocational Rehabilitation</t>
  </si>
  <si>
    <t>3L40</t>
  </si>
  <si>
    <t>415615</t>
  </si>
  <si>
    <t>Federal-Supported Employment</t>
  </si>
  <si>
    <t>415617</t>
  </si>
  <si>
    <t>Independent Living Older Blind</t>
  </si>
  <si>
    <t>415614</t>
  </si>
  <si>
    <t>Business Enterprise Federal Relief</t>
  </si>
  <si>
    <t>415402</t>
  </si>
  <si>
    <t>Independent Living Council</t>
  </si>
  <si>
    <t>415406</t>
  </si>
  <si>
    <t>Assistive Technology</t>
  </si>
  <si>
    <t>415431</t>
  </si>
  <si>
    <t>Brain Injury</t>
  </si>
  <si>
    <t>415506</t>
  </si>
  <si>
    <t>Services for Individuals with Disabilities</t>
  </si>
  <si>
    <t>415508</t>
  </si>
  <si>
    <t>Services for the Deaf</t>
  </si>
  <si>
    <t>415511</t>
  </si>
  <si>
    <t>Centers for Independent Living</t>
  </si>
  <si>
    <t>415512</t>
  </si>
  <si>
    <t>Visually Impaired Reading Services</t>
  </si>
  <si>
    <t>4W50</t>
  </si>
  <si>
    <t>415606</t>
  </si>
  <si>
    <t>Program Management</t>
  </si>
  <si>
    <t>OSB</t>
  </si>
  <si>
    <t>4H80</t>
  </si>
  <si>
    <t>226602</t>
  </si>
  <si>
    <t>Education Reform Grants</t>
  </si>
  <si>
    <t>4M50</t>
  </si>
  <si>
    <t>226601</t>
  </si>
  <si>
    <t>Work Study and Technology Investment</t>
  </si>
  <si>
    <t>5NJ0</t>
  </si>
  <si>
    <t>226622</t>
  </si>
  <si>
    <t>Food Service Program</t>
  </si>
  <si>
    <t>3100</t>
  </si>
  <si>
    <t>226626</t>
  </si>
  <si>
    <t>3DT0</t>
  </si>
  <si>
    <t>226621</t>
  </si>
  <si>
    <t>Ohio Transition Collaborative</t>
  </si>
  <si>
    <t>3P50</t>
  </si>
  <si>
    <t>226643</t>
  </si>
  <si>
    <t>Medicaid Professional Services Reimbursement</t>
  </si>
  <si>
    <t>226321</t>
  </si>
  <si>
    <t>Operations</t>
  </si>
  <si>
    <t>OSD</t>
  </si>
  <si>
    <t>4M00</t>
  </si>
  <si>
    <t>221601</t>
  </si>
  <si>
    <t>Educational Program Expenses</t>
  </si>
  <si>
    <t>4M10</t>
  </si>
  <si>
    <t>221602</t>
  </si>
  <si>
    <t>5H60</t>
  </si>
  <si>
    <t>221609</t>
  </si>
  <si>
    <t>Even Start Fees and Gifts</t>
  </si>
  <si>
    <t>5NK0</t>
  </si>
  <si>
    <t>221610</t>
  </si>
  <si>
    <t>3110</t>
  </si>
  <si>
    <t>221625</t>
  </si>
  <si>
    <t>3R00</t>
  </si>
  <si>
    <t>221684</t>
  </si>
  <si>
    <t>221321</t>
  </si>
  <si>
    <t>PAY</t>
  </si>
  <si>
    <t>1240</t>
  </si>
  <si>
    <t>995673</t>
  </si>
  <si>
    <t>Payroll Deductions</t>
  </si>
  <si>
    <t>8060</t>
  </si>
  <si>
    <t>995666</t>
  </si>
  <si>
    <t>Accrued Leave Fund</t>
  </si>
  <si>
    <t>8070</t>
  </si>
  <si>
    <t>995667</t>
  </si>
  <si>
    <t>Disability Fund</t>
  </si>
  <si>
    <t>8080</t>
  </si>
  <si>
    <t>995668</t>
  </si>
  <si>
    <t>State Employee Health Benefit Fund</t>
  </si>
  <si>
    <t>8090</t>
  </si>
  <si>
    <t>995669</t>
  </si>
  <si>
    <t>Dependent Care Spending Account</t>
  </si>
  <si>
    <t>8100</t>
  </si>
  <si>
    <t>995670</t>
  </si>
  <si>
    <t>Life Insurance Investment Fund</t>
  </si>
  <si>
    <t>8110</t>
  </si>
  <si>
    <t>995671</t>
  </si>
  <si>
    <t>Parental Leave Benefit Fund</t>
  </si>
  <si>
    <t>8130</t>
  </si>
  <si>
    <t>995672</t>
  </si>
  <si>
    <t>Health Care Spending Account</t>
  </si>
  <si>
    <t>PEN</t>
  </si>
  <si>
    <t>090524</t>
  </si>
  <si>
    <t>Police and Fire Disability Pension Fund</t>
  </si>
  <si>
    <t>090534</t>
  </si>
  <si>
    <t>Police and Fire Ad Hoc Cost of Living</t>
  </si>
  <si>
    <t>090554</t>
  </si>
  <si>
    <t>Police and Fire Survivor Benefits</t>
  </si>
  <si>
    <t>090575</t>
  </si>
  <si>
    <t>Police and Fire Death Benefits</t>
  </si>
  <si>
    <t>PRX</t>
  </si>
  <si>
    <t>4A50</t>
  </si>
  <si>
    <t>887605</t>
  </si>
  <si>
    <t>658605</t>
  </si>
  <si>
    <t>OARRS Integration - State</t>
  </si>
  <si>
    <t>887609</t>
  </si>
  <si>
    <t>5SG0</t>
  </si>
  <si>
    <t>887612</t>
  </si>
  <si>
    <t>Drug Database</t>
  </si>
  <si>
    <t>887613</t>
  </si>
  <si>
    <t>3HD0</t>
  </si>
  <si>
    <t>887614</t>
  </si>
  <si>
    <t>Pharmacy Federal Grants</t>
  </si>
  <si>
    <t>3HH0</t>
  </si>
  <si>
    <t>658601</t>
  </si>
  <si>
    <t>OARRS Integration - Federal</t>
  </si>
  <si>
    <t>3HM0</t>
  </si>
  <si>
    <t>887615</t>
  </si>
  <si>
    <t>Equitable Sharing Treasury</t>
  </si>
  <si>
    <t>3HN0</t>
  </si>
  <si>
    <t>887616</t>
  </si>
  <si>
    <t>Equitable Sharing Justice</t>
  </si>
  <si>
    <t>PSY</t>
  </si>
  <si>
    <t>882609</t>
  </si>
  <si>
    <t>PUB</t>
  </si>
  <si>
    <t>1010</t>
  </si>
  <si>
    <t>019607</t>
  </si>
  <si>
    <t>Juvenile Legal Assistance</t>
  </si>
  <si>
    <t>4060</t>
  </si>
  <si>
    <t>019603</t>
  </si>
  <si>
    <t>4070</t>
  </si>
  <si>
    <t>019604</t>
  </si>
  <si>
    <t>County Representation</t>
  </si>
  <si>
    <t>4080</t>
  </si>
  <si>
    <t>019605</t>
  </si>
  <si>
    <t>Client Payments</t>
  </si>
  <si>
    <t>4C70</t>
  </si>
  <si>
    <t>019601</t>
  </si>
  <si>
    <t>Multi-County: County Share</t>
  </si>
  <si>
    <t>4N90</t>
  </si>
  <si>
    <t>019613</t>
  </si>
  <si>
    <t>Gifts and Grants</t>
  </si>
  <si>
    <t>4X70</t>
  </si>
  <si>
    <t>019610</t>
  </si>
  <si>
    <t>Trumbull County - County Share</t>
  </si>
  <si>
    <t>5740</t>
  </si>
  <si>
    <t>019606</t>
  </si>
  <si>
    <t>Civil Legal Aid</t>
  </si>
  <si>
    <t>5CX0</t>
  </si>
  <si>
    <t>019617</t>
  </si>
  <si>
    <t>Civil Case Filing Fee</t>
  </si>
  <si>
    <t>5DY0</t>
  </si>
  <si>
    <t>019618</t>
  </si>
  <si>
    <t>Indigent Defense Support - County Share</t>
  </si>
  <si>
    <t>019619</t>
  </si>
  <si>
    <t>Indigent Defense Support - State Office</t>
  </si>
  <si>
    <t>3S80</t>
  </si>
  <si>
    <t>019608</t>
  </si>
  <si>
    <t>Federal Representation</t>
  </si>
  <si>
    <t>019401</t>
  </si>
  <si>
    <t>State Legal Defense Services</t>
  </si>
  <si>
    <t>019403</t>
  </si>
  <si>
    <t>Multi-County: State Share</t>
  </si>
  <si>
    <t>019404</t>
  </si>
  <si>
    <t>Trumbull County - State Share</t>
  </si>
  <si>
    <t>019405</t>
  </si>
  <si>
    <t>Training Account</t>
  </si>
  <si>
    <t>019501</t>
  </si>
  <si>
    <t>County Reimbursement</t>
  </si>
  <si>
    <t>PUC</t>
  </si>
  <si>
    <t>4A30</t>
  </si>
  <si>
    <t>870614</t>
  </si>
  <si>
    <t>Grade Crossing Protection Devices-State</t>
  </si>
  <si>
    <t>4L80</t>
  </si>
  <si>
    <t>870617</t>
  </si>
  <si>
    <t>Pipeline Safety-State</t>
  </si>
  <si>
    <t>5610</t>
  </si>
  <si>
    <t>870606</t>
  </si>
  <si>
    <t>Power Siting Board</t>
  </si>
  <si>
    <t>5F60</t>
  </si>
  <si>
    <t>870622</t>
  </si>
  <si>
    <t>Utility and Railroad Regulation</t>
  </si>
  <si>
    <t>870624</t>
  </si>
  <si>
    <t>NARUC/NRRI Subsidy</t>
  </si>
  <si>
    <t>5LT0</t>
  </si>
  <si>
    <t>870640</t>
  </si>
  <si>
    <t>Intrastate Registration</t>
  </si>
  <si>
    <t>870641</t>
  </si>
  <si>
    <t>Unified Carrier Registration</t>
  </si>
  <si>
    <t>870642</t>
  </si>
  <si>
    <t>Hazardous Materials Registration</t>
  </si>
  <si>
    <t>870643</t>
  </si>
  <si>
    <t>Non-Hazardous Materials Civil Forfeiture</t>
  </si>
  <si>
    <t>870644</t>
  </si>
  <si>
    <t>Hazardous Materials Civil Forfeiture</t>
  </si>
  <si>
    <t>870645</t>
  </si>
  <si>
    <t>Motor Carrier Enforcement</t>
  </si>
  <si>
    <t>5Q50</t>
  </si>
  <si>
    <t>870626</t>
  </si>
  <si>
    <t>Telecommunications Relay Service</t>
  </si>
  <si>
    <t>5QR0</t>
  </si>
  <si>
    <t>870646</t>
  </si>
  <si>
    <t>Underground Facilities Protection</t>
  </si>
  <si>
    <t>5QS0</t>
  </si>
  <si>
    <t>870647</t>
  </si>
  <si>
    <t>Underground Facilities Administration</t>
  </si>
  <si>
    <t>3330</t>
  </si>
  <si>
    <t>870601</t>
  </si>
  <si>
    <t>Gas Pipeline Safety</t>
  </si>
  <si>
    <t>3500</t>
  </si>
  <si>
    <t>870608</t>
  </si>
  <si>
    <t>Motor Carrier Safety</t>
  </si>
  <si>
    <t>870648</t>
  </si>
  <si>
    <t>Motor Carrier Administration High Priority Activities Grants and Cooperative Agreements</t>
  </si>
  <si>
    <t>3V30</t>
  </si>
  <si>
    <t>870604</t>
  </si>
  <si>
    <t>Commercial Vehicle Information Systems/Networks</t>
  </si>
  <si>
    <t>PWC</t>
  </si>
  <si>
    <t>7038</t>
  </si>
  <si>
    <t>150321</t>
  </si>
  <si>
    <t>State Capital Improvements Program - Operating Expenses</t>
  </si>
  <si>
    <t>7056</t>
  </si>
  <si>
    <t>150403</t>
  </si>
  <si>
    <t>Clean Ohio Conservation Operating</t>
  </si>
  <si>
    <t>150904</t>
  </si>
  <si>
    <t>Conservation General Obligation Bond Debt Service</t>
  </si>
  <si>
    <t>150907</t>
  </si>
  <si>
    <t>Infrastructure Improvement General Obligation Bond Debt Service</t>
  </si>
  <si>
    <t>PYT</t>
  </si>
  <si>
    <t>890609</t>
  </si>
  <si>
    <t>RAC</t>
  </si>
  <si>
    <t>5620</t>
  </si>
  <si>
    <t>875601</t>
  </si>
  <si>
    <t>Thoroughbred Development</t>
  </si>
  <si>
    <t>5630</t>
  </si>
  <si>
    <t>875602</t>
  </si>
  <si>
    <t>Standardbred Development</t>
  </si>
  <si>
    <t>5650</t>
  </si>
  <si>
    <t>875604</t>
  </si>
  <si>
    <t>Racing Commission Operating</t>
  </si>
  <si>
    <t>5JK0</t>
  </si>
  <si>
    <t>875610</t>
  </si>
  <si>
    <t>Horse Racing Development - Casino</t>
  </si>
  <si>
    <t>5NL0</t>
  </si>
  <si>
    <t>875611</t>
  </si>
  <si>
    <t>Revenue Redistribution</t>
  </si>
  <si>
    <t>5C40</t>
  </si>
  <si>
    <t>875607</t>
  </si>
  <si>
    <t>Simulcast Horse Racing Purse</t>
  </si>
  <si>
    <t>R021</t>
  </si>
  <si>
    <t>875605</t>
  </si>
  <si>
    <t>Bond Reimbursements</t>
  </si>
  <si>
    <t>RDF</t>
  </si>
  <si>
    <t>4P80</t>
  </si>
  <si>
    <t>001698</t>
  </si>
  <si>
    <t>Cash Management Improvement Fund</t>
  </si>
  <si>
    <t>5VR0</t>
  </si>
  <si>
    <t>110902</t>
  </si>
  <si>
    <t>Municipal Net Profit Tax</t>
  </si>
  <si>
    <t>6080</t>
  </si>
  <si>
    <t>001699</t>
  </si>
  <si>
    <t>Investment Earnings</t>
  </si>
  <si>
    <t>7001</t>
  </si>
  <si>
    <t>110996</t>
  </si>
  <si>
    <t>Horse Racing Tax Local Government Payments</t>
  </si>
  <si>
    <t>7062</t>
  </si>
  <si>
    <t>110962</t>
  </si>
  <si>
    <t>Resort Area Excise Tax Distribution</t>
  </si>
  <si>
    <t>7063</t>
  </si>
  <si>
    <t>110963</t>
  </si>
  <si>
    <t>Permissive Sales Tax Distribution</t>
  </si>
  <si>
    <t>7067</t>
  </si>
  <si>
    <t>110967</t>
  </si>
  <si>
    <t>School District Income Tax Distribution</t>
  </si>
  <si>
    <t>7085</t>
  </si>
  <si>
    <t>800985</t>
  </si>
  <si>
    <t>Volunteer Firemen's Dependents Fund</t>
  </si>
  <si>
    <t>7093</t>
  </si>
  <si>
    <t>110640</t>
  </si>
  <si>
    <t>Next Generation 9-1-1</t>
  </si>
  <si>
    <t>7094</t>
  </si>
  <si>
    <t>110641</t>
  </si>
  <si>
    <t>Wireless 9-1-1 Government Assistance</t>
  </si>
  <si>
    <t>7095</t>
  </si>
  <si>
    <t>110995</t>
  </si>
  <si>
    <t>Municipal Income Tax</t>
  </si>
  <si>
    <t>7099</t>
  </si>
  <si>
    <t>762902</t>
  </si>
  <si>
    <t>Permissive Tax Distribution - Auto Registration</t>
  </si>
  <si>
    <t>110908</t>
  </si>
  <si>
    <t>Property Tax Reimbursement - Local Government</t>
  </si>
  <si>
    <t>200903</t>
  </si>
  <si>
    <t>Property Tax Reimbursement - Education</t>
  </si>
  <si>
    <t>R045</t>
  </si>
  <si>
    <t>110617</t>
  </si>
  <si>
    <t>International Fuel Tax Distribution</t>
  </si>
  <si>
    <t>5JG0</t>
  </si>
  <si>
    <t>110633</t>
  </si>
  <si>
    <t>Gross Casino Revenue Payments-County</t>
  </si>
  <si>
    <t>5JH0</t>
  </si>
  <si>
    <t>110634</t>
  </si>
  <si>
    <t>Gross Casino Revenue Payments- School Districts</t>
  </si>
  <si>
    <t>5JJ0</t>
  </si>
  <si>
    <t>110636</t>
  </si>
  <si>
    <t>Gross Casino Revenue - Host City</t>
  </si>
  <si>
    <t>7047</t>
  </si>
  <si>
    <t>200902</t>
  </si>
  <si>
    <t>Property Tax Replacement Phase Out-Education</t>
  </si>
  <si>
    <t>7049</t>
  </si>
  <si>
    <t>336900</t>
  </si>
  <si>
    <t>Indigent Drivers Alcohol Treatment</t>
  </si>
  <si>
    <t>7050</t>
  </si>
  <si>
    <t>762900</t>
  </si>
  <si>
    <t>International Registration Plan Distribution</t>
  </si>
  <si>
    <t>7051</t>
  </si>
  <si>
    <t>762901</t>
  </si>
  <si>
    <t>Auto Registration Distribution</t>
  </si>
  <si>
    <t>7060</t>
  </si>
  <si>
    <t>110960</t>
  </si>
  <si>
    <t>Gasoline Excise Tax Fund</t>
  </si>
  <si>
    <t>7065</t>
  </si>
  <si>
    <t>110965</t>
  </si>
  <si>
    <t>Public Library Fund</t>
  </si>
  <si>
    <t>7066</t>
  </si>
  <si>
    <t>800966</t>
  </si>
  <si>
    <t>Undivided Liquor Permits</t>
  </si>
  <si>
    <t>7069</t>
  </si>
  <si>
    <t>110969</t>
  </si>
  <si>
    <t>Local Government Fund</t>
  </si>
  <si>
    <t>7081</t>
  </si>
  <si>
    <t>110907</t>
  </si>
  <si>
    <t>Property Tax Replacement Phase Out-Local Government</t>
  </si>
  <si>
    <t>7082</t>
  </si>
  <si>
    <t>110982</t>
  </si>
  <si>
    <t>Horse Racing Tax</t>
  </si>
  <si>
    <t>7083</t>
  </si>
  <si>
    <t>700900</t>
  </si>
  <si>
    <t>Ohio Fairs Fund</t>
  </si>
  <si>
    <t>REP</t>
  </si>
  <si>
    <t>025321</t>
  </si>
  <si>
    <t>1030</t>
  </si>
  <si>
    <t>025601</t>
  </si>
  <si>
    <t>House of Representatives Reimbursement</t>
  </si>
  <si>
    <t>4A40</t>
  </si>
  <si>
    <t>025602</t>
  </si>
  <si>
    <t>Miscellaneous Sales</t>
  </si>
  <si>
    <t>SCR</t>
  </si>
  <si>
    <t>233601</t>
  </si>
  <si>
    <t>SEN</t>
  </si>
  <si>
    <t>020321</t>
  </si>
  <si>
    <t>1020</t>
  </si>
  <si>
    <t>020602</t>
  </si>
  <si>
    <t>Senate Reimbursement</t>
  </si>
  <si>
    <t>4090</t>
  </si>
  <si>
    <t>020601</t>
  </si>
  <si>
    <t>SHP</t>
  </si>
  <si>
    <t>123609</t>
  </si>
  <si>
    <t>SOA</t>
  </si>
  <si>
    <t>5M90</t>
  </si>
  <si>
    <t>945601</t>
  </si>
  <si>
    <t>SOS</t>
  </si>
  <si>
    <t>4120</t>
  </si>
  <si>
    <t>050609</t>
  </si>
  <si>
    <t>Notary Commission</t>
  </si>
  <si>
    <t>4140</t>
  </si>
  <si>
    <t>050602</t>
  </si>
  <si>
    <t>Citizens Education Fund</t>
  </si>
  <si>
    <t>4S80</t>
  </si>
  <si>
    <t>050610</t>
  </si>
  <si>
    <t>Board of Voting Machine Examiners</t>
  </si>
  <si>
    <t>5990</t>
  </si>
  <si>
    <t>050603</t>
  </si>
  <si>
    <t>Business Services Operating Expenses</t>
  </si>
  <si>
    <t>050629</t>
  </si>
  <si>
    <t>Statewide Voter Registration Database</t>
  </si>
  <si>
    <t>050630</t>
  </si>
  <si>
    <t>Elections Support Supplement</t>
  </si>
  <si>
    <t>050631</t>
  </si>
  <si>
    <t>Precinct Election Officials Training</t>
  </si>
  <si>
    <t>5FG0</t>
  </si>
  <si>
    <t>050620</t>
  </si>
  <si>
    <t>BOE Reimbursement and Education</t>
  </si>
  <si>
    <t>5RG0</t>
  </si>
  <si>
    <t>050627</t>
  </si>
  <si>
    <t>Absentee Voter Ballot Application Mailing</t>
  </si>
  <si>
    <t>5SN0</t>
  </si>
  <si>
    <t>050626</t>
  </si>
  <si>
    <t>Address Confidentiality</t>
  </si>
  <si>
    <t>5VX0</t>
  </si>
  <si>
    <t>050634</t>
  </si>
  <si>
    <t>Women's Suffrage Centennial Commission</t>
  </si>
  <si>
    <t>3AS0</t>
  </si>
  <si>
    <t>050616</t>
  </si>
  <si>
    <t>Help America Vote Act (HAVA)</t>
  </si>
  <si>
    <t>050321</t>
  </si>
  <si>
    <t>050407</t>
  </si>
  <si>
    <t>Poll Workers Training</t>
  </si>
  <si>
    <t>050509</t>
  </si>
  <si>
    <t>County Voting Systems Lease Rental Payments</t>
  </si>
  <si>
    <t>R002</t>
  </si>
  <si>
    <t>050606</t>
  </si>
  <si>
    <t>Corporate/Business Filing Refunds</t>
  </si>
  <si>
    <t>SPA</t>
  </si>
  <si>
    <t>6010</t>
  </si>
  <si>
    <t>148602</t>
  </si>
  <si>
    <t>Special Initiatives</t>
  </si>
  <si>
    <t>148321</t>
  </si>
  <si>
    <t>TAX</t>
  </si>
  <si>
    <t>2280</t>
  </si>
  <si>
    <t>110628</t>
  </si>
  <si>
    <t>CAT Administration</t>
  </si>
  <si>
    <t>4330</t>
  </si>
  <si>
    <t>110602</t>
  </si>
  <si>
    <t>Municipal Data Exchange Administration</t>
  </si>
  <si>
    <t>4350</t>
  </si>
  <si>
    <t>110607</t>
  </si>
  <si>
    <t>Local Tax Administration</t>
  </si>
  <si>
    <t>4360</t>
  </si>
  <si>
    <t>110608</t>
  </si>
  <si>
    <t>Motor Vehicle Audit Administration</t>
  </si>
  <si>
    <t>4380</t>
  </si>
  <si>
    <t>110609</t>
  </si>
  <si>
    <t>School District Income Tax Administration</t>
  </si>
  <si>
    <t>4C60</t>
  </si>
  <si>
    <t>110616</t>
  </si>
  <si>
    <t>International Registration Plan Administration</t>
  </si>
  <si>
    <t>4R60</t>
  </si>
  <si>
    <t>110610</t>
  </si>
  <si>
    <t>Tire Tax Administration</t>
  </si>
  <si>
    <t>5BP0</t>
  </si>
  <si>
    <t>110639</t>
  </si>
  <si>
    <t>Wireless 9-1-1 Administration</t>
  </si>
  <si>
    <t>5JM0</t>
  </si>
  <si>
    <t>110637</t>
  </si>
  <si>
    <t>Casino Tax Administration</t>
  </si>
  <si>
    <t>5MN0</t>
  </si>
  <si>
    <t>110638</t>
  </si>
  <si>
    <t>STARS Development and Implementation</t>
  </si>
  <si>
    <t>5N50</t>
  </si>
  <si>
    <t>110605</t>
  </si>
  <si>
    <t>Municipal Income Tax Administration</t>
  </si>
  <si>
    <t>5N60</t>
  </si>
  <si>
    <t>110618</t>
  </si>
  <si>
    <t>Kilowatt Hour Tax Administration</t>
  </si>
  <si>
    <t>5NY0</t>
  </si>
  <si>
    <t>110643</t>
  </si>
  <si>
    <t>Petroleum Activity Tax Administration</t>
  </si>
  <si>
    <t>5V70</t>
  </si>
  <si>
    <t>110622</t>
  </si>
  <si>
    <t>Motor Fuel Tax Administration</t>
  </si>
  <si>
    <t>5V80</t>
  </si>
  <si>
    <t>110623</t>
  </si>
  <si>
    <t>Property Tax Administration</t>
  </si>
  <si>
    <t>5W70</t>
  </si>
  <si>
    <t>110627</t>
  </si>
  <si>
    <t>Exempt Facility Administration</t>
  </si>
  <si>
    <t>6390</t>
  </si>
  <si>
    <t>110614</t>
  </si>
  <si>
    <t>Cigarette Tax Enforcement</t>
  </si>
  <si>
    <t>6880</t>
  </si>
  <si>
    <t>110615</t>
  </si>
  <si>
    <t>Local Excise Tax Administration</t>
  </si>
  <si>
    <t>4250</t>
  </si>
  <si>
    <t>110635</t>
  </si>
  <si>
    <t>Tax Refunds</t>
  </si>
  <si>
    <t>5CZ0</t>
  </si>
  <si>
    <t>110631</t>
  </si>
  <si>
    <t>Vendor's License Application</t>
  </si>
  <si>
    <t>6420</t>
  </si>
  <si>
    <t>110613</t>
  </si>
  <si>
    <t>Ohio Political Party Distributions</t>
  </si>
  <si>
    <t>110321</t>
  </si>
  <si>
    <t>110404</t>
  </si>
  <si>
    <t>Tobacco Settlement Enforcement</t>
  </si>
  <si>
    <t>R010</t>
  </si>
  <si>
    <t>110611</t>
  </si>
  <si>
    <t>Tax Distributions</t>
  </si>
  <si>
    <t>R011</t>
  </si>
  <si>
    <t>110612</t>
  </si>
  <si>
    <t>Miscellaneous Income Tax Receipts</t>
  </si>
  <si>
    <t>TOS</t>
  </si>
  <si>
    <t>4E90</t>
  </si>
  <si>
    <t>090603</t>
  </si>
  <si>
    <t>Securities Lending Income</t>
  </si>
  <si>
    <t>4X90</t>
  </si>
  <si>
    <t>090614</t>
  </si>
  <si>
    <t>Political Subdivision Obligation</t>
  </si>
  <si>
    <t>5770</t>
  </si>
  <si>
    <t>090605</t>
  </si>
  <si>
    <t>Investment Pool Reimbursement</t>
  </si>
  <si>
    <t>5C50</t>
  </si>
  <si>
    <t>090602</t>
  </si>
  <si>
    <t>County Treasurer Education</t>
  </si>
  <si>
    <t>090610</t>
  </si>
  <si>
    <t>OhioMeansJobs Workforce Development</t>
  </si>
  <si>
    <t>5VZ0</t>
  </si>
  <si>
    <t>090615</t>
  </si>
  <si>
    <t>State Pay for Success Contract Fund</t>
  </si>
  <si>
    <t>6050</t>
  </si>
  <si>
    <t>090609</t>
  </si>
  <si>
    <t>Treasurer of State Administrative Fund</t>
  </si>
  <si>
    <t>090635</t>
  </si>
  <si>
    <t>090321</t>
  </si>
  <si>
    <t>090401</t>
  </si>
  <si>
    <t>Office of the Sinking Fund</t>
  </si>
  <si>
    <t>090402</t>
  </si>
  <si>
    <t>Continuing Education</t>
  </si>
  <si>
    <t>090406</t>
  </si>
  <si>
    <t>Treasury Management System Lease Rental Payments</t>
  </si>
  <si>
    <t>090613</t>
  </si>
  <si>
    <t>STABLE Account Administration</t>
  </si>
  <si>
    <t>UST</t>
  </si>
  <si>
    <t>6910</t>
  </si>
  <si>
    <t>810632</t>
  </si>
  <si>
    <t>Petroleum Underground Storage Tank Release Compensation Board - Operating</t>
  </si>
  <si>
    <t>VPB</t>
  </si>
  <si>
    <t>129609</t>
  </si>
  <si>
    <t>VTO</t>
  </si>
  <si>
    <t>743501</t>
  </si>
  <si>
    <t>American Ex-Prisoners of War</t>
  </si>
  <si>
    <t>746501</t>
  </si>
  <si>
    <t>Army and Navy Union, USA, Inc.</t>
  </si>
  <si>
    <t>747501</t>
  </si>
  <si>
    <t>Korean War Veterans</t>
  </si>
  <si>
    <t>748501</t>
  </si>
  <si>
    <t>Jewish War Veterans</t>
  </si>
  <si>
    <t>749501</t>
  </si>
  <si>
    <t>Catholic War Veterans</t>
  </si>
  <si>
    <t>750501</t>
  </si>
  <si>
    <t>Military Order of the Purple Heart</t>
  </si>
  <si>
    <t>751501</t>
  </si>
  <si>
    <t>Vietnam Veterans of America</t>
  </si>
  <si>
    <t>752501</t>
  </si>
  <si>
    <t>American Legion of Ohio</t>
  </si>
  <si>
    <t>753501</t>
  </si>
  <si>
    <t>AMVETS</t>
  </si>
  <si>
    <t>754501</t>
  </si>
  <si>
    <t>Disabled American Veterans</t>
  </si>
  <si>
    <t>756501</t>
  </si>
  <si>
    <t>Marine Corps League</t>
  </si>
  <si>
    <t>757501</t>
  </si>
  <si>
    <t>37th Division Veterans' Association</t>
  </si>
  <si>
    <t>758501</t>
  </si>
  <si>
    <t>Veterans of Foreign Wars</t>
  </si>
  <si>
    <t>Total All Funds</t>
  </si>
  <si>
    <t>Total GRF</t>
  </si>
  <si>
    <t>Line Item with state-federal splits:</t>
  </si>
  <si>
    <t>Medicaid/Health Care Services - State</t>
  </si>
  <si>
    <t>Medicaid/Health Care Services - Federal</t>
  </si>
  <si>
    <t>Medicaid/Health Care Services - Total</t>
  </si>
  <si>
    <t>% Change FY21 to FY22</t>
  </si>
  <si>
    <t>% Change FY22 to FY23</t>
  </si>
  <si>
    <t>Total State GRF</t>
  </si>
  <si>
    <t>House Substitute
FY 2022</t>
  </si>
  <si>
    <t>House Substitute
FY 2023</t>
  </si>
  <si>
    <t>House Reported
FY 2022</t>
  </si>
  <si>
    <t>House Reported
FY 2023</t>
  </si>
  <si>
    <t>Senate Substitute
FY 2022</t>
  </si>
  <si>
    <t>Senate Substitute
FY 2023</t>
  </si>
  <si>
    <t>Senate Reported
FY 2022</t>
  </si>
  <si>
    <t>Senate Reported
FY 2023</t>
  </si>
  <si>
    <t>Ohio Redistricting Commission</t>
  </si>
  <si>
    <t>As Enacted
FY 2022</t>
  </si>
  <si>
    <t>As Enacted
FY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</si>
</sst>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&quot;$&quot;#,##0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99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Font="1" applyFill="1" applyBorder="1" applyAlignment="1">
      <alignment wrapText="1"/>
    </xf>
    <xf numFmtId="0" fontId="4" fillId="0" borderId="0" xfId="0" applyFont="1" applyFill="1" applyBorder="1" applyAlignment="1" applyProtection="1">
      <alignment vertical="center"/>
    </xf>
    <xf numFmtId="164" fontId="4" fillId="0" borderId="0" xfId="1" applyNumberFormat="1" applyFont="1" applyFill="1" applyBorder="1" applyAlignment="1" applyProtection="1">
      <alignment horizontal="right" vertical="center"/>
    </xf>
    <xf numFmtId="164" fontId="0" fillId="0" borderId="0" xfId="1" applyNumberFormat="1" applyFont="1" applyFill="1" applyBorder="1" applyAlignment="1">
      <alignment horizontal="right" vertical="center"/>
    </xf>
    <xf numFmtId="0" fontId="0" fillId="0" borderId="0" xfId="0" applyFont="1" applyFill="1" applyBorder="1" applyAlignment="1"/>
    <xf numFmtId="0" fontId="4" fillId="0" borderId="0" xfId="3" applyFont="1" applyFill="1" applyBorder="1" applyAlignment="1" applyProtection="1">
      <alignment vertical="center"/>
    </xf>
    <xf numFmtId="0" fontId="4" fillId="0" borderId="0" xfId="3" quotePrefix="1" applyFont="1" applyFill="1" applyBorder="1" applyAlignment="1" applyProtection="1">
      <alignment vertical="center"/>
    </xf>
    <xf numFmtId="0" fontId="4" fillId="0" borderId="0" xfId="0" quotePrefix="1" applyFont="1" applyFill="1" applyBorder="1" applyAlignment="1" applyProtection="1">
      <alignment vertical="center"/>
    </xf>
    <xf numFmtId="164" fontId="4" fillId="0" borderId="0" xfId="4" applyNumberFormat="1" applyFont="1" applyFill="1" applyBorder="1" applyAlignment="1" applyProtection="1">
      <alignment horizontal="right" vertical="center"/>
    </xf>
    <xf numFmtId="164" fontId="0" fillId="0" borderId="0" xfId="1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/>
    <xf numFmtId="0" fontId="5" fillId="0" borderId="0" xfId="0" applyFont="1" applyFill="1" applyBorder="1" applyAlignment="1" applyProtection="1">
      <alignment horizontal="right" vertical="center"/>
    </xf>
    <xf numFmtId="164" fontId="3" fillId="0" borderId="0" xfId="1" applyNumberFormat="1" applyFont="1" applyFill="1" applyBorder="1" applyAlignment="1">
      <alignment horizontal="right" vertical="center"/>
    </xf>
    <xf numFmtId="165" fontId="3" fillId="0" borderId="0" xfId="2" applyNumberFormat="1" applyFont="1" applyFill="1" applyBorder="1" applyAlignment="1">
      <alignment horizontal="right" vertical="center"/>
    </xf>
    <xf numFmtId="164" fontId="0" fillId="0" borderId="0" xfId="0" applyNumberFormat="1" applyFont="1" applyFill="1" applyBorder="1" applyAlignment="1"/>
    <xf numFmtId="165" fontId="0" fillId="0" borderId="0" xfId="2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left"/>
    </xf>
    <xf numFmtId="0" fontId="2" fillId="2" borderId="0" xfId="0" applyFont="1" applyFill="1" applyBorder="1" applyAlignment="1" applyProtection="1">
      <alignment horizontal="center" vertical="center" wrapText="1"/>
    </xf>
    <xf numFmtId="164" fontId="2" fillId="2" borderId="0" xfId="1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>
      <alignment horizontal="left"/>
    </xf>
  </cellXfs>
  <cellStyles count="5">
    <cellStyle name="Currency" xfId="1" builtinId="4"/>
    <cellStyle name="Currency 2" xfId="4"/>
    <cellStyle name="Normal" xfId="0" builtinId="0"/>
    <cellStyle name="Normal 2 3" xfId="3"/>
    <cellStyle name="Percent" xfId="2" builtinId="5"/>
  </cellStyles>
  <dxfs count="0"/>
  <tableStyles count="0" defaultTableStyle="TableStyleMedium2" defaultPivotStyle="PivotStyleLight16"/>
  <colors>
    <mruColors>
      <color rgb="FF000099"/>
      <color rgb="FF99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03"/>
  <sheetViews>
    <sheetView tabSelected="1" zoomScaleNormal="100" workbookViewId="0">
      <pane xSplit="5" ySplit="1" topLeftCell="F1381" activePane="bottomRight" state="frozen"/>
      <selection pane="topRight" activeCell="F1" sqref="F1"/>
      <selection pane="bottomLeft" activeCell="A2" sqref="A2"/>
      <selection pane="bottomRight" activeCell="S1393" sqref="S1393"/>
    </sheetView>
  </sheetViews>
  <sheetFormatPr defaultRowHeight="15" x14ac:dyDescent="0.25"/>
  <cols>
    <col min="1" max="1" width="5.28515625" style="5" bestFit="1" customWidth="1"/>
    <col min="2" max="3" width="6.5703125" style="5" bestFit="1" customWidth="1"/>
    <col min="4" max="4" width="7.28515625" style="5" bestFit="1" customWidth="1"/>
    <col min="5" max="5" width="81.5703125" style="5" bestFit="1" customWidth="1"/>
    <col min="6" max="9" width="14.85546875" style="10" bestFit="1" customWidth="1"/>
    <col min="10" max="10" width="14.85546875" style="10" customWidth="1"/>
    <col min="11" max="17" width="14.85546875" style="10" bestFit="1" customWidth="1"/>
    <col min="18" max="19" width="14.85546875" style="10" customWidth="1"/>
    <col min="20" max="25" width="14.85546875" style="10" bestFit="1" customWidth="1"/>
    <col min="26" max="16384" width="9.140625" style="5"/>
  </cols>
  <sheetData>
    <row r="1" spans="1:25" s="1" customFormat="1" ht="49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3558</v>
      </c>
      <c r="K1" s="19" t="s">
        <v>3559</v>
      </c>
      <c r="L1" s="19" t="s">
        <v>3560</v>
      </c>
      <c r="M1" s="19" t="s">
        <v>3561</v>
      </c>
      <c r="N1" s="19" t="s">
        <v>9</v>
      </c>
      <c r="O1" s="19" t="s">
        <v>10</v>
      </c>
      <c r="P1" s="19" t="s">
        <v>3562</v>
      </c>
      <c r="Q1" s="19" t="s">
        <v>3563</v>
      </c>
      <c r="R1" s="19" t="s">
        <v>3564</v>
      </c>
      <c r="S1" s="19" t="s">
        <v>3565</v>
      </c>
      <c r="T1" s="19" t="s">
        <v>11</v>
      </c>
      <c r="U1" s="19" t="s">
        <v>12</v>
      </c>
      <c r="V1" s="19" t="s">
        <v>13</v>
      </c>
      <c r="W1" s="19" t="s">
        <v>14</v>
      </c>
      <c r="X1" s="19" t="s">
        <v>3567</v>
      </c>
      <c r="Y1" s="19" t="s">
        <v>3568</v>
      </c>
    </row>
    <row r="2" spans="1:25" ht="19.5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448551.6</v>
      </c>
      <c r="G2" s="4">
        <v>525000</v>
      </c>
      <c r="H2" s="4">
        <v>525000</v>
      </c>
      <c r="I2" s="4">
        <v>525000</v>
      </c>
      <c r="J2" s="4">
        <v>525000</v>
      </c>
      <c r="K2" s="4">
        <v>525000</v>
      </c>
      <c r="L2" s="4">
        <v>525000</v>
      </c>
      <c r="M2" s="4">
        <v>525000</v>
      </c>
      <c r="N2" s="4">
        <v>525000</v>
      </c>
      <c r="O2" s="4">
        <v>525000</v>
      </c>
      <c r="P2" s="4">
        <v>525000</v>
      </c>
      <c r="Q2" s="4">
        <v>525000</v>
      </c>
      <c r="R2" s="4">
        <v>525000</v>
      </c>
      <c r="S2" s="4">
        <v>525000</v>
      </c>
      <c r="T2" s="4">
        <v>525000</v>
      </c>
      <c r="U2" s="4">
        <v>525000</v>
      </c>
      <c r="V2" s="4">
        <v>525000</v>
      </c>
      <c r="W2" s="4">
        <v>525000</v>
      </c>
      <c r="X2" s="4">
        <v>525000</v>
      </c>
      <c r="Y2" s="4">
        <v>525000</v>
      </c>
    </row>
    <row r="3" spans="1:25" ht="19.5" customHeight="1" x14ac:dyDescent="0.25">
      <c r="A3" s="2" t="s">
        <v>15</v>
      </c>
      <c r="B3" s="2" t="s">
        <v>16</v>
      </c>
      <c r="C3" s="2" t="s">
        <v>20</v>
      </c>
      <c r="D3" s="2" t="s">
        <v>21</v>
      </c>
      <c r="E3" s="2" t="s">
        <v>22</v>
      </c>
      <c r="F3" s="3">
        <v>1103543.31</v>
      </c>
      <c r="G3" s="3">
        <v>1291139</v>
      </c>
      <c r="H3" s="3">
        <v>1244124</v>
      </c>
      <c r="I3" s="3">
        <v>1291139</v>
      </c>
      <c r="J3" s="3">
        <v>1244124</v>
      </c>
      <c r="K3" s="3">
        <v>1291139</v>
      </c>
      <c r="L3" s="4">
        <v>1244124</v>
      </c>
      <c r="M3" s="4">
        <v>1291139</v>
      </c>
      <c r="N3" s="4">
        <v>1244124</v>
      </c>
      <c r="O3" s="4">
        <v>1291139</v>
      </c>
      <c r="P3" s="4">
        <v>1244124</v>
      </c>
      <c r="Q3" s="4">
        <v>1291139</v>
      </c>
      <c r="R3" s="4">
        <v>1244124</v>
      </c>
      <c r="S3" s="4">
        <v>1291139</v>
      </c>
      <c r="T3" s="4">
        <v>1244124</v>
      </c>
      <c r="U3" s="4">
        <v>1291139</v>
      </c>
      <c r="V3" s="4">
        <v>1244124</v>
      </c>
      <c r="W3" s="4">
        <v>1291139</v>
      </c>
      <c r="X3" s="4">
        <v>1244124</v>
      </c>
      <c r="Y3" s="4">
        <v>1291139</v>
      </c>
    </row>
    <row r="4" spans="1:25" ht="19.5" customHeight="1" x14ac:dyDescent="0.25">
      <c r="A4" s="2" t="s">
        <v>23</v>
      </c>
      <c r="B4" s="2" t="s">
        <v>16</v>
      </c>
      <c r="C4" s="2" t="s">
        <v>24</v>
      </c>
      <c r="D4" s="2" t="s">
        <v>25</v>
      </c>
      <c r="E4" s="2" t="s">
        <v>26</v>
      </c>
      <c r="F4" s="3">
        <v>378085.01</v>
      </c>
      <c r="G4" s="3">
        <v>874465</v>
      </c>
      <c r="H4" s="3">
        <v>900000</v>
      </c>
      <c r="I4" s="3">
        <v>900000</v>
      </c>
      <c r="J4" s="3">
        <v>900000</v>
      </c>
      <c r="K4" s="3">
        <v>900000</v>
      </c>
      <c r="L4" s="4">
        <v>900000</v>
      </c>
      <c r="M4" s="4">
        <v>900000</v>
      </c>
      <c r="N4" s="4">
        <v>900000</v>
      </c>
      <c r="O4" s="4">
        <v>900000</v>
      </c>
      <c r="P4" s="4">
        <v>900000</v>
      </c>
      <c r="Q4" s="4">
        <v>900000</v>
      </c>
      <c r="R4" s="4">
        <v>900000</v>
      </c>
      <c r="S4" s="4">
        <v>900000</v>
      </c>
      <c r="T4" s="4">
        <v>900000</v>
      </c>
      <c r="U4" s="4">
        <v>900000</v>
      </c>
      <c r="V4" s="4">
        <v>900000</v>
      </c>
      <c r="W4" s="4">
        <v>900000</v>
      </c>
      <c r="X4" s="4">
        <v>900000</v>
      </c>
      <c r="Y4" s="4">
        <v>900000</v>
      </c>
    </row>
    <row r="5" spans="1:25" ht="19.5" customHeight="1" x14ac:dyDescent="0.25">
      <c r="A5" s="2" t="s">
        <v>23</v>
      </c>
      <c r="B5" s="2" t="s">
        <v>16</v>
      </c>
      <c r="C5" s="2" t="s">
        <v>27</v>
      </c>
      <c r="D5" s="2" t="s">
        <v>28</v>
      </c>
      <c r="E5" s="2" t="s">
        <v>29</v>
      </c>
      <c r="F5" s="3">
        <v>0</v>
      </c>
      <c r="G5" s="3">
        <v>0</v>
      </c>
      <c r="H5" s="3">
        <v>115000</v>
      </c>
      <c r="I5" s="3">
        <v>115000</v>
      </c>
      <c r="J5" s="3">
        <v>115000</v>
      </c>
      <c r="K5" s="3">
        <v>115000</v>
      </c>
      <c r="L5" s="4">
        <v>115000</v>
      </c>
      <c r="M5" s="4">
        <v>115000</v>
      </c>
      <c r="N5" s="4">
        <v>115000</v>
      </c>
      <c r="O5" s="4">
        <v>115000</v>
      </c>
      <c r="P5" s="4">
        <v>115000</v>
      </c>
      <c r="Q5" s="4">
        <v>115000</v>
      </c>
      <c r="R5" s="4">
        <v>115000</v>
      </c>
      <c r="S5" s="4">
        <v>115000</v>
      </c>
      <c r="T5" s="4">
        <v>115000</v>
      </c>
      <c r="U5" s="4">
        <v>115000</v>
      </c>
      <c r="V5" s="4">
        <v>115000</v>
      </c>
      <c r="W5" s="4">
        <v>115000</v>
      </c>
      <c r="X5" s="4">
        <v>115000</v>
      </c>
      <c r="Y5" s="4">
        <v>115000</v>
      </c>
    </row>
    <row r="6" spans="1:25" ht="19.5" customHeight="1" x14ac:dyDescent="0.25">
      <c r="A6" s="2" t="s">
        <v>23</v>
      </c>
      <c r="B6" s="2" t="s">
        <v>16</v>
      </c>
      <c r="C6" s="2" t="s">
        <v>27</v>
      </c>
      <c r="D6" s="2" t="s">
        <v>30</v>
      </c>
      <c r="E6" s="2" t="s">
        <v>31</v>
      </c>
      <c r="F6" s="3">
        <v>800885.99</v>
      </c>
      <c r="G6" s="3">
        <v>874055</v>
      </c>
      <c r="H6" s="3">
        <v>874055</v>
      </c>
      <c r="I6" s="3">
        <v>874055</v>
      </c>
      <c r="J6" s="3">
        <v>874055</v>
      </c>
      <c r="K6" s="3">
        <v>874055</v>
      </c>
      <c r="L6" s="4">
        <v>874055</v>
      </c>
      <c r="M6" s="4">
        <v>874055</v>
      </c>
      <c r="N6" s="4">
        <v>874055</v>
      </c>
      <c r="O6" s="4">
        <v>874055</v>
      </c>
      <c r="P6" s="4">
        <v>874055</v>
      </c>
      <c r="Q6" s="4">
        <v>874055</v>
      </c>
      <c r="R6" s="4">
        <v>874055</v>
      </c>
      <c r="S6" s="4">
        <v>874055</v>
      </c>
      <c r="T6" s="4">
        <v>874055</v>
      </c>
      <c r="U6" s="4">
        <v>874055</v>
      </c>
      <c r="V6" s="4">
        <v>874055</v>
      </c>
      <c r="W6" s="4">
        <v>874055</v>
      </c>
      <c r="X6" s="4">
        <v>874055</v>
      </c>
      <c r="Y6" s="4">
        <v>874055</v>
      </c>
    </row>
    <row r="7" spans="1:25" ht="19.5" customHeight="1" x14ac:dyDescent="0.25">
      <c r="A7" s="2" t="s">
        <v>23</v>
      </c>
      <c r="B7" s="2" t="s">
        <v>16</v>
      </c>
      <c r="C7" s="2" t="s">
        <v>32</v>
      </c>
      <c r="D7" s="2" t="s">
        <v>33</v>
      </c>
      <c r="E7" s="2" t="s">
        <v>34</v>
      </c>
      <c r="F7" s="3">
        <v>26860.43</v>
      </c>
      <c r="G7" s="3">
        <v>180000</v>
      </c>
      <c r="H7" s="3">
        <v>190000</v>
      </c>
      <c r="I7" s="3">
        <v>190000</v>
      </c>
      <c r="J7" s="3">
        <v>190000</v>
      </c>
      <c r="K7" s="3">
        <v>190000</v>
      </c>
      <c r="L7" s="4">
        <v>190000</v>
      </c>
      <c r="M7" s="4">
        <v>190000</v>
      </c>
      <c r="N7" s="4">
        <v>190000</v>
      </c>
      <c r="O7" s="4">
        <v>190000</v>
      </c>
      <c r="P7" s="4">
        <v>190000</v>
      </c>
      <c r="Q7" s="4">
        <v>190000</v>
      </c>
      <c r="R7" s="4">
        <v>190000</v>
      </c>
      <c r="S7" s="4">
        <v>190000</v>
      </c>
      <c r="T7" s="4">
        <v>190000</v>
      </c>
      <c r="U7" s="4">
        <v>190000</v>
      </c>
      <c r="V7" s="4">
        <v>190000</v>
      </c>
      <c r="W7" s="4">
        <v>190000</v>
      </c>
      <c r="X7" s="4">
        <v>190000</v>
      </c>
      <c r="Y7" s="4">
        <v>190000</v>
      </c>
    </row>
    <row r="8" spans="1:25" ht="19.5" customHeight="1" x14ac:dyDescent="0.25">
      <c r="A8" s="2" t="s">
        <v>23</v>
      </c>
      <c r="B8" s="2" t="s">
        <v>16</v>
      </c>
      <c r="C8" s="2" t="s">
        <v>35</v>
      </c>
      <c r="D8" s="2" t="s">
        <v>36</v>
      </c>
      <c r="E8" s="2" t="s">
        <v>37</v>
      </c>
      <c r="F8" s="3">
        <v>3277763.06</v>
      </c>
      <c r="G8" s="4">
        <v>15000000</v>
      </c>
      <c r="H8" s="4">
        <v>1000000</v>
      </c>
      <c r="I8" s="4">
        <v>0</v>
      </c>
      <c r="J8" s="4">
        <v>1000000</v>
      </c>
      <c r="K8" s="4">
        <v>0</v>
      </c>
      <c r="L8" s="4">
        <v>1000000</v>
      </c>
      <c r="M8" s="4">
        <v>0</v>
      </c>
      <c r="N8" s="4">
        <v>1000000</v>
      </c>
      <c r="O8" s="4">
        <v>0</v>
      </c>
      <c r="P8" s="4">
        <v>1000000</v>
      </c>
      <c r="Q8" s="4">
        <v>0</v>
      </c>
      <c r="R8" s="4">
        <v>1000000</v>
      </c>
      <c r="S8" s="4">
        <v>0</v>
      </c>
      <c r="T8" s="4">
        <v>1000000</v>
      </c>
      <c r="U8" s="4">
        <v>0</v>
      </c>
      <c r="V8" s="4">
        <v>1000000</v>
      </c>
      <c r="W8" s="4">
        <v>0</v>
      </c>
      <c r="X8" s="4">
        <v>1000000</v>
      </c>
      <c r="Y8" s="4">
        <v>0</v>
      </c>
    </row>
    <row r="9" spans="1:25" ht="19.5" customHeight="1" x14ac:dyDescent="0.25">
      <c r="A9" s="2" t="s">
        <v>23</v>
      </c>
      <c r="B9" s="2" t="s">
        <v>16</v>
      </c>
      <c r="C9" s="2" t="s">
        <v>38</v>
      </c>
      <c r="D9" s="2" t="s">
        <v>39</v>
      </c>
      <c r="E9" s="2" t="s">
        <v>40</v>
      </c>
      <c r="F9" s="3">
        <v>0</v>
      </c>
      <c r="G9" s="3">
        <v>0</v>
      </c>
      <c r="H9" s="3">
        <v>5000</v>
      </c>
      <c r="I9" s="3">
        <v>5000</v>
      </c>
      <c r="J9" s="3">
        <v>5000</v>
      </c>
      <c r="K9" s="3">
        <v>5000</v>
      </c>
      <c r="L9" s="4">
        <v>5000</v>
      </c>
      <c r="M9" s="4">
        <v>5000</v>
      </c>
      <c r="N9" s="4">
        <v>5000</v>
      </c>
      <c r="O9" s="4">
        <v>5000</v>
      </c>
      <c r="P9" s="4">
        <v>5000</v>
      </c>
      <c r="Q9" s="4">
        <v>5000</v>
      </c>
      <c r="R9" s="4">
        <v>5000</v>
      </c>
      <c r="S9" s="4">
        <v>5000</v>
      </c>
      <c r="T9" s="4">
        <v>5000</v>
      </c>
      <c r="U9" s="4">
        <v>5000</v>
      </c>
      <c r="V9" s="4">
        <v>5000</v>
      </c>
      <c r="W9" s="4">
        <v>5000</v>
      </c>
      <c r="X9" s="4">
        <v>5000</v>
      </c>
      <c r="Y9" s="4">
        <v>5000</v>
      </c>
    </row>
    <row r="10" spans="1:25" ht="19.5" customHeight="1" x14ac:dyDescent="0.25">
      <c r="A10" s="2" t="s">
        <v>23</v>
      </c>
      <c r="B10" s="2" t="s">
        <v>16</v>
      </c>
      <c r="C10" s="2" t="s">
        <v>41</v>
      </c>
      <c r="D10" s="2" t="s">
        <v>42</v>
      </c>
      <c r="E10" s="2" t="s">
        <v>43</v>
      </c>
      <c r="F10" s="3">
        <v>268229.69</v>
      </c>
      <c r="G10" s="3">
        <v>344500</v>
      </c>
      <c r="H10" s="3">
        <v>350000</v>
      </c>
      <c r="I10" s="3">
        <v>350000</v>
      </c>
      <c r="J10" s="3">
        <v>350000</v>
      </c>
      <c r="K10" s="3">
        <v>350000</v>
      </c>
      <c r="L10" s="4">
        <v>350000</v>
      </c>
      <c r="M10" s="4">
        <v>350000</v>
      </c>
      <c r="N10" s="4">
        <v>350000</v>
      </c>
      <c r="O10" s="4">
        <v>350000</v>
      </c>
      <c r="P10" s="4">
        <v>350000</v>
      </c>
      <c r="Q10" s="4">
        <v>350000</v>
      </c>
      <c r="R10" s="4">
        <v>350000</v>
      </c>
      <c r="S10" s="4">
        <v>350000</v>
      </c>
      <c r="T10" s="4">
        <v>350000</v>
      </c>
      <c r="U10" s="4">
        <v>350000</v>
      </c>
      <c r="V10" s="4">
        <v>350000</v>
      </c>
      <c r="W10" s="4">
        <v>350000</v>
      </c>
      <c r="X10" s="4">
        <v>350000</v>
      </c>
      <c r="Y10" s="4">
        <v>350000</v>
      </c>
    </row>
    <row r="11" spans="1:25" ht="19.5" customHeight="1" x14ac:dyDescent="0.25">
      <c r="A11" s="2" t="s">
        <v>23</v>
      </c>
      <c r="B11" s="2" t="s">
        <v>44</v>
      </c>
      <c r="C11" s="2" t="s">
        <v>45</v>
      </c>
      <c r="D11" s="2" t="s">
        <v>46</v>
      </c>
      <c r="E11" s="2" t="s">
        <v>47</v>
      </c>
      <c r="F11" s="3">
        <v>19214678.649999999</v>
      </c>
      <c r="G11" s="3">
        <v>26065896</v>
      </c>
      <c r="H11" s="3">
        <v>26252590</v>
      </c>
      <c r="I11" s="3">
        <v>26636202</v>
      </c>
      <c r="J11" s="3">
        <v>26252590</v>
      </c>
      <c r="K11" s="3">
        <v>26636202</v>
      </c>
      <c r="L11" s="4">
        <v>26252590</v>
      </c>
      <c r="M11" s="4">
        <v>26636202</v>
      </c>
      <c r="N11" s="4">
        <v>26252590</v>
      </c>
      <c r="O11" s="4">
        <v>26636202</v>
      </c>
      <c r="P11" s="4">
        <v>26252590</v>
      </c>
      <c r="Q11" s="4">
        <v>26636202</v>
      </c>
      <c r="R11" s="4">
        <v>26252590</v>
      </c>
      <c r="S11" s="4">
        <v>26636202</v>
      </c>
      <c r="T11" s="4">
        <v>26252590</v>
      </c>
      <c r="U11" s="4">
        <v>26636202</v>
      </c>
      <c r="V11" s="4">
        <v>26252590</v>
      </c>
      <c r="W11" s="4">
        <v>26636202</v>
      </c>
      <c r="X11" s="4">
        <v>26252590</v>
      </c>
      <c r="Y11" s="4">
        <v>26636202</v>
      </c>
    </row>
    <row r="12" spans="1:25" ht="19.5" customHeight="1" x14ac:dyDescent="0.25">
      <c r="A12" s="2" t="s">
        <v>23</v>
      </c>
      <c r="B12" s="2" t="s">
        <v>44</v>
      </c>
      <c r="C12" s="2" t="s">
        <v>48</v>
      </c>
      <c r="D12" s="2" t="s">
        <v>49</v>
      </c>
      <c r="E12" s="2" t="s">
        <v>50</v>
      </c>
      <c r="F12" s="3">
        <v>17018128.829999998</v>
      </c>
      <c r="G12" s="3">
        <v>16276986</v>
      </c>
      <c r="H12" s="3">
        <v>14476985</v>
      </c>
      <c r="I12" s="3">
        <v>14881509</v>
      </c>
      <c r="J12" s="3">
        <v>14476985</v>
      </c>
      <c r="K12" s="3">
        <v>14881509</v>
      </c>
      <c r="L12" s="4">
        <v>14476985</v>
      </c>
      <c r="M12" s="4">
        <v>14881509</v>
      </c>
      <c r="N12" s="4">
        <v>14476985</v>
      </c>
      <c r="O12" s="4">
        <v>14881509</v>
      </c>
      <c r="P12" s="4">
        <v>14476985</v>
      </c>
      <c r="Q12" s="4">
        <v>14881509</v>
      </c>
      <c r="R12" s="4">
        <v>14476985</v>
      </c>
      <c r="S12" s="4">
        <v>14881509</v>
      </c>
      <c r="T12" s="4">
        <v>14476985</v>
      </c>
      <c r="U12" s="4">
        <v>14881509</v>
      </c>
      <c r="V12" s="4">
        <v>14476985</v>
      </c>
      <c r="W12" s="4">
        <v>14881509</v>
      </c>
      <c r="X12" s="4">
        <v>14476985</v>
      </c>
      <c r="Y12" s="4">
        <v>14881509</v>
      </c>
    </row>
    <row r="13" spans="1:25" ht="19.5" customHeight="1" x14ac:dyDescent="0.25">
      <c r="A13" s="2" t="s">
        <v>23</v>
      </c>
      <c r="B13" s="2" t="s">
        <v>44</v>
      </c>
      <c r="C13" s="2" t="s">
        <v>51</v>
      </c>
      <c r="D13" s="2" t="s">
        <v>52</v>
      </c>
      <c r="E13" s="2" t="s">
        <v>53</v>
      </c>
      <c r="F13" s="3">
        <v>6981.67</v>
      </c>
      <c r="G13" s="3">
        <v>15000</v>
      </c>
      <c r="H13" s="3">
        <v>15000</v>
      </c>
      <c r="I13" s="3">
        <v>15382</v>
      </c>
      <c r="J13" s="3">
        <v>15000</v>
      </c>
      <c r="K13" s="3">
        <v>15382</v>
      </c>
      <c r="L13" s="4">
        <v>15000</v>
      </c>
      <c r="M13" s="4">
        <v>15382</v>
      </c>
      <c r="N13" s="4">
        <v>15000</v>
      </c>
      <c r="O13" s="4">
        <v>15382</v>
      </c>
      <c r="P13" s="4">
        <v>15000</v>
      </c>
      <c r="Q13" s="4">
        <v>15382</v>
      </c>
      <c r="R13" s="4">
        <v>15000</v>
      </c>
      <c r="S13" s="4">
        <v>15382</v>
      </c>
      <c r="T13" s="4">
        <v>15000</v>
      </c>
      <c r="U13" s="4">
        <v>15382</v>
      </c>
      <c r="V13" s="4">
        <v>15000</v>
      </c>
      <c r="W13" s="4">
        <v>15382</v>
      </c>
      <c r="X13" s="4">
        <v>15000</v>
      </c>
      <c r="Y13" s="4">
        <v>15382</v>
      </c>
    </row>
    <row r="14" spans="1:25" ht="19.5" customHeight="1" x14ac:dyDescent="0.25">
      <c r="A14" s="2" t="s">
        <v>23</v>
      </c>
      <c r="B14" s="2" t="s">
        <v>54</v>
      </c>
      <c r="C14" s="2" t="s">
        <v>54</v>
      </c>
      <c r="D14" s="2" t="s">
        <v>55</v>
      </c>
      <c r="E14" s="2" t="s">
        <v>56</v>
      </c>
      <c r="F14" s="3">
        <v>5875.27</v>
      </c>
      <c r="G14" s="3">
        <v>10000</v>
      </c>
      <c r="H14" s="3">
        <v>9500</v>
      </c>
      <c r="I14" s="3">
        <v>9800</v>
      </c>
      <c r="J14" s="3">
        <v>9500</v>
      </c>
      <c r="K14" s="3">
        <v>9800</v>
      </c>
      <c r="L14" s="4">
        <v>9500</v>
      </c>
      <c r="M14" s="4">
        <v>9800</v>
      </c>
      <c r="N14" s="4">
        <v>9500</v>
      </c>
      <c r="O14" s="4">
        <v>9800</v>
      </c>
      <c r="P14" s="4">
        <v>9500</v>
      </c>
      <c r="Q14" s="4">
        <v>9800</v>
      </c>
      <c r="R14" s="4">
        <v>9500</v>
      </c>
      <c r="S14" s="4">
        <v>9800</v>
      </c>
      <c r="T14" s="4">
        <v>9500</v>
      </c>
      <c r="U14" s="4">
        <v>9800</v>
      </c>
      <c r="V14" s="4">
        <v>9500</v>
      </c>
      <c r="W14" s="4">
        <v>9800</v>
      </c>
      <c r="X14" s="4">
        <v>9500</v>
      </c>
      <c r="Y14" s="4">
        <v>9800</v>
      </c>
    </row>
    <row r="15" spans="1:25" ht="19.5" customHeight="1" x14ac:dyDescent="0.25">
      <c r="A15" s="2" t="s">
        <v>23</v>
      </c>
      <c r="B15" s="2" t="s">
        <v>54</v>
      </c>
      <c r="C15" s="2" t="s">
        <v>54</v>
      </c>
      <c r="D15" s="2" t="s">
        <v>57</v>
      </c>
      <c r="E15" s="2" t="s">
        <v>58</v>
      </c>
      <c r="F15" s="3">
        <v>1792473.83</v>
      </c>
      <c r="G15" s="3">
        <v>1748954</v>
      </c>
      <c r="H15" s="3">
        <v>1750000</v>
      </c>
      <c r="I15" s="3">
        <v>1811250</v>
      </c>
      <c r="J15" s="3">
        <v>1750000</v>
      </c>
      <c r="K15" s="3">
        <v>1811250</v>
      </c>
      <c r="L15" s="4">
        <v>1750000</v>
      </c>
      <c r="M15" s="4">
        <v>1811250</v>
      </c>
      <c r="N15" s="4">
        <v>1750000</v>
      </c>
      <c r="O15" s="4">
        <v>1811250</v>
      </c>
      <c r="P15" s="4">
        <v>1750000</v>
      </c>
      <c r="Q15" s="4">
        <v>1811250</v>
      </c>
      <c r="R15" s="4">
        <v>1750000</v>
      </c>
      <c r="S15" s="4">
        <v>1811250</v>
      </c>
      <c r="T15" s="4">
        <v>1750000</v>
      </c>
      <c r="U15" s="4">
        <v>1811250</v>
      </c>
      <c r="V15" s="4">
        <v>1750000</v>
      </c>
      <c r="W15" s="4">
        <v>1811250</v>
      </c>
      <c r="X15" s="4">
        <v>1750000</v>
      </c>
      <c r="Y15" s="4">
        <v>1811250</v>
      </c>
    </row>
    <row r="16" spans="1:25" ht="19.5" customHeight="1" x14ac:dyDescent="0.25">
      <c r="A16" s="2" t="s">
        <v>23</v>
      </c>
      <c r="B16" s="2" t="s">
        <v>54</v>
      </c>
      <c r="C16" s="2" t="s">
        <v>54</v>
      </c>
      <c r="D16" s="2" t="s">
        <v>59</v>
      </c>
      <c r="E16" s="2" t="s">
        <v>60</v>
      </c>
      <c r="F16" s="3">
        <v>0</v>
      </c>
      <c r="G16" s="3">
        <v>188000</v>
      </c>
      <c r="H16" s="3">
        <v>174000</v>
      </c>
      <c r="I16" s="3">
        <v>174000</v>
      </c>
      <c r="J16" s="3">
        <v>174000</v>
      </c>
      <c r="K16" s="3">
        <v>174000</v>
      </c>
      <c r="L16" s="4">
        <v>174000</v>
      </c>
      <c r="M16" s="4">
        <v>174000</v>
      </c>
      <c r="N16" s="4">
        <v>174000</v>
      </c>
      <c r="O16" s="4">
        <v>174000</v>
      </c>
      <c r="P16" s="4">
        <v>174000</v>
      </c>
      <c r="Q16" s="4">
        <v>174000</v>
      </c>
      <c r="R16" s="4">
        <v>174000</v>
      </c>
      <c r="S16" s="4">
        <v>174000</v>
      </c>
      <c r="T16" s="4">
        <v>174000</v>
      </c>
      <c r="U16" s="4">
        <v>174000</v>
      </c>
      <c r="V16" s="4">
        <v>174000</v>
      </c>
      <c r="W16" s="4">
        <v>174000</v>
      </c>
      <c r="X16" s="4">
        <v>174000</v>
      </c>
      <c r="Y16" s="4">
        <v>174000</v>
      </c>
    </row>
    <row r="17" spans="1:25" ht="19.5" customHeight="1" x14ac:dyDescent="0.25">
      <c r="A17" s="2" t="s">
        <v>23</v>
      </c>
      <c r="B17" s="2" t="s">
        <v>54</v>
      </c>
      <c r="C17" s="2" t="s">
        <v>54</v>
      </c>
      <c r="D17" s="2" t="s">
        <v>61</v>
      </c>
      <c r="E17" s="2" t="s">
        <v>62</v>
      </c>
      <c r="F17" s="4">
        <v>6708031.4000000004</v>
      </c>
      <c r="G17" s="3">
        <v>4784399</v>
      </c>
      <c r="H17" s="3">
        <v>2940167</v>
      </c>
      <c r="I17" s="3">
        <v>3025550</v>
      </c>
      <c r="J17" s="3">
        <v>2940167</v>
      </c>
      <c r="K17" s="3">
        <v>3025550</v>
      </c>
      <c r="L17" s="4">
        <v>2940167</v>
      </c>
      <c r="M17" s="4">
        <v>3025550</v>
      </c>
      <c r="N17" s="4">
        <v>2940167</v>
      </c>
      <c r="O17" s="4">
        <v>3025550</v>
      </c>
      <c r="P17" s="4">
        <v>2940167</v>
      </c>
      <c r="Q17" s="4">
        <v>3025550</v>
      </c>
      <c r="R17" s="4">
        <v>2940167</v>
      </c>
      <c r="S17" s="4">
        <v>3025550</v>
      </c>
      <c r="T17" s="4">
        <v>2940167</v>
      </c>
      <c r="U17" s="4">
        <v>3025550</v>
      </c>
      <c r="V17" s="4">
        <v>2940167</v>
      </c>
      <c r="W17" s="4">
        <v>3025550</v>
      </c>
      <c r="X17" s="4">
        <v>2940167</v>
      </c>
      <c r="Y17" s="4">
        <v>3025550</v>
      </c>
    </row>
    <row r="18" spans="1:25" ht="19.5" customHeight="1" x14ac:dyDescent="0.25">
      <c r="A18" s="2" t="s">
        <v>23</v>
      </c>
      <c r="B18" s="2" t="s">
        <v>54</v>
      </c>
      <c r="C18" s="2" t="s">
        <v>54</v>
      </c>
      <c r="D18" s="2" t="s">
        <v>63</v>
      </c>
      <c r="E18" s="2" t="s">
        <v>64</v>
      </c>
      <c r="F18" s="3">
        <v>3536236.84</v>
      </c>
      <c r="G18" s="3">
        <v>3580969</v>
      </c>
      <c r="H18" s="3">
        <v>3600000</v>
      </c>
      <c r="I18" s="3">
        <v>3726000</v>
      </c>
      <c r="J18" s="3">
        <v>3600000</v>
      </c>
      <c r="K18" s="3">
        <v>3726000</v>
      </c>
      <c r="L18" s="4">
        <v>3600000</v>
      </c>
      <c r="M18" s="4">
        <v>3726000</v>
      </c>
      <c r="N18" s="4">
        <v>3600000</v>
      </c>
      <c r="O18" s="4">
        <v>3726000</v>
      </c>
      <c r="P18" s="4">
        <v>3600000</v>
      </c>
      <c r="Q18" s="4">
        <v>3726000</v>
      </c>
      <c r="R18" s="4">
        <v>3600000</v>
      </c>
      <c r="S18" s="4">
        <v>3726000</v>
      </c>
      <c r="T18" s="4">
        <v>3600000</v>
      </c>
      <c r="U18" s="4">
        <v>3726000</v>
      </c>
      <c r="V18" s="4">
        <v>3600000</v>
      </c>
      <c r="W18" s="4">
        <v>3726000</v>
      </c>
      <c r="X18" s="4">
        <v>3600000</v>
      </c>
      <c r="Y18" s="4">
        <v>3726000</v>
      </c>
    </row>
    <row r="19" spans="1:25" ht="19.5" customHeight="1" x14ac:dyDescent="0.25">
      <c r="A19" s="2" t="s">
        <v>23</v>
      </c>
      <c r="B19" s="2" t="s">
        <v>54</v>
      </c>
      <c r="C19" s="2" t="s">
        <v>54</v>
      </c>
      <c r="D19" s="2" t="s">
        <v>65</v>
      </c>
      <c r="E19" s="2" t="s">
        <v>66</v>
      </c>
      <c r="F19" s="3">
        <v>26633.55</v>
      </c>
      <c r="G19" s="3">
        <v>330000</v>
      </c>
      <c r="H19" s="3">
        <v>750000</v>
      </c>
      <c r="I19" s="3">
        <v>750000</v>
      </c>
      <c r="J19" s="3">
        <v>750000</v>
      </c>
      <c r="K19" s="3">
        <v>750000</v>
      </c>
      <c r="L19" s="4">
        <v>750000</v>
      </c>
      <c r="M19" s="4">
        <v>750000</v>
      </c>
      <c r="N19" s="4">
        <v>750000</v>
      </c>
      <c r="O19" s="4">
        <v>750000</v>
      </c>
      <c r="P19" s="4">
        <v>750000</v>
      </c>
      <c r="Q19" s="4">
        <v>750000</v>
      </c>
      <c r="R19" s="4">
        <v>750000</v>
      </c>
      <c r="S19" s="4">
        <v>750000</v>
      </c>
      <c r="T19" s="4">
        <v>750000</v>
      </c>
      <c r="U19" s="4">
        <v>750000</v>
      </c>
      <c r="V19" s="4">
        <v>750000</v>
      </c>
      <c r="W19" s="4">
        <v>750000</v>
      </c>
      <c r="X19" s="4">
        <v>750000</v>
      </c>
      <c r="Y19" s="4">
        <v>750000</v>
      </c>
    </row>
    <row r="20" spans="1:25" ht="19.5" customHeight="1" x14ac:dyDescent="0.25">
      <c r="A20" s="2" t="s">
        <v>23</v>
      </c>
      <c r="B20" s="2" t="s">
        <v>54</v>
      </c>
      <c r="C20" s="2" t="s">
        <v>54</v>
      </c>
      <c r="D20" s="2" t="s">
        <v>67</v>
      </c>
      <c r="E20" s="2" t="s">
        <v>68</v>
      </c>
      <c r="F20" s="3">
        <v>0</v>
      </c>
      <c r="G20" s="3">
        <v>0</v>
      </c>
      <c r="H20" s="3">
        <v>2100000</v>
      </c>
      <c r="I20" s="3">
        <v>2100000</v>
      </c>
      <c r="J20" s="3">
        <v>2100000</v>
      </c>
      <c r="K20" s="3">
        <v>2100000</v>
      </c>
      <c r="L20" s="4">
        <v>2100000</v>
      </c>
      <c r="M20" s="4">
        <v>2100000</v>
      </c>
      <c r="N20" s="4">
        <v>2100000</v>
      </c>
      <c r="O20" s="4">
        <v>2100000</v>
      </c>
      <c r="P20" s="4">
        <v>2100000</v>
      </c>
      <c r="Q20" s="4">
        <v>2100000</v>
      </c>
      <c r="R20" s="4">
        <v>2100000</v>
      </c>
      <c r="S20" s="4">
        <v>2100000</v>
      </c>
      <c r="T20" s="4">
        <v>2100000</v>
      </c>
      <c r="U20" s="4">
        <v>2100000</v>
      </c>
      <c r="V20" s="4">
        <v>2100000</v>
      </c>
      <c r="W20" s="4">
        <v>2100000</v>
      </c>
      <c r="X20" s="4">
        <v>2100000</v>
      </c>
      <c r="Y20" s="4">
        <v>2100000</v>
      </c>
    </row>
    <row r="21" spans="1:25" ht="19.5" customHeight="1" x14ac:dyDescent="0.25">
      <c r="A21" s="2" t="s">
        <v>23</v>
      </c>
      <c r="B21" s="2" t="s">
        <v>54</v>
      </c>
      <c r="C21" s="2" t="s">
        <v>54</v>
      </c>
      <c r="D21" s="2" t="s">
        <v>69</v>
      </c>
      <c r="E21" s="2" t="s">
        <v>70</v>
      </c>
      <c r="F21" s="3">
        <v>0</v>
      </c>
      <c r="G21" s="4">
        <v>0</v>
      </c>
      <c r="H21" s="4">
        <v>50000</v>
      </c>
      <c r="I21" s="4">
        <v>50000</v>
      </c>
      <c r="J21" s="4">
        <v>50000</v>
      </c>
      <c r="K21" s="4">
        <v>50000</v>
      </c>
      <c r="L21" s="4">
        <v>50000</v>
      </c>
      <c r="M21" s="4">
        <v>50000</v>
      </c>
      <c r="N21" s="4">
        <v>50000</v>
      </c>
      <c r="O21" s="4">
        <v>50000</v>
      </c>
      <c r="P21" s="4">
        <v>50000</v>
      </c>
      <c r="Q21" s="4">
        <v>50000</v>
      </c>
      <c r="R21" s="4">
        <v>50000</v>
      </c>
      <c r="S21" s="4">
        <v>50000</v>
      </c>
      <c r="T21" s="4">
        <v>50000</v>
      </c>
      <c r="U21" s="4">
        <v>50000</v>
      </c>
      <c r="V21" s="4">
        <v>50000</v>
      </c>
      <c r="W21" s="4">
        <v>50000</v>
      </c>
      <c r="X21" s="4">
        <v>50000</v>
      </c>
      <c r="Y21" s="4">
        <v>50000</v>
      </c>
    </row>
    <row r="22" spans="1:25" ht="19.5" customHeight="1" x14ac:dyDescent="0.25">
      <c r="A22" s="2" t="s">
        <v>71</v>
      </c>
      <c r="B22" s="2" t="s">
        <v>16</v>
      </c>
      <c r="C22" s="2" t="s">
        <v>72</v>
      </c>
      <c r="D22" s="2" t="s">
        <v>73</v>
      </c>
      <c r="E22" s="2" t="s">
        <v>74</v>
      </c>
      <c r="F22" s="3">
        <v>193627.44</v>
      </c>
      <c r="G22" s="3">
        <v>372523</v>
      </c>
      <c r="H22" s="3">
        <v>385964</v>
      </c>
      <c r="I22" s="3">
        <v>380761</v>
      </c>
      <c r="J22" s="3">
        <v>385964</v>
      </c>
      <c r="K22" s="3">
        <v>380761</v>
      </c>
      <c r="L22" s="4">
        <v>385964</v>
      </c>
      <c r="M22" s="4">
        <v>380761</v>
      </c>
      <c r="N22" s="4">
        <v>385964</v>
      </c>
      <c r="O22" s="4">
        <v>380761</v>
      </c>
      <c r="P22" s="4">
        <v>385964</v>
      </c>
      <c r="Q22" s="4">
        <v>380761</v>
      </c>
      <c r="R22" s="4">
        <v>385964</v>
      </c>
      <c r="S22" s="4">
        <v>380761</v>
      </c>
      <c r="T22" s="4">
        <v>385964</v>
      </c>
      <c r="U22" s="4">
        <v>380761</v>
      </c>
      <c r="V22" s="4">
        <v>385964</v>
      </c>
      <c r="W22" s="4">
        <v>380761</v>
      </c>
      <c r="X22" s="4">
        <v>385964</v>
      </c>
      <c r="Y22" s="4">
        <v>380761</v>
      </c>
    </row>
    <row r="23" spans="1:25" ht="19.5" customHeight="1" x14ac:dyDescent="0.25">
      <c r="A23" s="2" t="s">
        <v>71</v>
      </c>
      <c r="B23" s="2" t="s">
        <v>16</v>
      </c>
      <c r="C23" s="2" t="s">
        <v>75</v>
      </c>
      <c r="D23" s="2" t="s">
        <v>76</v>
      </c>
      <c r="E23" s="2" t="s">
        <v>77</v>
      </c>
      <c r="F23" s="3">
        <v>922358.89</v>
      </c>
      <c r="G23" s="3">
        <v>1000000</v>
      </c>
      <c r="H23" s="3">
        <v>1000000</v>
      </c>
      <c r="I23" s="3">
        <v>1000000</v>
      </c>
      <c r="J23" s="3">
        <v>1000000</v>
      </c>
      <c r="K23" s="3">
        <v>1000000</v>
      </c>
      <c r="L23" s="4">
        <v>1000000</v>
      </c>
      <c r="M23" s="4">
        <v>1000000</v>
      </c>
      <c r="N23" s="4">
        <v>1000000</v>
      </c>
      <c r="O23" s="4">
        <v>1000000</v>
      </c>
      <c r="P23" s="4">
        <v>1000000</v>
      </c>
      <c r="Q23" s="4">
        <v>1000000</v>
      </c>
      <c r="R23" s="4">
        <v>1000000</v>
      </c>
      <c r="S23" s="4">
        <v>1000000</v>
      </c>
      <c r="T23" s="4">
        <v>1000000</v>
      </c>
      <c r="U23" s="4">
        <v>1000000</v>
      </c>
      <c r="V23" s="4">
        <v>1000000</v>
      </c>
      <c r="W23" s="4">
        <v>1000000</v>
      </c>
      <c r="X23" s="4">
        <v>1000000</v>
      </c>
      <c r="Y23" s="4">
        <v>1000000</v>
      </c>
    </row>
    <row r="24" spans="1:25" ht="19.5" customHeight="1" x14ac:dyDescent="0.25">
      <c r="A24" s="2" t="s">
        <v>71</v>
      </c>
      <c r="B24" s="2" t="s">
        <v>16</v>
      </c>
      <c r="C24" s="2" t="s">
        <v>78</v>
      </c>
      <c r="D24" s="2" t="s">
        <v>79</v>
      </c>
      <c r="E24" s="2" t="s">
        <v>80</v>
      </c>
      <c r="F24" s="3">
        <v>99178.83</v>
      </c>
      <c r="G24" s="3">
        <v>1500000</v>
      </c>
      <c r="H24" s="3">
        <v>1532273</v>
      </c>
      <c r="I24" s="3">
        <v>1532919</v>
      </c>
      <c r="J24" s="3">
        <v>1532273</v>
      </c>
      <c r="K24" s="3">
        <v>1532919</v>
      </c>
      <c r="L24" s="4">
        <v>1532273</v>
      </c>
      <c r="M24" s="4">
        <v>1532919</v>
      </c>
      <c r="N24" s="4">
        <v>1532273</v>
      </c>
      <c r="O24" s="4">
        <v>1532919</v>
      </c>
      <c r="P24" s="4">
        <v>1532273</v>
      </c>
      <c r="Q24" s="4">
        <v>1532919</v>
      </c>
      <c r="R24" s="4">
        <v>1532273</v>
      </c>
      <c r="S24" s="4">
        <v>1532919</v>
      </c>
      <c r="T24" s="4">
        <v>1532273</v>
      </c>
      <c r="U24" s="4">
        <v>1532919</v>
      </c>
      <c r="V24" s="4">
        <v>1532273</v>
      </c>
      <c r="W24" s="4">
        <v>1532919</v>
      </c>
      <c r="X24" s="4">
        <v>1532273</v>
      </c>
      <c r="Y24" s="4">
        <v>1532919</v>
      </c>
    </row>
    <row r="25" spans="1:25" ht="19.5" customHeight="1" x14ac:dyDescent="0.25">
      <c r="A25" s="2" t="s">
        <v>71</v>
      </c>
      <c r="B25" s="2" t="s">
        <v>16</v>
      </c>
      <c r="C25" s="2" t="s">
        <v>35</v>
      </c>
      <c r="D25" s="2" t="s">
        <v>81</v>
      </c>
      <c r="E25" s="2" t="s">
        <v>82</v>
      </c>
      <c r="F25" s="4">
        <v>0</v>
      </c>
      <c r="G25" s="3">
        <v>2000000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</row>
    <row r="26" spans="1:25" ht="19.5" customHeight="1" x14ac:dyDescent="0.25">
      <c r="A26" s="2" t="s">
        <v>71</v>
      </c>
      <c r="B26" s="2" t="s">
        <v>16</v>
      </c>
      <c r="C26" s="2" t="s">
        <v>83</v>
      </c>
      <c r="D26" s="2" t="s">
        <v>84</v>
      </c>
      <c r="E26" s="2" t="s">
        <v>85</v>
      </c>
      <c r="F26" s="3">
        <v>1009689.05</v>
      </c>
      <c r="G26" s="3">
        <v>1350000</v>
      </c>
      <c r="H26" s="3">
        <v>401640</v>
      </c>
      <c r="I26" s="3">
        <v>1427072</v>
      </c>
      <c r="J26" s="3">
        <v>401640</v>
      </c>
      <c r="K26" s="3">
        <v>1427072</v>
      </c>
      <c r="L26" s="4">
        <v>401640</v>
      </c>
      <c r="M26" s="4">
        <v>1427072</v>
      </c>
      <c r="N26" s="4">
        <v>401640</v>
      </c>
      <c r="O26" s="4">
        <v>1427072</v>
      </c>
      <c r="P26" s="4">
        <v>401640</v>
      </c>
      <c r="Q26" s="4">
        <v>1427072</v>
      </c>
      <c r="R26" s="4">
        <v>401640</v>
      </c>
      <c r="S26" s="4">
        <v>1427072</v>
      </c>
      <c r="T26" s="4">
        <v>401640</v>
      </c>
      <c r="U26" s="4">
        <v>1427072</v>
      </c>
      <c r="V26" s="4">
        <v>401640</v>
      </c>
      <c r="W26" s="4">
        <v>1427072</v>
      </c>
      <c r="X26" s="4">
        <v>401640</v>
      </c>
      <c r="Y26" s="4">
        <v>1427072</v>
      </c>
    </row>
    <row r="27" spans="1:25" ht="19.5" customHeight="1" x14ac:dyDescent="0.25">
      <c r="A27" s="2" t="s">
        <v>71</v>
      </c>
      <c r="B27" s="2" t="s">
        <v>16</v>
      </c>
      <c r="C27" s="2" t="s">
        <v>86</v>
      </c>
      <c r="D27" s="2" t="s">
        <v>87</v>
      </c>
      <c r="E27" s="2" t="s">
        <v>88</v>
      </c>
      <c r="F27" s="3">
        <v>708622.58</v>
      </c>
      <c r="G27" s="3">
        <v>800000</v>
      </c>
      <c r="H27" s="3">
        <v>750838</v>
      </c>
      <c r="I27" s="3">
        <v>761056</v>
      </c>
      <c r="J27" s="3">
        <v>750838</v>
      </c>
      <c r="K27" s="3">
        <v>761056</v>
      </c>
      <c r="L27" s="4">
        <v>750838</v>
      </c>
      <c r="M27" s="4">
        <v>761056</v>
      </c>
      <c r="N27" s="4">
        <v>750838</v>
      </c>
      <c r="O27" s="4">
        <v>761056</v>
      </c>
      <c r="P27" s="4">
        <v>750838</v>
      </c>
      <c r="Q27" s="4">
        <v>761056</v>
      </c>
      <c r="R27" s="4">
        <v>750838</v>
      </c>
      <c r="S27" s="4">
        <v>761056</v>
      </c>
      <c r="T27" s="4">
        <v>750838</v>
      </c>
      <c r="U27" s="4">
        <v>761056</v>
      </c>
      <c r="V27" s="4">
        <v>750838</v>
      </c>
      <c r="W27" s="4">
        <v>761056</v>
      </c>
      <c r="X27" s="4">
        <v>750838</v>
      </c>
      <c r="Y27" s="4">
        <v>761056</v>
      </c>
    </row>
    <row r="28" spans="1:25" ht="19.5" customHeight="1" x14ac:dyDescent="0.25">
      <c r="A28" s="2" t="s">
        <v>71</v>
      </c>
      <c r="B28" s="2" t="s">
        <v>16</v>
      </c>
      <c r="C28" s="2" t="s">
        <v>89</v>
      </c>
      <c r="D28" s="2" t="s">
        <v>90</v>
      </c>
      <c r="E28" s="2" t="s">
        <v>91</v>
      </c>
      <c r="F28" s="3">
        <v>147696.24</v>
      </c>
      <c r="G28" s="3">
        <v>200000</v>
      </c>
      <c r="H28" s="3">
        <v>200000</v>
      </c>
      <c r="I28" s="3">
        <v>200000</v>
      </c>
      <c r="J28" s="3">
        <v>200000</v>
      </c>
      <c r="K28" s="3">
        <v>200000</v>
      </c>
      <c r="L28" s="4">
        <v>200000</v>
      </c>
      <c r="M28" s="4">
        <v>200000</v>
      </c>
      <c r="N28" s="4">
        <v>200000</v>
      </c>
      <c r="O28" s="4">
        <v>200000</v>
      </c>
      <c r="P28" s="4">
        <v>200000</v>
      </c>
      <c r="Q28" s="4">
        <v>200000</v>
      </c>
      <c r="R28" s="4">
        <v>200000</v>
      </c>
      <c r="S28" s="4">
        <v>200000</v>
      </c>
      <c r="T28" s="4">
        <v>200000</v>
      </c>
      <c r="U28" s="4">
        <v>200000</v>
      </c>
      <c r="V28" s="4">
        <v>200000</v>
      </c>
      <c r="W28" s="4">
        <v>200000</v>
      </c>
      <c r="X28" s="4">
        <v>200000</v>
      </c>
      <c r="Y28" s="4">
        <v>200000</v>
      </c>
    </row>
    <row r="29" spans="1:25" ht="19.5" customHeight="1" x14ac:dyDescent="0.25">
      <c r="A29" s="2" t="s">
        <v>71</v>
      </c>
      <c r="B29" s="2" t="s">
        <v>16</v>
      </c>
      <c r="C29" s="2" t="s">
        <v>92</v>
      </c>
      <c r="D29" s="2" t="s">
        <v>93</v>
      </c>
      <c r="E29" s="2" t="s">
        <v>94</v>
      </c>
      <c r="F29" s="3">
        <v>0</v>
      </c>
      <c r="G29" s="3">
        <v>120000</v>
      </c>
      <c r="H29" s="3">
        <v>120000</v>
      </c>
      <c r="I29" s="3">
        <v>120000</v>
      </c>
      <c r="J29" s="3">
        <v>120000</v>
      </c>
      <c r="K29" s="3">
        <v>120000</v>
      </c>
      <c r="L29" s="4">
        <v>120000</v>
      </c>
      <c r="M29" s="4">
        <v>120000</v>
      </c>
      <c r="N29" s="4">
        <v>120000</v>
      </c>
      <c r="O29" s="4">
        <v>120000</v>
      </c>
      <c r="P29" s="4">
        <v>120000</v>
      </c>
      <c r="Q29" s="4">
        <v>120000</v>
      </c>
      <c r="R29" s="4">
        <v>120000</v>
      </c>
      <c r="S29" s="4">
        <v>120000</v>
      </c>
      <c r="T29" s="4">
        <v>120000</v>
      </c>
      <c r="U29" s="4">
        <v>120000</v>
      </c>
      <c r="V29" s="4">
        <v>120000</v>
      </c>
      <c r="W29" s="4">
        <v>120000</v>
      </c>
      <c r="X29" s="4">
        <v>120000</v>
      </c>
      <c r="Y29" s="4">
        <v>120000</v>
      </c>
    </row>
    <row r="30" spans="1:25" ht="19.5" customHeight="1" x14ac:dyDescent="0.25">
      <c r="A30" s="2" t="s">
        <v>71</v>
      </c>
      <c r="B30" s="2" t="s">
        <v>16</v>
      </c>
      <c r="C30" s="2" t="s">
        <v>95</v>
      </c>
      <c r="D30" s="2" t="s">
        <v>96</v>
      </c>
      <c r="E30" s="2" t="s">
        <v>97</v>
      </c>
      <c r="F30" s="3">
        <v>36999.47</v>
      </c>
      <c r="G30" s="3">
        <v>344700</v>
      </c>
      <c r="H30" s="3">
        <v>344934</v>
      </c>
      <c r="I30" s="3">
        <v>345050</v>
      </c>
      <c r="J30" s="3">
        <v>344934</v>
      </c>
      <c r="K30" s="3">
        <v>345050</v>
      </c>
      <c r="L30" s="4">
        <v>344934</v>
      </c>
      <c r="M30" s="4">
        <v>345050</v>
      </c>
      <c r="N30" s="4">
        <v>344934</v>
      </c>
      <c r="O30" s="4">
        <v>345050</v>
      </c>
      <c r="P30" s="4">
        <v>344934</v>
      </c>
      <c r="Q30" s="4">
        <v>345050</v>
      </c>
      <c r="R30" s="4">
        <v>344934</v>
      </c>
      <c r="S30" s="4">
        <v>345050</v>
      </c>
      <c r="T30" s="4">
        <v>344934</v>
      </c>
      <c r="U30" s="4">
        <v>345050</v>
      </c>
      <c r="V30" s="4">
        <v>344934</v>
      </c>
      <c r="W30" s="4">
        <v>345050</v>
      </c>
      <c r="X30" s="4">
        <v>344934</v>
      </c>
      <c r="Y30" s="4">
        <v>345050</v>
      </c>
    </row>
    <row r="31" spans="1:25" ht="19.5" customHeight="1" x14ac:dyDescent="0.25">
      <c r="A31" s="6" t="s">
        <v>71</v>
      </c>
      <c r="B31" s="6" t="s">
        <v>16</v>
      </c>
      <c r="C31" s="6" t="s">
        <v>98</v>
      </c>
      <c r="D31" s="7" t="s">
        <v>99</v>
      </c>
      <c r="E31" s="6" t="s">
        <v>100</v>
      </c>
      <c r="F31" s="4">
        <v>0</v>
      </c>
      <c r="G31" s="4">
        <v>0</v>
      </c>
      <c r="H31" s="4">
        <v>0</v>
      </c>
      <c r="I31" s="4">
        <v>0</v>
      </c>
      <c r="J31" s="4">
        <v>250000</v>
      </c>
      <c r="K31" s="4">
        <v>250000</v>
      </c>
      <c r="L31" s="4">
        <v>250000</v>
      </c>
      <c r="M31" s="4">
        <v>250000</v>
      </c>
      <c r="N31" s="4">
        <v>250000</v>
      </c>
      <c r="O31" s="4">
        <v>250000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250000</v>
      </c>
      <c r="W31" s="4">
        <v>250000</v>
      </c>
      <c r="X31" s="4">
        <v>250000</v>
      </c>
      <c r="Y31" s="4">
        <v>250000</v>
      </c>
    </row>
    <row r="32" spans="1:25" ht="19.5" customHeight="1" x14ac:dyDescent="0.25">
      <c r="A32" s="2" t="s">
        <v>71</v>
      </c>
      <c r="B32" s="2" t="s">
        <v>44</v>
      </c>
      <c r="C32" s="2" t="s">
        <v>101</v>
      </c>
      <c r="D32" s="2" t="s">
        <v>102</v>
      </c>
      <c r="E32" s="2" t="s">
        <v>103</v>
      </c>
      <c r="F32" s="3">
        <v>7414655.5599999996</v>
      </c>
      <c r="G32" s="3">
        <v>13920570</v>
      </c>
      <c r="H32" s="3">
        <v>9435514</v>
      </c>
      <c r="I32" s="3">
        <v>8860830</v>
      </c>
      <c r="J32" s="3">
        <v>9435514</v>
      </c>
      <c r="K32" s="3">
        <v>8860830</v>
      </c>
      <c r="L32" s="4">
        <v>9435514</v>
      </c>
      <c r="M32" s="4">
        <v>8860830</v>
      </c>
      <c r="N32" s="4">
        <v>9435514</v>
      </c>
      <c r="O32" s="4">
        <v>8860830</v>
      </c>
      <c r="P32" s="4">
        <v>9435514</v>
      </c>
      <c r="Q32" s="4">
        <v>8860830</v>
      </c>
      <c r="R32" s="4">
        <v>9435514</v>
      </c>
      <c r="S32" s="4">
        <v>8860830</v>
      </c>
      <c r="T32" s="4">
        <v>9435514</v>
      </c>
      <c r="U32" s="4">
        <v>8860830</v>
      </c>
      <c r="V32" s="4">
        <v>9435514</v>
      </c>
      <c r="W32" s="4">
        <v>8860830</v>
      </c>
      <c r="X32" s="4">
        <v>9435514</v>
      </c>
      <c r="Y32" s="4">
        <v>8860830</v>
      </c>
    </row>
    <row r="33" spans="1:25" ht="19.5" customHeight="1" x14ac:dyDescent="0.25">
      <c r="A33" s="2" t="s">
        <v>71</v>
      </c>
      <c r="B33" s="2" t="s">
        <v>44</v>
      </c>
      <c r="C33" s="2" t="s">
        <v>104</v>
      </c>
      <c r="D33" s="2" t="s">
        <v>105</v>
      </c>
      <c r="E33" s="2" t="s">
        <v>106</v>
      </c>
      <c r="F33" s="3">
        <v>2672294.85</v>
      </c>
      <c r="G33" s="3">
        <v>5477117</v>
      </c>
      <c r="H33" s="3">
        <v>4790982</v>
      </c>
      <c r="I33" s="3">
        <v>4839274</v>
      </c>
      <c r="J33" s="3">
        <v>4790982</v>
      </c>
      <c r="K33" s="3">
        <v>4839274</v>
      </c>
      <c r="L33" s="4">
        <v>4790982</v>
      </c>
      <c r="M33" s="4">
        <v>4839274</v>
      </c>
      <c r="N33" s="4">
        <v>4790982</v>
      </c>
      <c r="O33" s="4">
        <v>4839274</v>
      </c>
      <c r="P33" s="4">
        <v>4790982</v>
      </c>
      <c r="Q33" s="4">
        <v>4839274</v>
      </c>
      <c r="R33" s="4">
        <v>4790982</v>
      </c>
      <c r="S33" s="4">
        <v>4839274</v>
      </c>
      <c r="T33" s="4">
        <v>4790982</v>
      </c>
      <c r="U33" s="4">
        <v>4839274</v>
      </c>
      <c r="V33" s="4">
        <v>4790982</v>
      </c>
      <c r="W33" s="4">
        <v>4839274</v>
      </c>
      <c r="X33" s="4">
        <v>4790982</v>
      </c>
      <c r="Y33" s="4">
        <v>4839274</v>
      </c>
    </row>
    <row r="34" spans="1:25" ht="19.5" customHeight="1" x14ac:dyDescent="0.25">
      <c r="A34" s="2" t="s">
        <v>71</v>
      </c>
      <c r="B34" s="2" t="s">
        <v>44</v>
      </c>
      <c r="C34" s="2" t="s">
        <v>107</v>
      </c>
      <c r="D34" s="2" t="s">
        <v>108</v>
      </c>
      <c r="E34" s="2" t="s">
        <v>109</v>
      </c>
      <c r="F34" s="3">
        <v>62463868.630000003</v>
      </c>
      <c r="G34" s="3">
        <v>83089665</v>
      </c>
      <c r="H34" s="3">
        <v>62630274</v>
      </c>
      <c r="I34" s="3">
        <v>57726103</v>
      </c>
      <c r="J34" s="3">
        <v>62630274</v>
      </c>
      <c r="K34" s="3">
        <v>57726103</v>
      </c>
      <c r="L34" s="4">
        <v>62630274</v>
      </c>
      <c r="M34" s="4">
        <v>57726103</v>
      </c>
      <c r="N34" s="4">
        <v>62630274</v>
      </c>
      <c r="O34" s="4">
        <v>57726103</v>
      </c>
      <c r="P34" s="4">
        <v>62630274</v>
      </c>
      <c r="Q34" s="4">
        <v>57726103</v>
      </c>
      <c r="R34" s="4">
        <v>62630274</v>
      </c>
      <c r="S34" s="4">
        <v>57726103</v>
      </c>
      <c r="T34" s="4">
        <v>62630274</v>
      </c>
      <c r="U34" s="4">
        <v>57726103</v>
      </c>
      <c r="V34" s="4">
        <v>62630274</v>
      </c>
      <c r="W34" s="4">
        <v>57726103</v>
      </c>
      <c r="X34" s="4">
        <v>62630274</v>
      </c>
      <c r="Y34" s="4">
        <v>57726103</v>
      </c>
    </row>
    <row r="35" spans="1:25" ht="19.5" customHeight="1" x14ac:dyDescent="0.25">
      <c r="A35" s="2" t="s">
        <v>71</v>
      </c>
      <c r="B35" s="2" t="s">
        <v>54</v>
      </c>
      <c r="C35" s="2" t="s">
        <v>54</v>
      </c>
      <c r="D35" s="2" t="s">
        <v>110</v>
      </c>
      <c r="E35" s="2" t="s">
        <v>22</v>
      </c>
      <c r="F35" s="3">
        <v>1606747.13</v>
      </c>
      <c r="G35" s="3">
        <v>1348074</v>
      </c>
      <c r="H35" s="3">
        <v>1724070</v>
      </c>
      <c r="I35" s="3">
        <v>1745504</v>
      </c>
      <c r="J35" s="3">
        <v>1724070</v>
      </c>
      <c r="K35" s="3">
        <v>1745504</v>
      </c>
      <c r="L35" s="4">
        <v>1724070</v>
      </c>
      <c r="M35" s="4">
        <v>1745504</v>
      </c>
      <c r="N35" s="4">
        <v>1724070</v>
      </c>
      <c r="O35" s="4">
        <v>1745504</v>
      </c>
      <c r="P35" s="4">
        <v>1724070</v>
      </c>
      <c r="Q35" s="4">
        <v>1745504</v>
      </c>
      <c r="R35" s="4">
        <v>1724070</v>
      </c>
      <c r="S35" s="4">
        <v>1745504</v>
      </c>
      <c r="T35" s="4">
        <v>1724070</v>
      </c>
      <c r="U35" s="4">
        <v>1745504</v>
      </c>
      <c r="V35" s="4">
        <v>1724070</v>
      </c>
      <c r="W35" s="4">
        <v>1745504</v>
      </c>
      <c r="X35" s="4">
        <v>1724070</v>
      </c>
      <c r="Y35" s="4">
        <v>1745504</v>
      </c>
    </row>
    <row r="36" spans="1:25" ht="19.5" customHeight="1" x14ac:dyDescent="0.25">
      <c r="A36" s="2" t="s">
        <v>71</v>
      </c>
      <c r="B36" s="2" t="s">
        <v>54</v>
      </c>
      <c r="C36" s="2" t="s">
        <v>54</v>
      </c>
      <c r="D36" s="2" t="s">
        <v>111</v>
      </c>
      <c r="E36" s="2" t="s">
        <v>112</v>
      </c>
      <c r="F36" s="3">
        <v>1088372.8500000001</v>
      </c>
      <c r="G36" s="3">
        <v>1588402</v>
      </c>
      <c r="H36" s="3">
        <v>3112901</v>
      </c>
      <c r="I36" s="3">
        <v>3112901</v>
      </c>
      <c r="J36" s="3">
        <v>3112901</v>
      </c>
      <c r="K36" s="3">
        <v>3112901</v>
      </c>
      <c r="L36" s="4">
        <v>3112901</v>
      </c>
      <c r="M36" s="4">
        <v>3112901</v>
      </c>
      <c r="N36" s="4">
        <v>3112901</v>
      </c>
      <c r="O36" s="4">
        <v>3112901</v>
      </c>
      <c r="P36" s="4">
        <v>3112901</v>
      </c>
      <c r="Q36" s="4">
        <v>3112901</v>
      </c>
      <c r="R36" s="4">
        <v>3112901</v>
      </c>
      <c r="S36" s="4">
        <v>3112901</v>
      </c>
      <c r="T36" s="4">
        <v>3112901</v>
      </c>
      <c r="U36" s="4">
        <v>3112901</v>
      </c>
      <c r="V36" s="4">
        <v>3112901</v>
      </c>
      <c r="W36" s="4">
        <v>3112901</v>
      </c>
      <c r="X36" s="4">
        <v>3112901</v>
      </c>
      <c r="Y36" s="4">
        <v>3112901</v>
      </c>
    </row>
    <row r="37" spans="1:25" ht="19.5" customHeight="1" x14ac:dyDescent="0.25">
      <c r="A37" s="2" t="s">
        <v>71</v>
      </c>
      <c r="B37" s="2" t="s">
        <v>54</v>
      </c>
      <c r="C37" s="2" t="s">
        <v>54</v>
      </c>
      <c r="D37" s="2" t="s">
        <v>113</v>
      </c>
      <c r="E37" s="2" t="s">
        <v>114</v>
      </c>
      <c r="F37" s="4">
        <v>6913042.5099999998</v>
      </c>
      <c r="G37" s="3">
        <v>6549253</v>
      </c>
      <c r="H37" s="3">
        <v>8723995</v>
      </c>
      <c r="I37" s="3">
        <v>8662042</v>
      </c>
      <c r="J37" s="3">
        <v>8723995</v>
      </c>
      <c r="K37" s="3">
        <v>8662042</v>
      </c>
      <c r="L37" s="4">
        <v>8723995</v>
      </c>
      <c r="M37" s="4">
        <v>8662042</v>
      </c>
      <c r="N37" s="4">
        <v>8723995</v>
      </c>
      <c r="O37" s="4">
        <v>8662042</v>
      </c>
      <c r="P37" s="4">
        <v>8723995</v>
      </c>
      <c r="Q37" s="4">
        <v>8662042</v>
      </c>
      <c r="R37" s="4">
        <v>8798995</v>
      </c>
      <c r="S37" s="4">
        <v>8737042</v>
      </c>
      <c r="T37" s="4">
        <v>8798995</v>
      </c>
      <c r="U37" s="4">
        <v>8737042</v>
      </c>
      <c r="V37" s="4">
        <v>9798995</v>
      </c>
      <c r="W37" s="4">
        <v>9737042</v>
      </c>
      <c r="X37" s="4">
        <v>9798995</v>
      </c>
      <c r="Y37" s="4">
        <v>9737042</v>
      </c>
    </row>
    <row r="38" spans="1:25" ht="19.5" customHeight="1" x14ac:dyDescent="0.25">
      <c r="A38" s="2" t="s">
        <v>71</v>
      </c>
      <c r="B38" s="2" t="s">
        <v>54</v>
      </c>
      <c r="C38" s="2" t="s">
        <v>54</v>
      </c>
      <c r="D38" s="2" t="s">
        <v>115</v>
      </c>
      <c r="E38" s="2" t="s">
        <v>116</v>
      </c>
      <c r="F38" s="3">
        <v>2226163</v>
      </c>
      <c r="G38" s="3">
        <v>2245720</v>
      </c>
      <c r="H38" s="3">
        <v>2495245</v>
      </c>
      <c r="I38" s="3">
        <v>2495245</v>
      </c>
      <c r="J38" s="3">
        <v>2495245</v>
      </c>
      <c r="K38" s="3">
        <v>2495245</v>
      </c>
      <c r="L38" s="4">
        <v>2495245</v>
      </c>
      <c r="M38" s="4">
        <v>2495245</v>
      </c>
      <c r="N38" s="4">
        <v>2495245</v>
      </c>
      <c r="O38" s="4">
        <v>2495245</v>
      </c>
      <c r="P38" s="4">
        <v>2495245</v>
      </c>
      <c r="Q38" s="4">
        <v>2495245</v>
      </c>
      <c r="R38" s="4">
        <v>2495245</v>
      </c>
      <c r="S38" s="4">
        <v>2495245</v>
      </c>
      <c r="T38" s="4">
        <v>2495245</v>
      </c>
      <c r="U38" s="4">
        <v>2495245</v>
      </c>
      <c r="V38" s="4">
        <v>2495245</v>
      </c>
      <c r="W38" s="4">
        <v>2495245</v>
      </c>
      <c r="X38" s="4">
        <v>2495245</v>
      </c>
      <c r="Y38" s="4">
        <v>2495245</v>
      </c>
    </row>
    <row r="39" spans="1:25" ht="19.5" customHeight="1" x14ac:dyDescent="0.25">
      <c r="A39" s="2" t="s">
        <v>71</v>
      </c>
      <c r="B39" s="2" t="s">
        <v>54</v>
      </c>
      <c r="C39" s="2" t="s">
        <v>54</v>
      </c>
      <c r="D39" s="2" t="s">
        <v>117</v>
      </c>
      <c r="E39" s="2" t="s">
        <v>118</v>
      </c>
      <c r="F39" s="3">
        <v>228956</v>
      </c>
      <c r="G39" s="3">
        <v>200513</v>
      </c>
      <c r="H39" s="3">
        <v>222792</v>
      </c>
      <c r="I39" s="3">
        <v>222792</v>
      </c>
      <c r="J39" s="3">
        <v>222792</v>
      </c>
      <c r="K39" s="3">
        <v>222792</v>
      </c>
      <c r="L39" s="4">
        <v>222792</v>
      </c>
      <c r="M39" s="4">
        <v>222792</v>
      </c>
      <c r="N39" s="4">
        <v>222792</v>
      </c>
      <c r="O39" s="4">
        <v>222792</v>
      </c>
      <c r="P39" s="4">
        <v>222792</v>
      </c>
      <c r="Q39" s="4">
        <v>222792</v>
      </c>
      <c r="R39" s="4">
        <v>222792</v>
      </c>
      <c r="S39" s="4">
        <v>222792</v>
      </c>
      <c r="T39" s="4">
        <v>222792</v>
      </c>
      <c r="U39" s="4">
        <v>222792</v>
      </c>
      <c r="V39" s="4">
        <v>222792</v>
      </c>
      <c r="W39" s="4">
        <v>222792</v>
      </c>
      <c r="X39" s="4">
        <v>222792</v>
      </c>
      <c r="Y39" s="4">
        <v>222792</v>
      </c>
    </row>
    <row r="40" spans="1:25" ht="19.5" customHeight="1" x14ac:dyDescent="0.25">
      <c r="A40" s="2" t="s">
        <v>71</v>
      </c>
      <c r="B40" s="2" t="s">
        <v>54</v>
      </c>
      <c r="C40" s="2" t="s">
        <v>54</v>
      </c>
      <c r="D40" s="2" t="s">
        <v>119</v>
      </c>
      <c r="E40" s="2" t="s">
        <v>120</v>
      </c>
      <c r="F40" s="3">
        <v>0</v>
      </c>
      <c r="G40" s="3">
        <v>0</v>
      </c>
      <c r="H40" s="3">
        <v>14000000</v>
      </c>
      <c r="I40" s="3">
        <v>9000000</v>
      </c>
      <c r="J40" s="3">
        <v>0</v>
      </c>
      <c r="K40" s="3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</row>
    <row r="41" spans="1:25" ht="19.5" customHeight="1" x14ac:dyDescent="0.25">
      <c r="A41" s="2" t="s">
        <v>71</v>
      </c>
      <c r="B41" s="2" t="s">
        <v>54</v>
      </c>
      <c r="C41" s="2" t="s">
        <v>54</v>
      </c>
      <c r="D41" s="2" t="s">
        <v>121</v>
      </c>
      <c r="E41" s="2" t="s">
        <v>122</v>
      </c>
      <c r="F41" s="3">
        <v>4403955.7699999996</v>
      </c>
      <c r="G41" s="3">
        <v>5073618</v>
      </c>
      <c r="H41" s="3">
        <v>5154308</v>
      </c>
      <c r="I41" s="3">
        <v>5194827</v>
      </c>
      <c r="J41" s="3">
        <v>5154308</v>
      </c>
      <c r="K41" s="3">
        <v>5194827</v>
      </c>
      <c r="L41" s="4">
        <v>5154308</v>
      </c>
      <c r="M41" s="4">
        <v>5194827</v>
      </c>
      <c r="N41" s="4">
        <v>5154308</v>
      </c>
      <c r="O41" s="4">
        <v>5194827</v>
      </c>
      <c r="P41" s="4">
        <v>5154308</v>
      </c>
      <c r="Q41" s="4">
        <v>5194827</v>
      </c>
      <c r="R41" s="4">
        <v>5154308</v>
      </c>
      <c r="S41" s="4">
        <v>5194827</v>
      </c>
      <c r="T41" s="4">
        <v>5154308</v>
      </c>
      <c r="U41" s="4">
        <v>5194827</v>
      </c>
      <c r="V41" s="4">
        <v>5154308</v>
      </c>
      <c r="W41" s="4">
        <v>5194827</v>
      </c>
      <c r="X41" s="4">
        <v>5154308</v>
      </c>
      <c r="Y41" s="4">
        <v>5194827</v>
      </c>
    </row>
    <row r="42" spans="1:25" ht="19.5" customHeight="1" x14ac:dyDescent="0.25">
      <c r="A42" s="2" t="s">
        <v>123</v>
      </c>
      <c r="B42" s="2" t="s">
        <v>16</v>
      </c>
      <c r="C42" s="2" t="s">
        <v>124</v>
      </c>
      <c r="D42" s="2" t="s">
        <v>125</v>
      </c>
      <c r="E42" s="2" t="s">
        <v>126</v>
      </c>
      <c r="F42" s="3">
        <v>58442693.350000001</v>
      </c>
      <c r="G42" s="3">
        <v>61118182</v>
      </c>
      <c r="H42" s="3">
        <v>72700000</v>
      </c>
      <c r="I42" s="3">
        <v>72700000</v>
      </c>
      <c r="J42" s="3">
        <v>72700000</v>
      </c>
      <c r="K42" s="3">
        <v>72700000</v>
      </c>
      <c r="L42" s="4">
        <v>72700000</v>
      </c>
      <c r="M42" s="4">
        <v>72700000</v>
      </c>
      <c r="N42" s="4">
        <v>72700000</v>
      </c>
      <c r="O42" s="4">
        <v>72700000</v>
      </c>
      <c r="P42" s="4">
        <v>72700000</v>
      </c>
      <c r="Q42" s="4">
        <v>72700000</v>
      </c>
      <c r="R42" s="4">
        <v>72700000</v>
      </c>
      <c r="S42" s="4">
        <v>72700000</v>
      </c>
      <c r="T42" s="4">
        <v>72700000</v>
      </c>
      <c r="U42" s="4">
        <v>72700000</v>
      </c>
      <c r="V42" s="4">
        <v>72700000</v>
      </c>
      <c r="W42" s="4">
        <v>72700000</v>
      </c>
      <c r="X42" s="4">
        <v>72700000</v>
      </c>
      <c r="Y42" s="4">
        <v>72700000</v>
      </c>
    </row>
    <row r="43" spans="1:25" ht="19.5" customHeight="1" x14ac:dyDescent="0.25">
      <c r="A43" s="2" t="s">
        <v>123</v>
      </c>
      <c r="B43" s="2" t="s">
        <v>16</v>
      </c>
      <c r="C43" s="2" t="s">
        <v>127</v>
      </c>
      <c r="D43" s="2" t="s">
        <v>128</v>
      </c>
      <c r="E43" s="2" t="s">
        <v>129</v>
      </c>
      <c r="F43" s="3">
        <v>11841148.550000001</v>
      </c>
      <c r="G43" s="3">
        <v>16500000</v>
      </c>
      <c r="H43" s="3">
        <v>16500000</v>
      </c>
      <c r="I43" s="3">
        <v>16500000</v>
      </c>
      <c r="J43" s="3">
        <v>16500000</v>
      </c>
      <c r="K43" s="3">
        <v>16500000</v>
      </c>
      <c r="L43" s="4">
        <v>16500000</v>
      </c>
      <c r="M43" s="4">
        <v>16500000</v>
      </c>
      <c r="N43" s="4">
        <v>16500000</v>
      </c>
      <c r="O43" s="4">
        <v>16500000</v>
      </c>
      <c r="P43" s="4">
        <v>16500000</v>
      </c>
      <c r="Q43" s="4">
        <v>16500000</v>
      </c>
      <c r="R43" s="4">
        <v>16500000</v>
      </c>
      <c r="S43" s="4">
        <v>16500000</v>
      </c>
      <c r="T43" s="4">
        <v>16500000</v>
      </c>
      <c r="U43" s="4">
        <v>16500000</v>
      </c>
      <c r="V43" s="4">
        <v>16500000</v>
      </c>
      <c r="W43" s="4">
        <v>16500000</v>
      </c>
      <c r="X43" s="4">
        <v>16500000</v>
      </c>
      <c r="Y43" s="4">
        <v>16500000</v>
      </c>
    </row>
    <row r="44" spans="1:25" ht="19.5" customHeight="1" x14ac:dyDescent="0.25">
      <c r="A44" s="2" t="s">
        <v>123</v>
      </c>
      <c r="B44" s="2" t="s">
        <v>16</v>
      </c>
      <c r="C44" s="2" t="s">
        <v>130</v>
      </c>
      <c r="D44" s="2" t="s">
        <v>131</v>
      </c>
      <c r="E44" s="2" t="s">
        <v>132</v>
      </c>
      <c r="F44" s="3">
        <v>14520</v>
      </c>
      <c r="G44" s="3">
        <v>25000</v>
      </c>
      <c r="H44" s="3">
        <v>25000</v>
      </c>
      <c r="I44" s="3">
        <v>25000</v>
      </c>
      <c r="J44" s="3">
        <v>25000</v>
      </c>
      <c r="K44" s="3">
        <v>25000</v>
      </c>
      <c r="L44" s="4">
        <v>25000</v>
      </c>
      <c r="M44" s="4">
        <v>25000</v>
      </c>
      <c r="N44" s="4">
        <v>25000</v>
      </c>
      <c r="O44" s="4">
        <v>25000</v>
      </c>
      <c r="P44" s="4">
        <v>25000</v>
      </c>
      <c r="Q44" s="4">
        <v>25000</v>
      </c>
      <c r="R44" s="4">
        <v>25000</v>
      </c>
      <c r="S44" s="4">
        <v>25000</v>
      </c>
      <c r="T44" s="4">
        <v>25000</v>
      </c>
      <c r="U44" s="4">
        <v>25000</v>
      </c>
      <c r="V44" s="4">
        <v>25000</v>
      </c>
      <c r="W44" s="4">
        <v>25000</v>
      </c>
      <c r="X44" s="4">
        <v>25000</v>
      </c>
      <c r="Y44" s="4">
        <v>25000</v>
      </c>
    </row>
    <row r="45" spans="1:25" ht="19.5" customHeight="1" x14ac:dyDescent="0.25">
      <c r="A45" s="2" t="s">
        <v>123</v>
      </c>
      <c r="B45" s="2" t="s">
        <v>16</v>
      </c>
      <c r="C45" s="2" t="s">
        <v>133</v>
      </c>
      <c r="D45" s="2" t="s">
        <v>134</v>
      </c>
      <c r="E45" s="2" t="s">
        <v>135</v>
      </c>
      <c r="F45" s="3">
        <v>6237944.6500000004</v>
      </c>
      <c r="G45" s="3">
        <v>6199700</v>
      </c>
      <c r="H45" s="3">
        <v>8286000</v>
      </c>
      <c r="I45" s="3">
        <v>8286000</v>
      </c>
      <c r="J45" s="3">
        <v>8286000</v>
      </c>
      <c r="K45" s="3">
        <v>8286000</v>
      </c>
      <c r="L45" s="4">
        <v>8286000</v>
      </c>
      <c r="M45" s="4">
        <v>8286000</v>
      </c>
      <c r="N45" s="4">
        <v>8286000</v>
      </c>
      <c r="O45" s="4">
        <v>8286000</v>
      </c>
      <c r="P45" s="4">
        <v>8286000</v>
      </c>
      <c r="Q45" s="4">
        <v>8286000</v>
      </c>
      <c r="R45" s="4">
        <v>8286000</v>
      </c>
      <c r="S45" s="4">
        <v>8286000</v>
      </c>
      <c r="T45" s="4">
        <v>8286000</v>
      </c>
      <c r="U45" s="4">
        <v>8286000</v>
      </c>
      <c r="V45" s="4">
        <v>8286000</v>
      </c>
      <c r="W45" s="4">
        <v>8286000</v>
      </c>
      <c r="X45" s="4">
        <v>8286000</v>
      </c>
      <c r="Y45" s="4">
        <v>8286000</v>
      </c>
    </row>
    <row r="46" spans="1:25" ht="19.5" customHeight="1" x14ac:dyDescent="0.25">
      <c r="A46" s="2" t="s">
        <v>123</v>
      </c>
      <c r="B46" s="2" t="s">
        <v>16</v>
      </c>
      <c r="C46" s="2" t="s">
        <v>136</v>
      </c>
      <c r="D46" s="2" t="s">
        <v>137</v>
      </c>
      <c r="E46" s="2" t="s">
        <v>138</v>
      </c>
      <c r="F46" s="3">
        <v>33056813.809999999</v>
      </c>
      <c r="G46" s="3">
        <v>47600000</v>
      </c>
      <c r="H46" s="3">
        <v>40000000</v>
      </c>
      <c r="I46" s="3">
        <v>42000000</v>
      </c>
      <c r="J46" s="3">
        <v>40000000</v>
      </c>
      <c r="K46" s="3">
        <v>42000000</v>
      </c>
      <c r="L46" s="4">
        <v>40000000</v>
      </c>
      <c r="M46" s="4">
        <v>42000000</v>
      </c>
      <c r="N46" s="4">
        <v>40000000</v>
      </c>
      <c r="O46" s="4">
        <v>42000000</v>
      </c>
      <c r="P46" s="4">
        <v>40000000</v>
      </c>
      <c r="Q46" s="4">
        <v>42000000</v>
      </c>
      <c r="R46" s="4">
        <v>40000000</v>
      </c>
      <c r="S46" s="4">
        <v>42000000</v>
      </c>
      <c r="T46" s="4">
        <v>40000000</v>
      </c>
      <c r="U46" s="4">
        <v>42000000</v>
      </c>
      <c r="V46" s="4">
        <v>40000000</v>
      </c>
      <c r="W46" s="4">
        <v>42000000</v>
      </c>
      <c r="X46" s="4">
        <v>40000000</v>
      </c>
      <c r="Y46" s="4">
        <v>42000000</v>
      </c>
    </row>
    <row r="47" spans="1:25" ht="19.5" customHeight="1" x14ac:dyDescent="0.25">
      <c r="A47" s="2" t="s">
        <v>123</v>
      </c>
      <c r="B47" s="2" t="s">
        <v>16</v>
      </c>
      <c r="C47" s="2" t="s">
        <v>139</v>
      </c>
      <c r="D47" s="2" t="s">
        <v>140</v>
      </c>
      <c r="E47" s="2" t="s">
        <v>141</v>
      </c>
      <c r="F47" s="3">
        <v>424494.18</v>
      </c>
      <c r="G47" s="3">
        <v>650000</v>
      </c>
      <c r="H47" s="3">
        <v>0</v>
      </c>
      <c r="I47" s="3">
        <v>0</v>
      </c>
      <c r="J47" s="3">
        <v>0</v>
      </c>
      <c r="K47" s="3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</row>
    <row r="48" spans="1:25" ht="19.5" customHeight="1" x14ac:dyDescent="0.25">
      <c r="A48" s="2" t="s">
        <v>123</v>
      </c>
      <c r="B48" s="2" t="s">
        <v>16</v>
      </c>
      <c r="C48" s="2" t="s">
        <v>142</v>
      </c>
      <c r="D48" s="2" t="s">
        <v>143</v>
      </c>
      <c r="E48" s="2" t="s">
        <v>144</v>
      </c>
      <c r="F48" s="3">
        <v>2417083.64</v>
      </c>
      <c r="G48" s="3">
        <v>160000</v>
      </c>
      <c r="H48" s="3">
        <v>1500000</v>
      </c>
      <c r="I48" s="3">
        <v>1500000</v>
      </c>
      <c r="J48" s="3">
        <v>1500000</v>
      </c>
      <c r="K48" s="3">
        <v>1500000</v>
      </c>
      <c r="L48" s="4">
        <v>1500000</v>
      </c>
      <c r="M48" s="4">
        <v>1500000</v>
      </c>
      <c r="N48" s="4">
        <v>1500000</v>
      </c>
      <c r="O48" s="4">
        <v>1500000</v>
      </c>
      <c r="P48" s="4">
        <v>1500000</v>
      </c>
      <c r="Q48" s="4">
        <v>1500000</v>
      </c>
      <c r="R48" s="4">
        <v>1500000</v>
      </c>
      <c r="S48" s="4">
        <v>1500000</v>
      </c>
      <c r="T48" s="4">
        <v>1500000</v>
      </c>
      <c r="U48" s="4">
        <v>1500000</v>
      </c>
      <c r="V48" s="4">
        <v>1500000</v>
      </c>
      <c r="W48" s="4">
        <v>1500000</v>
      </c>
      <c r="X48" s="4">
        <v>1500000</v>
      </c>
      <c r="Y48" s="4">
        <v>1500000</v>
      </c>
    </row>
    <row r="49" spans="1:25" ht="19.5" customHeight="1" x14ac:dyDescent="0.25">
      <c r="A49" s="2" t="s">
        <v>123</v>
      </c>
      <c r="B49" s="2" t="s">
        <v>16</v>
      </c>
      <c r="C49" s="2" t="s">
        <v>145</v>
      </c>
      <c r="D49" s="2" t="s">
        <v>146</v>
      </c>
      <c r="E49" s="2" t="s">
        <v>147</v>
      </c>
      <c r="F49" s="3">
        <v>2149300.23</v>
      </c>
      <c r="G49" s="3">
        <v>2814289</v>
      </c>
      <c r="H49" s="3">
        <v>2900000</v>
      </c>
      <c r="I49" s="3">
        <v>2900000</v>
      </c>
      <c r="J49" s="3">
        <v>2900000</v>
      </c>
      <c r="K49" s="3">
        <v>2900000</v>
      </c>
      <c r="L49" s="4">
        <v>2900000</v>
      </c>
      <c r="M49" s="4">
        <v>2900000</v>
      </c>
      <c r="N49" s="4">
        <v>2900000</v>
      </c>
      <c r="O49" s="4">
        <v>2900000</v>
      </c>
      <c r="P49" s="4">
        <v>2900000</v>
      </c>
      <c r="Q49" s="4">
        <v>2900000</v>
      </c>
      <c r="R49" s="4">
        <v>2900000</v>
      </c>
      <c r="S49" s="4">
        <v>2900000</v>
      </c>
      <c r="T49" s="4">
        <v>2900000</v>
      </c>
      <c r="U49" s="4">
        <v>2900000</v>
      </c>
      <c r="V49" s="4">
        <v>2900000</v>
      </c>
      <c r="W49" s="4">
        <v>2900000</v>
      </c>
      <c r="X49" s="4">
        <v>2900000</v>
      </c>
      <c r="Y49" s="4">
        <v>2900000</v>
      </c>
    </row>
    <row r="50" spans="1:25" ht="19.5" customHeight="1" x14ac:dyDescent="0.25">
      <c r="A50" s="2" t="s">
        <v>123</v>
      </c>
      <c r="B50" s="2" t="s">
        <v>16</v>
      </c>
      <c r="C50" s="2" t="s">
        <v>148</v>
      </c>
      <c r="D50" s="2" t="s">
        <v>149</v>
      </c>
      <c r="E50" s="2" t="s">
        <v>150</v>
      </c>
      <c r="F50" s="3">
        <v>599799.21</v>
      </c>
      <c r="G50" s="3">
        <v>813751</v>
      </c>
      <c r="H50" s="3">
        <v>1013751</v>
      </c>
      <c r="I50" s="3">
        <v>1013751</v>
      </c>
      <c r="J50" s="3">
        <v>1013751</v>
      </c>
      <c r="K50" s="3">
        <v>1013751</v>
      </c>
      <c r="L50" s="4">
        <v>1013751</v>
      </c>
      <c r="M50" s="4">
        <v>1013751</v>
      </c>
      <c r="N50" s="4">
        <v>1013751</v>
      </c>
      <c r="O50" s="4">
        <v>1013751</v>
      </c>
      <c r="P50" s="4">
        <v>1013751</v>
      </c>
      <c r="Q50" s="4">
        <v>1013751</v>
      </c>
      <c r="R50" s="4">
        <v>1013751</v>
      </c>
      <c r="S50" s="4">
        <v>1013751</v>
      </c>
      <c r="T50" s="4">
        <v>1013751</v>
      </c>
      <c r="U50" s="4">
        <v>1013751</v>
      </c>
      <c r="V50" s="4">
        <v>1013751</v>
      </c>
      <c r="W50" s="4">
        <v>1013751</v>
      </c>
      <c r="X50" s="4">
        <v>1013751</v>
      </c>
      <c r="Y50" s="4">
        <v>1013751</v>
      </c>
    </row>
    <row r="51" spans="1:25" ht="19.5" customHeight="1" x14ac:dyDescent="0.25">
      <c r="A51" s="2" t="s">
        <v>123</v>
      </c>
      <c r="B51" s="2" t="s">
        <v>16</v>
      </c>
      <c r="C51" s="2" t="s">
        <v>151</v>
      </c>
      <c r="D51" s="2" t="s">
        <v>152</v>
      </c>
      <c r="E51" s="2" t="s">
        <v>153</v>
      </c>
      <c r="F51" s="4">
        <v>332320.68</v>
      </c>
      <c r="G51" s="3">
        <v>2500000</v>
      </c>
      <c r="H51" s="3">
        <v>1000000</v>
      </c>
      <c r="I51" s="3">
        <v>1000000</v>
      </c>
      <c r="J51" s="3">
        <v>1000000</v>
      </c>
      <c r="K51" s="3">
        <v>1000000</v>
      </c>
      <c r="L51" s="4">
        <v>1000000</v>
      </c>
      <c r="M51" s="4">
        <v>1000000</v>
      </c>
      <c r="N51" s="4">
        <v>1000000</v>
      </c>
      <c r="O51" s="4">
        <v>1000000</v>
      </c>
      <c r="P51" s="4">
        <v>1000000</v>
      </c>
      <c r="Q51" s="4">
        <v>1000000</v>
      </c>
      <c r="R51" s="4">
        <v>1000000</v>
      </c>
      <c r="S51" s="4">
        <v>1000000</v>
      </c>
      <c r="T51" s="4">
        <v>1000000</v>
      </c>
      <c r="U51" s="4">
        <v>1000000</v>
      </c>
      <c r="V51" s="4">
        <v>1000000</v>
      </c>
      <c r="W51" s="4">
        <v>1000000</v>
      </c>
      <c r="X51" s="4">
        <v>1000000</v>
      </c>
      <c r="Y51" s="4">
        <v>1000000</v>
      </c>
    </row>
    <row r="52" spans="1:25" ht="19.5" customHeight="1" x14ac:dyDescent="0.25">
      <c r="A52" s="2" t="s">
        <v>123</v>
      </c>
      <c r="B52" s="2" t="s">
        <v>16</v>
      </c>
      <c r="C52" s="2" t="s">
        <v>154</v>
      </c>
      <c r="D52" s="2" t="s">
        <v>155</v>
      </c>
      <c r="E52" s="2" t="s">
        <v>156</v>
      </c>
      <c r="F52" s="3">
        <v>86985.25</v>
      </c>
      <c r="G52" s="4">
        <v>95325</v>
      </c>
      <c r="H52" s="4">
        <v>95325</v>
      </c>
      <c r="I52" s="4">
        <v>95325</v>
      </c>
      <c r="J52" s="4">
        <v>95325</v>
      </c>
      <c r="K52" s="4">
        <v>95325</v>
      </c>
      <c r="L52" s="4">
        <v>95325</v>
      </c>
      <c r="M52" s="4">
        <v>95325</v>
      </c>
      <c r="N52" s="4">
        <v>95325</v>
      </c>
      <c r="O52" s="4">
        <v>95325</v>
      </c>
      <c r="P52" s="4">
        <v>95325</v>
      </c>
      <c r="Q52" s="4">
        <v>95325</v>
      </c>
      <c r="R52" s="4">
        <v>95325</v>
      </c>
      <c r="S52" s="4">
        <v>95325</v>
      </c>
      <c r="T52" s="4">
        <v>95325</v>
      </c>
      <c r="U52" s="4">
        <v>95325</v>
      </c>
      <c r="V52" s="4">
        <v>95325</v>
      </c>
      <c r="W52" s="4">
        <v>95325</v>
      </c>
      <c r="X52" s="4">
        <v>95325</v>
      </c>
      <c r="Y52" s="4">
        <v>95325</v>
      </c>
    </row>
    <row r="53" spans="1:25" ht="19.5" customHeight="1" x14ac:dyDescent="0.25">
      <c r="A53" s="2" t="s">
        <v>123</v>
      </c>
      <c r="B53" s="2" t="s">
        <v>16</v>
      </c>
      <c r="C53" s="2" t="s">
        <v>157</v>
      </c>
      <c r="D53" s="2" t="s">
        <v>158</v>
      </c>
      <c r="E53" s="2" t="s">
        <v>159</v>
      </c>
      <c r="F53" s="3">
        <v>0</v>
      </c>
      <c r="G53" s="3">
        <v>10000</v>
      </c>
      <c r="H53" s="3">
        <v>10000</v>
      </c>
      <c r="I53" s="3">
        <v>10000</v>
      </c>
      <c r="J53" s="3">
        <v>10000</v>
      </c>
      <c r="K53" s="3">
        <v>10000</v>
      </c>
      <c r="L53" s="4">
        <v>10000</v>
      </c>
      <c r="M53" s="4">
        <v>10000</v>
      </c>
      <c r="N53" s="4">
        <v>10000</v>
      </c>
      <c r="O53" s="4">
        <v>10000</v>
      </c>
      <c r="P53" s="4">
        <v>10000</v>
      </c>
      <c r="Q53" s="4">
        <v>10000</v>
      </c>
      <c r="R53" s="4">
        <v>10000</v>
      </c>
      <c r="S53" s="4">
        <v>10000</v>
      </c>
      <c r="T53" s="4">
        <v>10000</v>
      </c>
      <c r="U53" s="4">
        <v>10000</v>
      </c>
      <c r="V53" s="4">
        <v>10000</v>
      </c>
      <c r="W53" s="4">
        <v>10000</v>
      </c>
      <c r="X53" s="4">
        <v>10000</v>
      </c>
      <c r="Y53" s="4">
        <v>10000</v>
      </c>
    </row>
    <row r="54" spans="1:25" ht="19.5" customHeight="1" x14ac:dyDescent="0.25">
      <c r="A54" s="2" t="s">
        <v>123</v>
      </c>
      <c r="B54" s="2" t="s">
        <v>16</v>
      </c>
      <c r="C54" s="2" t="s">
        <v>35</v>
      </c>
      <c r="D54" s="2" t="s">
        <v>160</v>
      </c>
      <c r="E54" s="2" t="s">
        <v>161</v>
      </c>
      <c r="F54" s="3">
        <v>0</v>
      </c>
      <c r="G54" s="3">
        <v>8750000</v>
      </c>
      <c r="H54" s="3">
        <v>0</v>
      </c>
      <c r="I54" s="3">
        <v>0</v>
      </c>
      <c r="J54" s="3">
        <v>0</v>
      </c>
      <c r="K54" s="3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</row>
    <row r="55" spans="1:25" ht="19.5" customHeight="1" x14ac:dyDescent="0.25">
      <c r="A55" s="2" t="s">
        <v>123</v>
      </c>
      <c r="B55" s="2" t="s">
        <v>16</v>
      </c>
      <c r="C55" s="2" t="s">
        <v>35</v>
      </c>
      <c r="D55" s="2" t="s">
        <v>162</v>
      </c>
      <c r="E55" s="2" t="s">
        <v>163</v>
      </c>
      <c r="F55" s="3">
        <v>0</v>
      </c>
      <c r="G55" s="3">
        <v>1000000</v>
      </c>
      <c r="H55" s="3">
        <v>0</v>
      </c>
      <c r="I55" s="3">
        <v>0</v>
      </c>
      <c r="J55" s="3">
        <v>0</v>
      </c>
      <c r="K55" s="3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</row>
    <row r="56" spans="1:25" ht="19.5" customHeight="1" x14ac:dyDescent="0.25">
      <c r="A56" s="2" t="s">
        <v>123</v>
      </c>
      <c r="B56" s="2" t="s">
        <v>16</v>
      </c>
      <c r="C56" s="2" t="s">
        <v>164</v>
      </c>
      <c r="D56" s="2" t="s">
        <v>165</v>
      </c>
      <c r="E56" s="2" t="s">
        <v>166</v>
      </c>
      <c r="F56" s="3">
        <v>4903262.05</v>
      </c>
      <c r="G56" s="3">
        <v>2400000</v>
      </c>
      <c r="H56" s="3">
        <v>4700000</v>
      </c>
      <c r="I56" s="3">
        <v>4700000</v>
      </c>
      <c r="J56" s="3">
        <v>4700000</v>
      </c>
      <c r="K56" s="3">
        <v>4700000</v>
      </c>
      <c r="L56" s="4">
        <v>4700000</v>
      </c>
      <c r="M56" s="4">
        <v>4700000</v>
      </c>
      <c r="N56" s="4">
        <v>4700000</v>
      </c>
      <c r="O56" s="4">
        <v>4700000</v>
      </c>
      <c r="P56" s="4">
        <v>4700000</v>
      </c>
      <c r="Q56" s="4">
        <v>4700000</v>
      </c>
      <c r="R56" s="4">
        <v>4700000</v>
      </c>
      <c r="S56" s="4">
        <v>4700000</v>
      </c>
      <c r="T56" s="4">
        <v>4700000</v>
      </c>
      <c r="U56" s="4">
        <v>4700000</v>
      </c>
      <c r="V56" s="4">
        <v>4700000</v>
      </c>
      <c r="W56" s="4">
        <v>4700000</v>
      </c>
      <c r="X56" s="4">
        <v>4700000</v>
      </c>
      <c r="Y56" s="4">
        <v>4700000</v>
      </c>
    </row>
    <row r="57" spans="1:25" ht="19.5" customHeight="1" x14ac:dyDescent="0.25">
      <c r="A57" s="2" t="s">
        <v>123</v>
      </c>
      <c r="B57" s="2" t="s">
        <v>16</v>
      </c>
      <c r="C57" s="2" t="s">
        <v>167</v>
      </c>
      <c r="D57" s="2" t="s">
        <v>168</v>
      </c>
      <c r="E57" s="2" t="s">
        <v>169</v>
      </c>
      <c r="F57" s="3">
        <v>82419.28</v>
      </c>
      <c r="G57" s="3">
        <v>225000</v>
      </c>
      <c r="H57" s="3">
        <v>0</v>
      </c>
      <c r="I57" s="3">
        <v>0</v>
      </c>
      <c r="J57" s="3">
        <v>0</v>
      </c>
      <c r="K57" s="3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</row>
    <row r="58" spans="1:25" ht="19.5" customHeight="1" x14ac:dyDescent="0.25">
      <c r="A58" s="2" t="s">
        <v>123</v>
      </c>
      <c r="B58" s="2" t="s">
        <v>16</v>
      </c>
      <c r="C58" s="2" t="s">
        <v>170</v>
      </c>
      <c r="D58" s="2" t="s">
        <v>171</v>
      </c>
      <c r="E58" s="2" t="s">
        <v>172</v>
      </c>
      <c r="F58" s="3">
        <v>46052</v>
      </c>
      <c r="G58" s="3">
        <v>100000</v>
      </c>
      <c r="H58" s="3">
        <v>100000</v>
      </c>
      <c r="I58" s="3">
        <v>100000</v>
      </c>
      <c r="J58" s="3">
        <v>100000</v>
      </c>
      <c r="K58" s="3">
        <v>100000</v>
      </c>
      <c r="L58" s="4">
        <v>100000</v>
      </c>
      <c r="M58" s="4">
        <v>100000</v>
      </c>
      <c r="N58" s="4">
        <v>100000</v>
      </c>
      <c r="O58" s="4">
        <v>100000</v>
      </c>
      <c r="P58" s="4">
        <v>100000</v>
      </c>
      <c r="Q58" s="4">
        <v>100000</v>
      </c>
      <c r="R58" s="4">
        <v>100000</v>
      </c>
      <c r="S58" s="4">
        <v>100000</v>
      </c>
      <c r="T58" s="4">
        <v>100000</v>
      </c>
      <c r="U58" s="4">
        <v>100000</v>
      </c>
      <c r="V58" s="4">
        <v>100000</v>
      </c>
      <c r="W58" s="4">
        <v>100000</v>
      </c>
      <c r="X58" s="4">
        <v>100000</v>
      </c>
      <c r="Y58" s="4">
        <v>100000</v>
      </c>
    </row>
    <row r="59" spans="1:25" ht="19.5" customHeight="1" x14ac:dyDescent="0.25">
      <c r="A59" s="2" t="s">
        <v>123</v>
      </c>
      <c r="B59" s="2" t="s">
        <v>16</v>
      </c>
      <c r="C59" s="2" t="s">
        <v>173</v>
      </c>
      <c r="D59" s="8" t="s">
        <v>174</v>
      </c>
      <c r="E59" s="2" t="s">
        <v>175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4">
        <v>15000000</v>
      </c>
      <c r="M59" s="4">
        <v>0</v>
      </c>
      <c r="N59" s="4">
        <v>15000000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</row>
    <row r="60" spans="1:25" ht="19.5" customHeight="1" x14ac:dyDescent="0.25">
      <c r="A60" s="2" t="s">
        <v>123</v>
      </c>
      <c r="B60" s="2" t="s">
        <v>16</v>
      </c>
      <c r="C60" s="2" t="s">
        <v>176</v>
      </c>
      <c r="D60" s="2" t="s">
        <v>177</v>
      </c>
      <c r="E60" s="2" t="s">
        <v>178</v>
      </c>
      <c r="F60" s="3">
        <v>7956926.4500000002</v>
      </c>
      <c r="G60" s="3">
        <v>8206607</v>
      </c>
      <c r="H60" s="3">
        <v>9276000</v>
      </c>
      <c r="I60" s="3">
        <v>9276000</v>
      </c>
      <c r="J60" s="3">
        <v>9276000</v>
      </c>
      <c r="K60" s="3">
        <v>9276000</v>
      </c>
      <c r="L60" s="4">
        <v>9276000</v>
      </c>
      <c r="M60" s="4">
        <v>9276000</v>
      </c>
      <c r="N60" s="4">
        <v>9276000</v>
      </c>
      <c r="O60" s="4">
        <v>9276000</v>
      </c>
      <c r="P60" s="4">
        <v>9276000</v>
      </c>
      <c r="Q60" s="4">
        <v>9276000</v>
      </c>
      <c r="R60" s="4">
        <v>9276000</v>
      </c>
      <c r="S60" s="4">
        <v>9276000</v>
      </c>
      <c r="T60" s="4">
        <v>9276000</v>
      </c>
      <c r="U60" s="4">
        <v>9276000</v>
      </c>
      <c r="V60" s="4">
        <v>9276000</v>
      </c>
      <c r="W60" s="4">
        <v>9276000</v>
      </c>
      <c r="X60" s="4">
        <v>9276000</v>
      </c>
      <c r="Y60" s="4">
        <v>9276000</v>
      </c>
    </row>
    <row r="61" spans="1:25" ht="19.5" customHeight="1" x14ac:dyDescent="0.25">
      <c r="A61" s="2" t="s">
        <v>123</v>
      </c>
      <c r="B61" s="2" t="s">
        <v>16</v>
      </c>
      <c r="C61" s="2" t="s">
        <v>179</v>
      </c>
      <c r="D61" s="2" t="s">
        <v>180</v>
      </c>
      <c r="E61" s="2" t="s">
        <v>181</v>
      </c>
      <c r="F61" s="3">
        <v>261895.64</v>
      </c>
      <c r="G61" s="3">
        <v>328728</v>
      </c>
      <c r="H61" s="3">
        <v>328728</v>
      </c>
      <c r="I61" s="3">
        <v>328728</v>
      </c>
      <c r="J61" s="3">
        <v>328728</v>
      </c>
      <c r="K61" s="3">
        <v>328728</v>
      </c>
      <c r="L61" s="4">
        <v>328728</v>
      </c>
      <c r="M61" s="4">
        <v>328728</v>
      </c>
      <c r="N61" s="4">
        <v>328728</v>
      </c>
      <c r="O61" s="4">
        <v>328728</v>
      </c>
      <c r="P61" s="4">
        <v>328728</v>
      </c>
      <c r="Q61" s="4">
        <v>328728</v>
      </c>
      <c r="R61" s="4">
        <v>328728</v>
      </c>
      <c r="S61" s="4">
        <v>328728</v>
      </c>
      <c r="T61" s="4">
        <v>328728</v>
      </c>
      <c r="U61" s="4">
        <v>328728</v>
      </c>
      <c r="V61" s="4">
        <v>328728</v>
      </c>
      <c r="W61" s="4">
        <v>328728</v>
      </c>
      <c r="X61" s="4">
        <v>328728</v>
      </c>
      <c r="Y61" s="4">
        <v>328728</v>
      </c>
    </row>
    <row r="62" spans="1:25" ht="19.5" customHeight="1" x14ac:dyDescent="0.25">
      <c r="A62" s="2" t="s">
        <v>123</v>
      </c>
      <c r="B62" s="2" t="s">
        <v>16</v>
      </c>
      <c r="C62" s="2" t="s">
        <v>182</v>
      </c>
      <c r="D62" s="2" t="s">
        <v>183</v>
      </c>
      <c r="E62" s="2" t="s">
        <v>184</v>
      </c>
      <c r="F62" s="3">
        <v>1096002.8400000001</v>
      </c>
      <c r="G62" s="3">
        <v>2000000</v>
      </c>
      <c r="H62" s="3">
        <v>2650000</v>
      </c>
      <c r="I62" s="3">
        <v>2650000</v>
      </c>
      <c r="J62" s="3">
        <v>2650000</v>
      </c>
      <c r="K62" s="3">
        <v>2650000</v>
      </c>
      <c r="L62" s="4">
        <v>2650000</v>
      </c>
      <c r="M62" s="4">
        <v>2650000</v>
      </c>
      <c r="N62" s="4">
        <v>2650000</v>
      </c>
      <c r="O62" s="4">
        <v>2650000</v>
      </c>
      <c r="P62" s="4">
        <v>2650000</v>
      </c>
      <c r="Q62" s="4">
        <v>2650000</v>
      </c>
      <c r="R62" s="4">
        <v>2650000</v>
      </c>
      <c r="S62" s="4">
        <v>2650000</v>
      </c>
      <c r="T62" s="4">
        <v>2650000</v>
      </c>
      <c r="U62" s="4">
        <v>2650000</v>
      </c>
      <c r="V62" s="4">
        <v>2650000</v>
      </c>
      <c r="W62" s="4">
        <v>2650000</v>
      </c>
      <c r="X62" s="4">
        <v>2650000</v>
      </c>
      <c r="Y62" s="4">
        <v>2650000</v>
      </c>
    </row>
    <row r="63" spans="1:25" ht="19.5" customHeight="1" x14ac:dyDescent="0.25">
      <c r="A63" s="2" t="s">
        <v>123</v>
      </c>
      <c r="B63" s="2" t="s">
        <v>44</v>
      </c>
      <c r="C63" s="2" t="s">
        <v>185</v>
      </c>
      <c r="D63" s="2" t="s">
        <v>186</v>
      </c>
      <c r="E63" s="2" t="s">
        <v>187</v>
      </c>
      <c r="F63" s="3">
        <v>9098615.0399999991</v>
      </c>
      <c r="G63" s="3">
        <v>8961419</v>
      </c>
      <c r="H63" s="3">
        <v>13561582</v>
      </c>
      <c r="I63" s="3">
        <v>13561582</v>
      </c>
      <c r="J63" s="3">
        <v>13561582</v>
      </c>
      <c r="K63" s="3">
        <v>13561582</v>
      </c>
      <c r="L63" s="4">
        <v>13561582</v>
      </c>
      <c r="M63" s="4">
        <v>13561582</v>
      </c>
      <c r="N63" s="4">
        <v>13561582</v>
      </c>
      <c r="O63" s="4">
        <v>13561582</v>
      </c>
      <c r="P63" s="4">
        <v>13561582</v>
      </c>
      <c r="Q63" s="4">
        <v>13561582</v>
      </c>
      <c r="R63" s="4">
        <v>13561582</v>
      </c>
      <c r="S63" s="4">
        <v>13561582</v>
      </c>
      <c r="T63" s="4">
        <v>13561582</v>
      </c>
      <c r="U63" s="4">
        <v>13561582</v>
      </c>
      <c r="V63" s="4">
        <v>13561582</v>
      </c>
      <c r="W63" s="4">
        <v>13561582</v>
      </c>
      <c r="X63" s="4">
        <v>13561582</v>
      </c>
      <c r="Y63" s="4">
        <v>13561582</v>
      </c>
    </row>
    <row r="64" spans="1:25" ht="19.5" customHeight="1" x14ac:dyDescent="0.25">
      <c r="A64" s="2" t="s">
        <v>123</v>
      </c>
      <c r="B64" s="2" t="s">
        <v>44</v>
      </c>
      <c r="C64" s="2" t="s">
        <v>188</v>
      </c>
      <c r="D64" s="2" t="s">
        <v>189</v>
      </c>
      <c r="E64" s="2" t="s">
        <v>190</v>
      </c>
      <c r="F64" s="3">
        <v>106472104.5</v>
      </c>
      <c r="G64" s="4">
        <v>106553897</v>
      </c>
      <c r="H64" s="4">
        <v>90000000</v>
      </c>
      <c r="I64" s="4">
        <v>90000000</v>
      </c>
      <c r="J64" s="4">
        <v>90000000</v>
      </c>
      <c r="K64" s="4">
        <v>90000000</v>
      </c>
      <c r="L64" s="4">
        <v>90000000</v>
      </c>
      <c r="M64" s="4">
        <v>90000000</v>
      </c>
      <c r="N64" s="4">
        <v>90000000</v>
      </c>
      <c r="O64" s="4">
        <v>90000000</v>
      </c>
      <c r="P64" s="4">
        <v>90000000</v>
      </c>
      <c r="Q64" s="4">
        <v>90000000</v>
      </c>
      <c r="R64" s="4">
        <v>90000000</v>
      </c>
      <c r="S64" s="4">
        <v>90000000</v>
      </c>
      <c r="T64" s="4">
        <v>90000000</v>
      </c>
      <c r="U64" s="4">
        <v>90000000</v>
      </c>
      <c r="V64" s="4">
        <v>90000000</v>
      </c>
      <c r="W64" s="4">
        <v>90000000</v>
      </c>
      <c r="X64" s="4">
        <v>90000000</v>
      </c>
      <c r="Y64" s="4">
        <v>90000000</v>
      </c>
    </row>
    <row r="65" spans="1:25" ht="19.5" customHeight="1" x14ac:dyDescent="0.25">
      <c r="A65" s="2" t="s">
        <v>123</v>
      </c>
      <c r="B65" s="2" t="s">
        <v>44</v>
      </c>
      <c r="C65" s="2" t="s">
        <v>191</v>
      </c>
      <c r="D65" s="2" t="s">
        <v>192</v>
      </c>
      <c r="E65" s="2" t="s">
        <v>193</v>
      </c>
      <c r="F65" s="3">
        <v>1693668.35</v>
      </c>
      <c r="G65" s="3">
        <v>4020999</v>
      </c>
      <c r="H65" s="3">
        <v>4020999</v>
      </c>
      <c r="I65" s="3">
        <v>4020999</v>
      </c>
      <c r="J65" s="3">
        <v>4020999</v>
      </c>
      <c r="K65" s="3">
        <v>4020999</v>
      </c>
      <c r="L65" s="4">
        <v>4020999</v>
      </c>
      <c r="M65" s="4">
        <v>4020999</v>
      </c>
      <c r="N65" s="4">
        <v>4020999</v>
      </c>
      <c r="O65" s="4">
        <v>4020999</v>
      </c>
      <c r="P65" s="4">
        <v>4020999</v>
      </c>
      <c r="Q65" s="4">
        <v>4020999</v>
      </c>
      <c r="R65" s="4">
        <v>4020999</v>
      </c>
      <c r="S65" s="4">
        <v>4020999</v>
      </c>
      <c r="T65" s="4">
        <v>4020999</v>
      </c>
      <c r="U65" s="4">
        <v>4020999</v>
      </c>
      <c r="V65" s="4">
        <v>4020999</v>
      </c>
      <c r="W65" s="4">
        <v>4020999</v>
      </c>
      <c r="X65" s="4">
        <v>4020999</v>
      </c>
      <c r="Y65" s="4">
        <v>4020999</v>
      </c>
    </row>
    <row r="66" spans="1:25" ht="19.5" customHeight="1" x14ac:dyDescent="0.25">
      <c r="A66" s="2" t="s">
        <v>123</v>
      </c>
      <c r="B66" s="2" t="s">
        <v>44</v>
      </c>
      <c r="C66" s="2" t="s">
        <v>194</v>
      </c>
      <c r="D66" s="2" t="s">
        <v>195</v>
      </c>
      <c r="E66" s="2" t="s">
        <v>196</v>
      </c>
      <c r="F66" s="3">
        <v>4181897.26</v>
      </c>
      <c r="G66" s="3">
        <v>5000000</v>
      </c>
      <c r="H66" s="3">
        <v>5000000</v>
      </c>
      <c r="I66" s="3">
        <v>5000000</v>
      </c>
      <c r="J66" s="3">
        <v>5000000</v>
      </c>
      <c r="K66" s="3">
        <v>5000000</v>
      </c>
      <c r="L66" s="4">
        <v>5000000</v>
      </c>
      <c r="M66" s="4">
        <v>5000000</v>
      </c>
      <c r="N66" s="4">
        <v>5000000</v>
      </c>
      <c r="O66" s="4">
        <v>5000000</v>
      </c>
      <c r="P66" s="4">
        <v>5000000</v>
      </c>
      <c r="Q66" s="4">
        <v>5000000</v>
      </c>
      <c r="R66" s="4">
        <v>5000000</v>
      </c>
      <c r="S66" s="4">
        <v>5000000</v>
      </c>
      <c r="T66" s="4">
        <v>5000000</v>
      </c>
      <c r="U66" s="4">
        <v>5000000</v>
      </c>
      <c r="V66" s="4">
        <v>5000000</v>
      </c>
      <c r="W66" s="4">
        <v>5000000</v>
      </c>
      <c r="X66" s="4">
        <v>5000000</v>
      </c>
      <c r="Y66" s="4">
        <v>5000000</v>
      </c>
    </row>
    <row r="67" spans="1:25" ht="19.5" customHeight="1" x14ac:dyDescent="0.25">
      <c r="A67" s="2" t="s">
        <v>123</v>
      </c>
      <c r="B67" s="2" t="s">
        <v>44</v>
      </c>
      <c r="C67" s="2" t="s">
        <v>197</v>
      </c>
      <c r="D67" s="2" t="s">
        <v>198</v>
      </c>
      <c r="E67" s="2" t="s">
        <v>199</v>
      </c>
      <c r="F67" s="3">
        <v>3357212.61</v>
      </c>
      <c r="G67" s="3">
        <v>5299999</v>
      </c>
      <c r="H67" s="3">
        <v>3500000</v>
      </c>
      <c r="I67" s="3">
        <v>3500000</v>
      </c>
      <c r="J67" s="3">
        <v>3500000</v>
      </c>
      <c r="K67" s="3">
        <v>3500000</v>
      </c>
      <c r="L67" s="4">
        <v>3500000</v>
      </c>
      <c r="M67" s="4">
        <v>3500000</v>
      </c>
      <c r="N67" s="4">
        <v>3500000</v>
      </c>
      <c r="O67" s="4">
        <v>3500000</v>
      </c>
      <c r="P67" s="4">
        <v>3500000</v>
      </c>
      <c r="Q67" s="4">
        <v>3500000</v>
      </c>
      <c r="R67" s="4">
        <v>3500000</v>
      </c>
      <c r="S67" s="4">
        <v>3500000</v>
      </c>
      <c r="T67" s="4">
        <v>3500000</v>
      </c>
      <c r="U67" s="4">
        <v>3500000</v>
      </c>
      <c r="V67" s="4">
        <v>3500000</v>
      </c>
      <c r="W67" s="4">
        <v>3500000</v>
      </c>
      <c r="X67" s="4">
        <v>3500000</v>
      </c>
      <c r="Y67" s="4">
        <v>3500000</v>
      </c>
    </row>
    <row r="68" spans="1:25" ht="19.5" customHeight="1" x14ac:dyDescent="0.25">
      <c r="A68" s="2" t="s">
        <v>123</v>
      </c>
      <c r="B68" s="2" t="s">
        <v>54</v>
      </c>
      <c r="C68" s="2" t="s">
        <v>54</v>
      </c>
      <c r="D68" s="2" t="s">
        <v>200</v>
      </c>
      <c r="E68" s="2" t="s">
        <v>22</v>
      </c>
      <c r="F68" s="3">
        <v>61765488.530000001</v>
      </c>
      <c r="G68" s="3">
        <v>62958461</v>
      </c>
      <c r="H68" s="3">
        <v>63100000</v>
      </c>
      <c r="I68" s="3">
        <v>63930000</v>
      </c>
      <c r="J68" s="3">
        <v>67000000</v>
      </c>
      <c r="K68" s="3">
        <v>67830000</v>
      </c>
      <c r="L68" s="4">
        <v>67000000</v>
      </c>
      <c r="M68" s="4">
        <v>67830000</v>
      </c>
      <c r="N68" s="4">
        <v>67000000</v>
      </c>
      <c r="O68" s="4">
        <v>67830000</v>
      </c>
      <c r="P68" s="4">
        <v>67000000</v>
      </c>
      <c r="Q68" s="4">
        <v>67830000</v>
      </c>
      <c r="R68" s="4">
        <v>70800000</v>
      </c>
      <c r="S68" s="4">
        <v>71630000</v>
      </c>
      <c r="T68" s="4">
        <v>70800000</v>
      </c>
      <c r="U68" s="4">
        <v>71630000</v>
      </c>
      <c r="V68" s="4">
        <v>70800000</v>
      </c>
      <c r="W68" s="4">
        <v>71630000</v>
      </c>
      <c r="X68" s="4">
        <v>70800000</v>
      </c>
      <c r="Y68" s="4">
        <v>71630000</v>
      </c>
    </row>
    <row r="69" spans="1:25" ht="19.5" customHeight="1" x14ac:dyDescent="0.25">
      <c r="A69" s="2" t="s">
        <v>123</v>
      </c>
      <c r="B69" s="2" t="s">
        <v>54</v>
      </c>
      <c r="C69" s="2" t="s">
        <v>54</v>
      </c>
      <c r="D69" s="2" t="s">
        <v>201</v>
      </c>
      <c r="E69" s="2" t="s">
        <v>202</v>
      </c>
      <c r="F69" s="3">
        <v>68950</v>
      </c>
      <c r="G69" s="3">
        <v>68950</v>
      </c>
      <c r="H69" s="3">
        <v>68950</v>
      </c>
      <c r="I69" s="3">
        <v>68950</v>
      </c>
      <c r="J69" s="3">
        <v>68950</v>
      </c>
      <c r="K69" s="3">
        <v>68950</v>
      </c>
      <c r="L69" s="4">
        <v>68950</v>
      </c>
      <c r="M69" s="4">
        <v>68950</v>
      </c>
      <c r="N69" s="4">
        <v>68950</v>
      </c>
      <c r="O69" s="4">
        <v>68950</v>
      </c>
      <c r="P69" s="4">
        <v>68950</v>
      </c>
      <c r="Q69" s="4">
        <v>68950</v>
      </c>
      <c r="R69" s="4">
        <v>68950</v>
      </c>
      <c r="S69" s="4">
        <v>68950</v>
      </c>
      <c r="T69" s="4">
        <v>68950</v>
      </c>
      <c r="U69" s="4">
        <v>68950</v>
      </c>
      <c r="V69" s="4">
        <v>68950</v>
      </c>
      <c r="W69" s="4">
        <v>68950</v>
      </c>
      <c r="X69" s="4">
        <v>68950</v>
      </c>
      <c r="Y69" s="4">
        <v>68950</v>
      </c>
    </row>
    <row r="70" spans="1:25" ht="19.5" customHeight="1" x14ac:dyDescent="0.25">
      <c r="A70" s="2" t="s">
        <v>123</v>
      </c>
      <c r="B70" s="2" t="s">
        <v>54</v>
      </c>
      <c r="C70" s="2" t="s">
        <v>54</v>
      </c>
      <c r="D70" s="2" t="s">
        <v>203</v>
      </c>
      <c r="E70" s="2" t="s">
        <v>204</v>
      </c>
      <c r="F70" s="3">
        <v>2513288.41</v>
      </c>
      <c r="G70" s="3">
        <v>2513600</v>
      </c>
      <c r="H70" s="3">
        <v>2525000</v>
      </c>
      <c r="I70" s="3">
        <v>2520000</v>
      </c>
      <c r="J70" s="3">
        <v>2525000</v>
      </c>
      <c r="K70" s="3">
        <v>2520000</v>
      </c>
      <c r="L70" s="4">
        <v>2525000</v>
      </c>
      <c r="M70" s="4">
        <v>2520000</v>
      </c>
      <c r="N70" s="4">
        <v>2525000</v>
      </c>
      <c r="O70" s="4">
        <v>2520000</v>
      </c>
      <c r="P70" s="4">
        <v>2525000</v>
      </c>
      <c r="Q70" s="4">
        <v>2520000</v>
      </c>
      <c r="R70" s="4">
        <v>2525000</v>
      </c>
      <c r="S70" s="4">
        <v>2520000</v>
      </c>
      <c r="T70" s="4">
        <v>2525000</v>
      </c>
      <c r="U70" s="4">
        <v>2520000</v>
      </c>
      <c r="V70" s="4">
        <v>2525000</v>
      </c>
      <c r="W70" s="4">
        <v>2520000</v>
      </c>
      <c r="X70" s="4">
        <v>2525000</v>
      </c>
      <c r="Y70" s="4">
        <v>2520000</v>
      </c>
    </row>
    <row r="71" spans="1:25" ht="19.5" customHeight="1" x14ac:dyDescent="0.25">
      <c r="A71" s="2" t="s">
        <v>123</v>
      </c>
      <c r="B71" s="2" t="s">
        <v>54</v>
      </c>
      <c r="C71" s="2" t="s">
        <v>54</v>
      </c>
      <c r="D71" s="2" t="s">
        <v>205</v>
      </c>
      <c r="E71" s="2" t="s">
        <v>206</v>
      </c>
      <c r="F71" s="3">
        <v>966750</v>
      </c>
      <c r="G71" s="3">
        <v>1000554</v>
      </c>
      <c r="H71" s="3">
        <v>1024983</v>
      </c>
      <c r="I71" s="3">
        <v>1043558</v>
      </c>
      <c r="J71" s="3">
        <v>1024983</v>
      </c>
      <c r="K71" s="3">
        <v>1043558</v>
      </c>
      <c r="L71" s="4">
        <v>1024983</v>
      </c>
      <c r="M71" s="4">
        <v>1043558</v>
      </c>
      <c r="N71" s="4">
        <v>1024983</v>
      </c>
      <c r="O71" s="4">
        <v>1043558</v>
      </c>
      <c r="P71" s="4">
        <v>1024983</v>
      </c>
      <c r="Q71" s="4">
        <v>1043558</v>
      </c>
      <c r="R71" s="4">
        <v>1024983</v>
      </c>
      <c r="S71" s="4">
        <v>1043558</v>
      </c>
      <c r="T71" s="4">
        <v>1024983</v>
      </c>
      <c r="U71" s="4">
        <v>1043558</v>
      </c>
      <c r="V71" s="4">
        <v>1024983</v>
      </c>
      <c r="W71" s="4">
        <v>1043558</v>
      </c>
      <c r="X71" s="4">
        <v>1024983</v>
      </c>
      <c r="Y71" s="4">
        <v>1043558</v>
      </c>
    </row>
    <row r="72" spans="1:25" ht="19.5" customHeight="1" x14ac:dyDescent="0.25">
      <c r="A72" s="2" t="s">
        <v>123</v>
      </c>
      <c r="B72" s="2" t="s">
        <v>54</v>
      </c>
      <c r="C72" s="2" t="s">
        <v>54</v>
      </c>
      <c r="D72" s="2" t="s">
        <v>207</v>
      </c>
      <c r="E72" s="2" t="s">
        <v>208</v>
      </c>
      <c r="F72" s="3">
        <v>1238437</v>
      </c>
      <c r="G72" s="3">
        <v>1278630</v>
      </c>
      <c r="H72" s="3">
        <v>1317602</v>
      </c>
      <c r="I72" s="3">
        <v>1340208</v>
      </c>
      <c r="J72" s="3">
        <v>1317602</v>
      </c>
      <c r="K72" s="3">
        <v>1340208</v>
      </c>
      <c r="L72" s="4">
        <v>1317602</v>
      </c>
      <c r="M72" s="4">
        <v>1340208</v>
      </c>
      <c r="N72" s="4">
        <v>1317602</v>
      </c>
      <c r="O72" s="4">
        <v>1340208</v>
      </c>
      <c r="P72" s="4">
        <v>1317602</v>
      </c>
      <c r="Q72" s="4">
        <v>1340208</v>
      </c>
      <c r="R72" s="4">
        <v>1317602</v>
      </c>
      <c r="S72" s="4">
        <v>1340208</v>
      </c>
      <c r="T72" s="4">
        <v>1317602</v>
      </c>
      <c r="U72" s="4">
        <v>1340208</v>
      </c>
      <c r="V72" s="4">
        <v>1317602</v>
      </c>
      <c r="W72" s="4">
        <v>1340208</v>
      </c>
      <c r="X72" s="4">
        <v>1317602</v>
      </c>
      <c r="Y72" s="4">
        <v>1340208</v>
      </c>
    </row>
    <row r="73" spans="1:25" ht="19.5" customHeight="1" x14ac:dyDescent="0.25">
      <c r="A73" s="2" t="s">
        <v>123</v>
      </c>
      <c r="B73" s="2" t="s">
        <v>54</v>
      </c>
      <c r="C73" s="2" t="s">
        <v>54</v>
      </c>
      <c r="D73" s="2" t="s">
        <v>209</v>
      </c>
      <c r="E73" s="2" t="s">
        <v>210</v>
      </c>
      <c r="F73" s="3">
        <v>961667.6</v>
      </c>
      <c r="G73" s="3">
        <v>1250000</v>
      </c>
      <c r="H73" s="3">
        <v>1500000</v>
      </c>
      <c r="I73" s="3">
        <v>1500000</v>
      </c>
      <c r="J73" s="3">
        <v>1500000</v>
      </c>
      <c r="K73" s="3">
        <v>1500000</v>
      </c>
      <c r="L73" s="4">
        <v>1500000</v>
      </c>
      <c r="M73" s="4">
        <v>1500000</v>
      </c>
      <c r="N73" s="4">
        <v>1500000</v>
      </c>
      <c r="O73" s="4">
        <v>1500000</v>
      </c>
      <c r="P73" s="4">
        <v>1500000</v>
      </c>
      <c r="Q73" s="4">
        <v>1500000</v>
      </c>
      <c r="R73" s="4">
        <v>1500000</v>
      </c>
      <c r="S73" s="4">
        <v>1500000</v>
      </c>
      <c r="T73" s="4">
        <v>1500000</v>
      </c>
      <c r="U73" s="4">
        <v>1500000</v>
      </c>
      <c r="V73" s="4">
        <v>1500000</v>
      </c>
      <c r="W73" s="4">
        <v>1500000</v>
      </c>
      <c r="X73" s="4">
        <v>1500000</v>
      </c>
      <c r="Y73" s="4">
        <v>1500000</v>
      </c>
    </row>
    <row r="74" spans="1:25" ht="19.5" customHeight="1" x14ac:dyDescent="0.25">
      <c r="A74" s="2" t="s">
        <v>123</v>
      </c>
      <c r="B74" s="2" t="s">
        <v>54</v>
      </c>
      <c r="C74" s="2" t="s">
        <v>54</v>
      </c>
      <c r="D74" s="2" t="s">
        <v>211</v>
      </c>
      <c r="E74" s="2" t="s">
        <v>212</v>
      </c>
      <c r="F74" s="3">
        <v>707105.86</v>
      </c>
      <c r="G74" s="3">
        <v>0</v>
      </c>
      <c r="H74" s="3">
        <v>964100</v>
      </c>
      <c r="I74" s="3">
        <v>964100</v>
      </c>
      <c r="J74" s="3">
        <v>964100</v>
      </c>
      <c r="K74" s="3">
        <v>964100</v>
      </c>
      <c r="L74" s="4">
        <v>964100</v>
      </c>
      <c r="M74" s="4">
        <v>964100</v>
      </c>
      <c r="N74" s="4">
        <v>964100</v>
      </c>
      <c r="O74" s="4">
        <v>964100</v>
      </c>
      <c r="P74" s="4">
        <v>964100</v>
      </c>
      <c r="Q74" s="4">
        <v>964100</v>
      </c>
      <c r="R74" s="4">
        <v>964100</v>
      </c>
      <c r="S74" s="4">
        <v>964100</v>
      </c>
      <c r="T74" s="4">
        <v>964100</v>
      </c>
      <c r="U74" s="4">
        <v>964100</v>
      </c>
      <c r="V74" s="4">
        <v>964100</v>
      </c>
      <c r="W74" s="4">
        <v>964100</v>
      </c>
      <c r="X74" s="4">
        <v>964100</v>
      </c>
      <c r="Y74" s="4">
        <v>964100</v>
      </c>
    </row>
    <row r="75" spans="1:25" ht="19.5" customHeight="1" x14ac:dyDescent="0.25">
      <c r="A75" s="2" t="s">
        <v>123</v>
      </c>
      <c r="B75" s="2" t="s">
        <v>54</v>
      </c>
      <c r="C75" s="2" t="s">
        <v>54</v>
      </c>
      <c r="D75" s="2" t="s">
        <v>213</v>
      </c>
      <c r="E75" s="2" t="s">
        <v>214</v>
      </c>
      <c r="F75" s="3">
        <v>437458.9</v>
      </c>
      <c r="G75" s="3">
        <v>500000</v>
      </c>
      <c r="H75" s="3">
        <v>500000</v>
      </c>
      <c r="I75" s="3">
        <v>500000</v>
      </c>
      <c r="J75" s="3">
        <v>500000</v>
      </c>
      <c r="K75" s="3">
        <v>500000</v>
      </c>
      <c r="L75" s="4">
        <v>500000</v>
      </c>
      <c r="M75" s="4">
        <v>500000</v>
      </c>
      <c r="N75" s="4">
        <v>500000</v>
      </c>
      <c r="O75" s="4">
        <v>500000</v>
      </c>
      <c r="P75" s="4">
        <v>500000</v>
      </c>
      <c r="Q75" s="4">
        <v>500000</v>
      </c>
      <c r="R75" s="4">
        <v>500000</v>
      </c>
      <c r="S75" s="4">
        <v>500000</v>
      </c>
      <c r="T75" s="4">
        <v>500000</v>
      </c>
      <c r="U75" s="4">
        <v>500000</v>
      </c>
      <c r="V75" s="4">
        <v>500000</v>
      </c>
      <c r="W75" s="4">
        <v>500000</v>
      </c>
      <c r="X75" s="4">
        <v>500000</v>
      </c>
      <c r="Y75" s="4">
        <v>500000</v>
      </c>
    </row>
    <row r="76" spans="1:25" ht="19.5" customHeight="1" x14ac:dyDescent="0.25">
      <c r="A76" s="6" t="s">
        <v>123</v>
      </c>
      <c r="B76" s="6" t="s">
        <v>54</v>
      </c>
      <c r="C76" s="6" t="s">
        <v>54</v>
      </c>
      <c r="D76" s="7" t="s">
        <v>215</v>
      </c>
      <c r="E76" s="6" t="s">
        <v>216</v>
      </c>
      <c r="F76" s="4">
        <v>0</v>
      </c>
      <c r="G76" s="4">
        <v>0</v>
      </c>
      <c r="H76" s="4">
        <v>0</v>
      </c>
      <c r="I76" s="4">
        <v>0</v>
      </c>
      <c r="J76" s="4">
        <v>1000000</v>
      </c>
      <c r="K76" s="4">
        <v>400000</v>
      </c>
      <c r="L76" s="4">
        <v>1000000</v>
      </c>
      <c r="M76" s="4">
        <v>400000</v>
      </c>
      <c r="N76" s="4">
        <v>1000000</v>
      </c>
      <c r="O76" s="4">
        <v>400000</v>
      </c>
      <c r="P76" s="4">
        <v>0</v>
      </c>
      <c r="Q76" s="4">
        <v>0</v>
      </c>
      <c r="R76" s="4">
        <v>1000000</v>
      </c>
      <c r="S76" s="4">
        <v>400000</v>
      </c>
      <c r="T76" s="4">
        <v>1000000</v>
      </c>
      <c r="U76" s="4">
        <v>400000</v>
      </c>
      <c r="V76" s="4">
        <v>1000000</v>
      </c>
      <c r="W76" s="4">
        <v>400000</v>
      </c>
      <c r="X76" s="4">
        <v>1000000</v>
      </c>
      <c r="Y76" s="4">
        <v>400000</v>
      </c>
    </row>
    <row r="77" spans="1:25" ht="19.5" customHeight="1" x14ac:dyDescent="0.25">
      <c r="A77" s="6" t="s">
        <v>123</v>
      </c>
      <c r="B77" s="6" t="s">
        <v>54</v>
      </c>
      <c r="C77" s="6" t="s">
        <v>54</v>
      </c>
      <c r="D77" s="7" t="s">
        <v>226</v>
      </c>
      <c r="E77" s="6" t="s">
        <v>129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4">
        <v>0</v>
      </c>
      <c r="Q77" s="4">
        <v>0</v>
      </c>
      <c r="R77" s="4">
        <v>2500000</v>
      </c>
      <c r="S77" s="4">
        <v>0</v>
      </c>
      <c r="T77" s="4">
        <v>2500000</v>
      </c>
      <c r="U77" s="4">
        <v>0</v>
      </c>
      <c r="V77" s="4">
        <v>2500000</v>
      </c>
      <c r="W77" s="4">
        <v>0</v>
      </c>
      <c r="X77" s="4">
        <v>2500000</v>
      </c>
      <c r="Y77" s="4">
        <v>0</v>
      </c>
    </row>
    <row r="78" spans="1:25" ht="19.5" customHeight="1" x14ac:dyDescent="0.25">
      <c r="A78" s="2" t="s">
        <v>123</v>
      </c>
      <c r="B78" s="2" t="s">
        <v>54</v>
      </c>
      <c r="C78" s="2" t="s">
        <v>54</v>
      </c>
      <c r="D78" s="2" t="s">
        <v>217</v>
      </c>
      <c r="E78" s="2" t="s">
        <v>218</v>
      </c>
      <c r="F78" s="3">
        <v>4393053.91</v>
      </c>
      <c r="G78" s="3">
        <v>4800000</v>
      </c>
      <c r="H78" s="3">
        <v>4800000</v>
      </c>
      <c r="I78" s="3">
        <v>4800000</v>
      </c>
      <c r="J78" s="3">
        <v>7300000</v>
      </c>
      <c r="K78" s="3">
        <v>7300000</v>
      </c>
      <c r="L78" s="4">
        <v>7300000</v>
      </c>
      <c r="M78" s="4">
        <v>7300000</v>
      </c>
      <c r="N78" s="4">
        <v>7300000</v>
      </c>
      <c r="O78" s="4">
        <v>7300000</v>
      </c>
      <c r="P78" s="4">
        <v>7300000</v>
      </c>
      <c r="Q78" s="4">
        <v>7300000</v>
      </c>
      <c r="R78" s="4">
        <v>10000000</v>
      </c>
      <c r="S78" s="4">
        <v>7300000</v>
      </c>
      <c r="T78" s="4">
        <v>10000000</v>
      </c>
      <c r="U78" s="4">
        <v>7300000</v>
      </c>
      <c r="V78" s="4">
        <v>10000000</v>
      </c>
      <c r="W78" s="4">
        <v>7300000</v>
      </c>
      <c r="X78" s="4">
        <v>10000000</v>
      </c>
      <c r="Y78" s="4">
        <v>7300000</v>
      </c>
    </row>
    <row r="79" spans="1:25" ht="19.5" customHeight="1" x14ac:dyDescent="0.25">
      <c r="A79" s="2" t="s">
        <v>123</v>
      </c>
      <c r="B79" s="2" t="s">
        <v>54</v>
      </c>
      <c r="C79" s="2" t="s">
        <v>54</v>
      </c>
      <c r="D79" s="2" t="s">
        <v>219</v>
      </c>
      <c r="E79" s="2" t="s">
        <v>220</v>
      </c>
      <c r="F79" s="3">
        <v>7220500.6600000001</v>
      </c>
      <c r="G79" s="3">
        <v>8000000</v>
      </c>
      <c r="H79" s="3">
        <v>12000000</v>
      </c>
      <c r="I79" s="3">
        <v>12000000</v>
      </c>
      <c r="J79" s="3">
        <v>12000000</v>
      </c>
      <c r="K79" s="3">
        <v>12000000</v>
      </c>
      <c r="L79" s="4">
        <v>12000000</v>
      </c>
      <c r="M79" s="4">
        <v>12000000</v>
      </c>
      <c r="N79" s="4">
        <v>12000000</v>
      </c>
      <c r="O79" s="4">
        <v>12000000</v>
      </c>
      <c r="P79" s="4">
        <v>8000000</v>
      </c>
      <c r="Q79" s="4">
        <v>8000000</v>
      </c>
      <c r="R79" s="4">
        <v>12000000</v>
      </c>
      <c r="S79" s="4">
        <v>12000000</v>
      </c>
      <c r="T79" s="4">
        <v>12000000</v>
      </c>
      <c r="U79" s="4">
        <v>12000000</v>
      </c>
      <c r="V79" s="4">
        <v>12000000</v>
      </c>
      <c r="W79" s="4">
        <v>12000000</v>
      </c>
      <c r="X79" s="4">
        <v>12000000</v>
      </c>
      <c r="Y79" s="4">
        <v>12000000</v>
      </c>
    </row>
    <row r="80" spans="1:25" ht="19.5" customHeight="1" x14ac:dyDescent="0.25">
      <c r="A80" s="2" t="s">
        <v>123</v>
      </c>
      <c r="B80" s="2" t="s">
        <v>54</v>
      </c>
      <c r="C80" s="2" t="s">
        <v>54</v>
      </c>
      <c r="D80" s="2" t="s">
        <v>221</v>
      </c>
      <c r="E80" s="2" t="s">
        <v>222</v>
      </c>
      <c r="F80" s="3">
        <v>914375</v>
      </c>
      <c r="G80" s="3">
        <v>1000000</v>
      </c>
      <c r="H80" s="3">
        <v>1000000</v>
      </c>
      <c r="I80" s="3">
        <v>1000000</v>
      </c>
      <c r="J80" s="3">
        <v>2525000</v>
      </c>
      <c r="K80" s="3">
        <v>2500000</v>
      </c>
      <c r="L80" s="4">
        <v>2525000</v>
      </c>
      <c r="M80" s="4">
        <v>2500000</v>
      </c>
      <c r="N80" s="4">
        <v>2525000</v>
      </c>
      <c r="O80" s="4">
        <v>2500000</v>
      </c>
      <c r="P80" s="4">
        <v>2525000</v>
      </c>
      <c r="Q80" s="4">
        <v>2500000</v>
      </c>
      <c r="R80" s="4">
        <v>5000000</v>
      </c>
      <c r="S80" s="4">
        <v>2500000</v>
      </c>
      <c r="T80" s="4">
        <v>5000000</v>
      </c>
      <c r="U80" s="4">
        <v>2500000</v>
      </c>
      <c r="V80" s="4">
        <v>5000000</v>
      </c>
      <c r="W80" s="4">
        <v>2500000</v>
      </c>
      <c r="X80" s="4">
        <v>5000000</v>
      </c>
      <c r="Y80" s="4">
        <v>2500000</v>
      </c>
    </row>
    <row r="81" spans="1:25" ht="19.5" customHeight="1" x14ac:dyDescent="0.25">
      <c r="A81" s="2" t="s">
        <v>123</v>
      </c>
      <c r="B81" s="2" t="s">
        <v>54</v>
      </c>
      <c r="C81" s="2" t="s">
        <v>54</v>
      </c>
      <c r="D81" s="2" t="s">
        <v>223</v>
      </c>
      <c r="E81" s="2" t="s">
        <v>224</v>
      </c>
      <c r="F81" s="3">
        <v>216108.4</v>
      </c>
      <c r="G81" s="3">
        <v>783892</v>
      </c>
      <c r="H81" s="3">
        <v>0</v>
      </c>
      <c r="I81" s="3">
        <v>0</v>
      </c>
      <c r="J81" s="3">
        <v>0</v>
      </c>
      <c r="K81" s="3">
        <v>0</v>
      </c>
      <c r="L81" s="4">
        <v>0</v>
      </c>
      <c r="M81" s="4">
        <v>0</v>
      </c>
      <c r="N81" s="4">
        <v>0</v>
      </c>
      <c r="O81" s="4">
        <v>0</v>
      </c>
      <c r="P81" s="4">
        <v>300000</v>
      </c>
      <c r="Q81" s="4">
        <v>0</v>
      </c>
      <c r="R81" s="4">
        <v>300000</v>
      </c>
      <c r="S81" s="4">
        <v>0</v>
      </c>
      <c r="T81" s="4">
        <v>300000</v>
      </c>
      <c r="U81" s="4">
        <v>0</v>
      </c>
      <c r="V81" s="4">
        <v>300000</v>
      </c>
      <c r="W81" s="4">
        <v>0</v>
      </c>
      <c r="X81" s="4">
        <v>300000</v>
      </c>
      <c r="Y81" s="4">
        <v>0</v>
      </c>
    </row>
    <row r="82" spans="1:25" ht="19.5" customHeight="1" x14ac:dyDescent="0.25">
      <c r="A82" s="6" t="s">
        <v>123</v>
      </c>
      <c r="B82" s="6" t="s">
        <v>54</v>
      </c>
      <c r="C82" s="6" t="s">
        <v>54</v>
      </c>
      <c r="D82" s="7" t="s">
        <v>225</v>
      </c>
      <c r="E82" s="6" t="s">
        <v>175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4">
        <v>15000000</v>
      </c>
      <c r="Q82" s="4">
        <v>0</v>
      </c>
      <c r="R82" s="4">
        <v>15000000</v>
      </c>
      <c r="S82" s="4">
        <v>0</v>
      </c>
      <c r="T82" s="4">
        <v>15000000</v>
      </c>
      <c r="U82" s="4">
        <v>0</v>
      </c>
      <c r="V82" s="4">
        <v>15000000</v>
      </c>
      <c r="W82" s="4">
        <v>0</v>
      </c>
      <c r="X82" s="4">
        <v>15000000</v>
      </c>
      <c r="Y82" s="4">
        <v>0</v>
      </c>
    </row>
    <row r="83" spans="1:25" ht="19.5" customHeight="1" x14ac:dyDescent="0.25">
      <c r="A83" s="2" t="s">
        <v>123</v>
      </c>
      <c r="B83" s="2" t="s">
        <v>227</v>
      </c>
      <c r="C83" s="2" t="s">
        <v>228</v>
      </c>
      <c r="D83" s="2" t="s">
        <v>229</v>
      </c>
      <c r="E83" s="2" t="s">
        <v>230</v>
      </c>
      <c r="F83" s="3">
        <v>2052484.62</v>
      </c>
      <c r="G83" s="3">
        <v>4000000</v>
      </c>
      <c r="H83" s="3">
        <v>1000000</v>
      </c>
      <c r="I83" s="3">
        <v>1000000</v>
      </c>
      <c r="J83" s="3">
        <v>1000000</v>
      </c>
      <c r="K83" s="3">
        <v>1000000</v>
      </c>
      <c r="L83" s="4">
        <v>1000000</v>
      </c>
      <c r="M83" s="4">
        <v>1000000</v>
      </c>
      <c r="N83" s="4">
        <v>1000000</v>
      </c>
      <c r="O83" s="4">
        <v>1000000</v>
      </c>
      <c r="P83" s="4">
        <v>1000000</v>
      </c>
      <c r="Q83" s="4">
        <v>1000000</v>
      </c>
      <c r="R83" s="4">
        <v>1000000</v>
      </c>
      <c r="S83" s="4">
        <v>1000000</v>
      </c>
      <c r="T83" s="4">
        <v>1000000</v>
      </c>
      <c r="U83" s="4">
        <v>1000000</v>
      </c>
      <c r="V83" s="4">
        <v>1000000</v>
      </c>
      <c r="W83" s="4">
        <v>1000000</v>
      </c>
      <c r="X83" s="4">
        <v>1000000</v>
      </c>
      <c r="Y83" s="4">
        <v>1000000</v>
      </c>
    </row>
    <row r="84" spans="1:25" ht="19.5" customHeight="1" x14ac:dyDescent="0.25">
      <c r="A84" s="2" t="s">
        <v>123</v>
      </c>
      <c r="B84" s="2" t="s">
        <v>227</v>
      </c>
      <c r="C84" s="2" t="s">
        <v>231</v>
      </c>
      <c r="D84" s="2" t="s">
        <v>232</v>
      </c>
      <c r="E84" s="2" t="s">
        <v>233</v>
      </c>
      <c r="F84" s="3">
        <v>370991.57</v>
      </c>
      <c r="G84" s="3">
        <v>1000000</v>
      </c>
      <c r="H84" s="3">
        <v>1000000</v>
      </c>
      <c r="I84" s="3">
        <v>1000000</v>
      </c>
      <c r="J84" s="3">
        <v>1000000</v>
      </c>
      <c r="K84" s="3">
        <v>1000000</v>
      </c>
      <c r="L84" s="4">
        <v>1000000</v>
      </c>
      <c r="M84" s="4">
        <v>1000000</v>
      </c>
      <c r="N84" s="4">
        <v>1000000</v>
      </c>
      <c r="O84" s="4">
        <v>1000000</v>
      </c>
      <c r="P84" s="4">
        <v>1000000</v>
      </c>
      <c r="Q84" s="4">
        <v>1000000</v>
      </c>
      <c r="R84" s="4">
        <v>1000000</v>
      </c>
      <c r="S84" s="4">
        <v>1000000</v>
      </c>
      <c r="T84" s="4">
        <v>1000000</v>
      </c>
      <c r="U84" s="4">
        <v>1000000</v>
      </c>
      <c r="V84" s="4">
        <v>1000000</v>
      </c>
      <c r="W84" s="4">
        <v>1000000</v>
      </c>
      <c r="X84" s="4">
        <v>1000000</v>
      </c>
      <c r="Y84" s="4">
        <v>1000000</v>
      </c>
    </row>
    <row r="85" spans="1:25" ht="19.5" customHeight="1" x14ac:dyDescent="0.25">
      <c r="A85" s="2" t="s">
        <v>123</v>
      </c>
      <c r="B85" s="2" t="s">
        <v>227</v>
      </c>
      <c r="C85" s="2" t="s">
        <v>234</v>
      </c>
      <c r="D85" s="2" t="s">
        <v>235</v>
      </c>
      <c r="E85" s="2" t="s">
        <v>236</v>
      </c>
      <c r="F85" s="3">
        <v>331457.31</v>
      </c>
      <c r="G85" s="3">
        <v>1000000</v>
      </c>
      <c r="H85" s="3">
        <v>1000000</v>
      </c>
      <c r="I85" s="3">
        <v>1000000</v>
      </c>
      <c r="J85" s="3">
        <v>1000000</v>
      </c>
      <c r="K85" s="3">
        <v>1000000</v>
      </c>
      <c r="L85" s="4">
        <v>1000000</v>
      </c>
      <c r="M85" s="4">
        <v>1000000</v>
      </c>
      <c r="N85" s="4">
        <v>1000000</v>
      </c>
      <c r="O85" s="4">
        <v>1000000</v>
      </c>
      <c r="P85" s="4">
        <v>1000000</v>
      </c>
      <c r="Q85" s="4">
        <v>1000000</v>
      </c>
      <c r="R85" s="4">
        <v>1000000</v>
      </c>
      <c r="S85" s="4">
        <v>1000000</v>
      </c>
      <c r="T85" s="4">
        <v>1000000</v>
      </c>
      <c r="U85" s="4">
        <v>1000000</v>
      </c>
      <c r="V85" s="4">
        <v>1000000</v>
      </c>
      <c r="W85" s="4">
        <v>1000000</v>
      </c>
      <c r="X85" s="4">
        <v>1000000</v>
      </c>
      <c r="Y85" s="4">
        <v>1000000</v>
      </c>
    </row>
    <row r="86" spans="1:25" ht="19.5" customHeight="1" x14ac:dyDescent="0.25">
      <c r="A86" s="2" t="s">
        <v>123</v>
      </c>
      <c r="B86" s="2" t="s">
        <v>227</v>
      </c>
      <c r="C86" s="2" t="s">
        <v>237</v>
      </c>
      <c r="D86" s="2" t="s">
        <v>238</v>
      </c>
      <c r="E86" s="2" t="s">
        <v>239</v>
      </c>
      <c r="F86" s="3">
        <v>31680.14</v>
      </c>
      <c r="G86" s="3">
        <v>225000</v>
      </c>
      <c r="H86" s="3">
        <v>750000</v>
      </c>
      <c r="I86" s="3">
        <v>750000</v>
      </c>
      <c r="J86" s="3">
        <v>750000</v>
      </c>
      <c r="K86" s="3">
        <v>750000</v>
      </c>
      <c r="L86" s="4">
        <v>750000</v>
      </c>
      <c r="M86" s="4">
        <v>750000</v>
      </c>
      <c r="N86" s="4">
        <v>750000</v>
      </c>
      <c r="O86" s="4">
        <v>750000</v>
      </c>
      <c r="P86" s="4">
        <v>750000</v>
      </c>
      <c r="Q86" s="4">
        <v>750000</v>
      </c>
      <c r="R86" s="4">
        <v>750000</v>
      </c>
      <c r="S86" s="4">
        <v>750000</v>
      </c>
      <c r="T86" s="4">
        <v>750000</v>
      </c>
      <c r="U86" s="4">
        <v>750000</v>
      </c>
      <c r="V86" s="4">
        <v>750000</v>
      </c>
      <c r="W86" s="4">
        <v>750000</v>
      </c>
      <c r="X86" s="4">
        <v>750000</v>
      </c>
      <c r="Y86" s="4">
        <v>750000</v>
      </c>
    </row>
    <row r="87" spans="1:25" ht="19.5" customHeight="1" x14ac:dyDescent="0.25">
      <c r="A87" s="2" t="s">
        <v>123</v>
      </c>
      <c r="B87" s="2" t="s">
        <v>227</v>
      </c>
      <c r="C87" s="2" t="s">
        <v>240</v>
      </c>
      <c r="D87" s="2" t="s">
        <v>241</v>
      </c>
      <c r="E87" s="2" t="s">
        <v>242</v>
      </c>
      <c r="F87" s="3">
        <v>3135501.97</v>
      </c>
      <c r="G87" s="3">
        <v>4500000</v>
      </c>
      <c r="H87" s="3">
        <v>4500000</v>
      </c>
      <c r="I87" s="3">
        <v>4500000</v>
      </c>
      <c r="J87" s="3">
        <v>4500000</v>
      </c>
      <c r="K87" s="3">
        <v>4500000</v>
      </c>
      <c r="L87" s="4">
        <v>4500000</v>
      </c>
      <c r="M87" s="4">
        <v>4500000</v>
      </c>
      <c r="N87" s="4">
        <v>4500000</v>
      </c>
      <c r="O87" s="4">
        <v>4500000</v>
      </c>
      <c r="P87" s="4">
        <v>4500000</v>
      </c>
      <c r="Q87" s="4">
        <v>4500000</v>
      </c>
      <c r="R87" s="4">
        <v>4500000</v>
      </c>
      <c r="S87" s="4">
        <v>4500000</v>
      </c>
      <c r="T87" s="4">
        <v>4500000</v>
      </c>
      <c r="U87" s="4">
        <v>4500000</v>
      </c>
      <c r="V87" s="4">
        <v>4500000</v>
      </c>
      <c r="W87" s="4">
        <v>4500000</v>
      </c>
      <c r="X87" s="4">
        <v>4500000</v>
      </c>
      <c r="Y87" s="4">
        <v>4500000</v>
      </c>
    </row>
    <row r="88" spans="1:25" ht="19.5" customHeight="1" x14ac:dyDescent="0.25">
      <c r="A88" s="2" t="s">
        <v>123</v>
      </c>
      <c r="B88" s="2" t="s">
        <v>243</v>
      </c>
      <c r="C88" s="2" t="s">
        <v>244</v>
      </c>
      <c r="D88" s="2" t="s">
        <v>245</v>
      </c>
      <c r="E88" s="2" t="s">
        <v>246</v>
      </c>
      <c r="F88" s="3">
        <v>8081128.2300000004</v>
      </c>
      <c r="G88" s="3">
        <v>8415500</v>
      </c>
      <c r="H88" s="3">
        <v>9115000</v>
      </c>
      <c r="I88" s="3">
        <v>9115000</v>
      </c>
      <c r="J88" s="3">
        <v>9115000</v>
      </c>
      <c r="K88" s="3">
        <v>9115000</v>
      </c>
      <c r="L88" s="4">
        <v>9115000</v>
      </c>
      <c r="M88" s="4">
        <v>9115000</v>
      </c>
      <c r="N88" s="4">
        <v>9115000</v>
      </c>
      <c r="O88" s="4">
        <v>9115000</v>
      </c>
      <c r="P88" s="4">
        <v>9115000</v>
      </c>
      <c r="Q88" s="4">
        <v>9115000</v>
      </c>
      <c r="R88" s="4">
        <v>9115000</v>
      </c>
      <c r="S88" s="4">
        <v>9115000</v>
      </c>
      <c r="T88" s="4">
        <v>9115000</v>
      </c>
      <c r="U88" s="4">
        <v>9115000</v>
      </c>
      <c r="V88" s="4">
        <v>9115000</v>
      </c>
      <c r="W88" s="4">
        <v>9115000</v>
      </c>
      <c r="X88" s="4">
        <v>9115000</v>
      </c>
      <c r="Y88" s="4">
        <v>9115000</v>
      </c>
    </row>
    <row r="89" spans="1:25" ht="19.5" customHeight="1" x14ac:dyDescent="0.25">
      <c r="A89" s="2" t="s">
        <v>247</v>
      </c>
      <c r="B89" s="2" t="s">
        <v>248</v>
      </c>
      <c r="C89" s="2" t="s">
        <v>249</v>
      </c>
      <c r="D89" s="2" t="s">
        <v>250</v>
      </c>
      <c r="E89" s="2" t="s">
        <v>251</v>
      </c>
      <c r="F89" s="3">
        <v>552878.30000000005</v>
      </c>
      <c r="G89" s="3">
        <v>610000</v>
      </c>
      <c r="H89" s="3">
        <v>610000</v>
      </c>
      <c r="I89" s="3">
        <v>610000</v>
      </c>
      <c r="J89" s="3">
        <v>610000</v>
      </c>
      <c r="K89" s="3">
        <v>610000</v>
      </c>
      <c r="L89" s="4">
        <v>610000</v>
      </c>
      <c r="M89" s="4">
        <v>610000</v>
      </c>
      <c r="N89" s="4">
        <v>610000</v>
      </c>
      <c r="O89" s="4">
        <v>610000</v>
      </c>
      <c r="P89" s="4">
        <v>610000</v>
      </c>
      <c r="Q89" s="4">
        <v>610000</v>
      </c>
      <c r="R89" s="4">
        <v>610000</v>
      </c>
      <c r="S89" s="4">
        <v>610000</v>
      </c>
      <c r="T89" s="4">
        <v>610000</v>
      </c>
      <c r="U89" s="4">
        <v>610000</v>
      </c>
      <c r="V89" s="4">
        <v>610000</v>
      </c>
      <c r="W89" s="4">
        <v>610000</v>
      </c>
      <c r="X89" s="4">
        <v>610000</v>
      </c>
      <c r="Y89" s="4">
        <v>610000</v>
      </c>
    </row>
    <row r="90" spans="1:25" ht="19.5" customHeight="1" x14ac:dyDescent="0.25">
      <c r="A90" s="2" t="s">
        <v>247</v>
      </c>
      <c r="B90" s="2" t="s">
        <v>16</v>
      </c>
      <c r="C90" s="2" t="s">
        <v>252</v>
      </c>
      <c r="D90" s="2" t="s">
        <v>253</v>
      </c>
      <c r="E90" s="2" t="s">
        <v>254</v>
      </c>
      <c r="F90" s="3">
        <v>0</v>
      </c>
      <c r="G90" s="3">
        <v>17500</v>
      </c>
      <c r="H90" s="3">
        <v>17500</v>
      </c>
      <c r="I90" s="3">
        <v>17500</v>
      </c>
      <c r="J90" s="3">
        <v>17500</v>
      </c>
      <c r="K90" s="3">
        <v>17500</v>
      </c>
      <c r="L90" s="4">
        <v>17500</v>
      </c>
      <c r="M90" s="4">
        <v>17500</v>
      </c>
      <c r="N90" s="4">
        <v>17500</v>
      </c>
      <c r="O90" s="4">
        <v>17500</v>
      </c>
      <c r="P90" s="4">
        <v>17500</v>
      </c>
      <c r="Q90" s="4">
        <v>17500</v>
      </c>
      <c r="R90" s="4">
        <v>17500</v>
      </c>
      <c r="S90" s="4">
        <v>17500</v>
      </c>
      <c r="T90" s="4">
        <v>17500</v>
      </c>
      <c r="U90" s="4">
        <v>17500</v>
      </c>
      <c r="V90" s="4">
        <v>17500</v>
      </c>
      <c r="W90" s="4">
        <v>17500</v>
      </c>
      <c r="X90" s="4">
        <v>17500</v>
      </c>
      <c r="Y90" s="4">
        <v>17500</v>
      </c>
    </row>
    <row r="91" spans="1:25" ht="19.5" customHeight="1" x14ac:dyDescent="0.25">
      <c r="A91" s="2" t="s">
        <v>247</v>
      </c>
      <c r="B91" s="2" t="s">
        <v>16</v>
      </c>
      <c r="C91" s="2" t="s">
        <v>255</v>
      </c>
      <c r="D91" s="2" t="s">
        <v>256</v>
      </c>
      <c r="E91" s="2" t="s">
        <v>257</v>
      </c>
      <c r="F91" s="3">
        <v>223514.58</v>
      </c>
      <c r="G91" s="3">
        <v>253000</v>
      </c>
      <c r="H91" s="3">
        <v>240000</v>
      </c>
      <c r="I91" s="3">
        <v>240000</v>
      </c>
      <c r="J91" s="3">
        <v>240000</v>
      </c>
      <c r="K91" s="3">
        <v>240000</v>
      </c>
      <c r="L91" s="4">
        <v>240000</v>
      </c>
      <c r="M91" s="4">
        <v>240000</v>
      </c>
      <c r="N91" s="4">
        <v>240000</v>
      </c>
      <c r="O91" s="4">
        <v>240000</v>
      </c>
      <c r="P91" s="4">
        <v>240000</v>
      </c>
      <c r="Q91" s="4">
        <v>240000</v>
      </c>
      <c r="R91" s="4">
        <v>240000</v>
      </c>
      <c r="S91" s="4">
        <v>240000</v>
      </c>
      <c r="T91" s="4">
        <v>240000</v>
      </c>
      <c r="U91" s="4">
        <v>240000</v>
      </c>
      <c r="V91" s="4">
        <v>240000</v>
      </c>
      <c r="W91" s="4">
        <v>240000</v>
      </c>
      <c r="X91" s="4">
        <v>240000</v>
      </c>
      <c r="Y91" s="4">
        <v>240000</v>
      </c>
    </row>
    <row r="92" spans="1:25" ht="19.5" customHeight="1" x14ac:dyDescent="0.25">
      <c r="A92" s="2" t="s">
        <v>247</v>
      </c>
      <c r="B92" s="2" t="s">
        <v>16</v>
      </c>
      <c r="C92" s="2" t="s">
        <v>258</v>
      </c>
      <c r="D92" s="2" t="s">
        <v>259</v>
      </c>
      <c r="E92" s="2" t="s">
        <v>260</v>
      </c>
      <c r="F92" s="3">
        <v>1056710.67</v>
      </c>
      <c r="G92" s="3">
        <v>1550000</v>
      </c>
      <c r="H92" s="3">
        <v>1550000</v>
      </c>
      <c r="I92" s="3">
        <v>1550000</v>
      </c>
      <c r="J92" s="3">
        <v>1550000</v>
      </c>
      <c r="K92" s="3">
        <v>1550000</v>
      </c>
      <c r="L92" s="4">
        <v>1550000</v>
      </c>
      <c r="M92" s="4">
        <v>1550000</v>
      </c>
      <c r="N92" s="4">
        <v>1550000</v>
      </c>
      <c r="O92" s="4">
        <v>1550000</v>
      </c>
      <c r="P92" s="4">
        <v>1550000</v>
      </c>
      <c r="Q92" s="4">
        <v>1550000</v>
      </c>
      <c r="R92" s="4">
        <v>1550000</v>
      </c>
      <c r="S92" s="4">
        <v>1550000</v>
      </c>
      <c r="T92" s="4">
        <v>1550000</v>
      </c>
      <c r="U92" s="4">
        <v>1550000</v>
      </c>
      <c r="V92" s="4">
        <v>1550000</v>
      </c>
      <c r="W92" s="4">
        <v>1550000</v>
      </c>
      <c r="X92" s="4">
        <v>1550000</v>
      </c>
      <c r="Y92" s="4">
        <v>1550000</v>
      </c>
    </row>
    <row r="93" spans="1:25" ht="19.5" customHeight="1" x14ac:dyDescent="0.25">
      <c r="A93" s="2" t="s">
        <v>247</v>
      </c>
      <c r="B93" s="2" t="s">
        <v>16</v>
      </c>
      <c r="C93" s="2" t="s">
        <v>261</v>
      </c>
      <c r="D93" s="2" t="s">
        <v>262</v>
      </c>
      <c r="E93" s="2" t="s">
        <v>263</v>
      </c>
      <c r="F93" s="3">
        <v>246683.8</v>
      </c>
      <c r="G93" s="3">
        <v>500000</v>
      </c>
      <c r="H93" s="3">
        <v>425000</v>
      </c>
      <c r="I93" s="3">
        <v>425000</v>
      </c>
      <c r="J93" s="3">
        <v>425000</v>
      </c>
      <c r="K93" s="3">
        <v>425000</v>
      </c>
      <c r="L93" s="4">
        <v>425000</v>
      </c>
      <c r="M93" s="4">
        <v>425000</v>
      </c>
      <c r="N93" s="4">
        <v>425000</v>
      </c>
      <c r="O93" s="4">
        <v>425000</v>
      </c>
      <c r="P93" s="4">
        <v>425000</v>
      </c>
      <c r="Q93" s="4">
        <v>425000</v>
      </c>
      <c r="R93" s="4">
        <v>425000</v>
      </c>
      <c r="S93" s="4">
        <v>425000</v>
      </c>
      <c r="T93" s="4">
        <v>425000</v>
      </c>
      <c r="U93" s="4">
        <v>425000</v>
      </c>
      <c r="V93" s="4">
        <v>425000</v>
      </c>
      <c r="W93" s="4">
        <v>425000</v>
      </c>
      <c r="X93" s="4">
        <v>425000</v>
      </c>
      <c r="Y93" s="4">
        <v>425000</v>
      </c>
    </row>
    <row r="94" spans="1:25" ht="19.5" customHeight="1" x14ac:dyDescent="0.25">
      <c r="A94" s="2" t="s">
        <v>247</v>
      </c>
      <c r="B94" s="2" t="s">
        <v>16</v>
      </c>
      <c r="C94" s="2" t="s">
        <v>264</v>
      </c>
      <c r="D94" s="2" t="s">
        <v>265</v>
      </c>
      <c r="E94" s="2" t="s">
        <v>266</v>
      </c>
      <c r="F94" s="3">
        <v>2097535.67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</row>
    <row r="95" spans="1:25" ht="19.5" customHeight="1" x14ac:dyDescent="0.25">
      <c r="A95" s="2" t="s">
        <v>247</v>
      </c>
      <c r="B95" s="2" t="s">
        <v>16</v>
      </c>
      <c r="C95" s="2" t="s">
        <v>267</v>
      </c>
      <c r="D95" s="2" t="s">
        <v>268</v>
      </c>
      <c r="E95" s="2" t="s">
        <v>269</v>
      </c>
      <c r="F95" s="3">
        <v>3020370.42</v>
      </c>
      <c r="G95" s="3">
        <v>2426251</v>
      </c>
      <c r="H95" s="3">
        <v>2326251</v>
      </c>
      <c r="I95" s="3">
        <v>2326251</v>
      </c>
      <c r="J95" s="3">
        <v>2326251</v>
      </c>
      <c r="K95" s="3">
        <v>2326251</v>
      </c>
      <c r="L95" s="4">
        <v>2326251</v>
      </c>
      <c r="M95" s="4">
        <v>2326251</v>
      </c>
      <c r="N95" s="4">
        <v>2326251</v>
      </c>
      <c r="O95" s="4">
        <v>2326251</v>
      </c>
      <c r="P95" s="4">
        <v>2326251</v>
      </c>
      <c r="Q95" s="4">
        <v>2326251</v>
      </c>
      <c r="R95" s="4">
        <v>2326251</v>
      </c>
      <c r="S95" s="4">
        <v>2326251</v>
      </c>
      <c r="T95" s="4">
        <v>2326251</v>
      </c>
      <c r="U95" s="4">
        <v>2326251</v>
      </c>
      <c r="V95" s="4">
        <v>2326251</v>
      </c>
      <c r="W95" s="4">
        <v>2326251</v>
      </c>
      <c r="X95" s="4">
        <v>2326251</v>
      </c>
      <c r="Y95" s="4">
        <v>2326251</v>
      </c>
    </row>
    <row r="96" spans="1:25" ht="19.5" customHeight="1" x14ac:dyDescent="0.25">
      <c r="A96" s="2" t="s">
        <v>247</v>
      </c>
      <c r="B96" s="2" t="s">
        <v>16</v>
      </c>
      <c r="C96" s="2" t="s">
        <v>270</v>
      </c>
      <c r="D96" s="2" t="s">
        <v>271</v>
      </c>
      <c r="E96" s="2" t="s">
        <v>272</v>
      </c>
      <c r="F96" s="3">
        <v>18529.78</v>
      </c>
      <c r="G96" s="3">
        <v>50000</v>
      </c>
      <c r="H96" s="3">
        <v>50000</v>
      </c>
      <c r="I96" s="3">
        <v>50000</v>
      </c>
      <c r="J96" s="3">
        <v>50000</v>
      </c>
      <c r="K96" s="3">
        <v>50000</v>
      </c>
      <c r="L96" s="4">
        <v>50000</v>
      </c>
      <c r="M96" s="4">
        <v>50000</v>
      </c>
      <c r="N96" s="4">
        <v>50000</v>
      </c>
      <c r="O96" s="4">
        <v>50000</v>
      </c>
      <c r="P96" s="4">
        <v>50000</v>
      </c>
      <c r="Q96" s="4">
        <v>50000</v>
      </c>
      <c r="R96" s="4">
        <v>50000</v>
      </c>
      <c r="S96" s="4">
        <v>50000</v>
      </c>
      <c r="T96" s="4">
        <v>50000</v>
      </c>
      <c r="U96" s="4">
        <v>50000</v>
      </c>
      <c r="V96" s="4">
        <v>50000</v>
      </c>
      <c r="W96" s="4">
        <v>50000</v>
      </c>
      <c r="X96" s="4">
        <v>50000</v>
      </c>
      <c r="Y96" s="4">
        <v>50000</v>
      </c>
    </row>
    <row r="97" spans="1:25" ht="19.5" customHeight="1" x14ac:dyDescent="0.25">
      <c r="A97" s="2" t="s">
        <v>247</v>
      </c>
      <c r="B97" s="2" t="s">
        <v>16</v>
      </c>
      <c r="C97" s="2" t="s">
        <v>273</v>
      </c>
      <c r="D97" s="2" t="s">
        <v>274</v>
      </c>
      <c r="E97" s="2" t="s">
        <v>275</v>
      </c>
      <c r="F97" s="3">
        <v>83441.070000000007</v>
      </c>
      <c r="G97" s="4">
        <v>101130</v>
      </c>
      <c r="H97" s="4">
        <v>101130</v>
      </c>
      <c r="I97" s="4">
        <v>101130</v>
      </c>
      <c r="J97" s="4">
        <v>101130</v>
      </c>
      <c r="K97" s="4">
        <v>101130</v>
      </c>
      <c r="L97" s="4">
        <v>101130</v>
      </c>
      <c r="M97" s="4">
        <v>101130</v>
      </c>
      <c r="N97" s="4">
        <v>101130</v>
      </c>
      <c r="O97" s="4">
        <v>101130</v>
      </c>
      <c r="P97" s="4">
        <v>101130</v>
      </c>
      <c r="Q97" s="4">
        <v>101130</v>
      </c>
      <c r="R97" s="4">
        <v>101130</v>
      </c>
      <c r="S97" s="4">
        <v>101130</v>
      </c>
      <c r="T97" s="4">
        <v>101130</v>
      </c>
      <c r="U97" s="4">
        <v>101130</v>
      </c>
      <c r="V97" s="4">
        <v>101130</v>
      </c>
      <c r="W97" s="4">
        <v>101130</v>
      </c>
      <c r="X97" s="4">
        <v>101130</v>
      </c>
      <c r="Y97" s="4">
        <v>101130</v>
      </c>
    </row>
    <row r="98" spans="1:25" ht="19.5" customHeight="1" x14ac:dyDescent="0.25">
      <c r="A98" s="2" t="s">
        <v>247</v>
      </c>
      <c r="B98" s="2" t="s">
        <v>16</v>
      </c>
      <c r="C98" s="2" t="s">
        <v>276</v>
      </c>
      <c r="D98" s="2" t="s">
        <v>277</v>
      </c>
      <c r="E98" s="2" t="s">
        <v>278</v>
      </c>
      <c r="F98" s="3">
        <v>963747.01</v>
      </c>
      <c r="G98" s="3">
        <v>1043743</v>
      </c>
      <c r="H98" s="3">
        <v>1071208</v>
      </c>
      <c r="I98" s="3">
        <v>1096240</v>
      </c>
      <c r="J98" s="3">
        <v>1071208</v>
      </c>
      <c r="K98" s="3">
        <v>1096240</v>
      </c>
      <c r="L98" s="4">
        <v>1071208</v>
      </c>
      <c r="M98" s="4">
        <v>1096240</v>
      </c>
      <c r="N98" s="4">
        <v>1071208</v>
      </c>
      <c r="O98" s="4">
        <v>1096240</v>
      </c>
      <c r="P98" s="4">
        <v>1071208</v>
      </c>
      <c r="Q98" s="4">
        <v>1096240</v>
      </c>
      <c r="R98" s="4">
        <v>1071208</v>
      </c>
      <c r="S98" s="4">
        <v>1096240</v>
      </c>
      <c r="T98" s="4">
        <v>1071208</v>
      </c>
      <c r="U98" s="4">
        <v>1096240</v>
      </c>
      <c r="V98" s="4">
        <v>1071208</v>
      </c>
      <c r="W98" s="4">
        <v>1096240</v>
      </c>
      <c r="X98" s="4">
        <v>1071208</v>
      </c>
      <c r="Y98" s="4">
        <v>1096240</v>
      </c>
    </row>
    <row r="99" spans="1:25" ht="19.5" customHeight="1" x14ac:dyDescent="0.25">
      <c r="A99" s="2" t="s">
        <v>247</v>
      </c>
      <c r="B99" s="2" t="s">
        <v>16</v>
      </c>
      <c r="C99" s="2" t="s">
        <v>279</v>
      </c>
      <c r="D99" s="2" t="s">
        <v>280</v>
      </c>
      <c r="E99" s="2" t="s">
        <v>281</v>
      </c>
      <c r="F99" s="3">
        <v>7837.35</v>
      </c>
      <c r="G99" s="3">
        <v>30500</v>
      </c>
      <c r="H99" s="3">
        <v>30500</v>
      </c>
      <c r="I99" s="3">
        <v>30500</v>
      </c>
      <c r="J99" s="3">
        <v>30500</v>
      </c>
      <c r="K99" s="3">
        <v>30500</v>
      </c>
      <c r="L99" s="4">
        <v>30500</v>
      </c>
      <c r="M99" s="4">
        <v>30500</v>
      </c>
      <c r="N99" s="4">
        <v>30500</v>
      </c>
      <c r="O99" s="4">
        <v>30500</v>
      </c>
      <c r="P99" s="4">
        <v>30500</v>
      </c>
      <c r="Q99" s="4">
        <v>30500</v>
      </c>
      <c r="R99" s="4">
        <v>30500</v>
      </c>
      <c r="S99" s="4">
        <v>30500</v>
      </c>
      <c r="T99" s="4">
        <v>30500</v>
      </c>
      <c r="U99" s="4">
        <v>30500</v>
      </c>
      <c r="V99" s="4">
        <v>30500</v>
      </c>
      <c r="W99" s="4">
        <v>30500</v>
      </c>
      <c r="X99" s="4">
        <v>30500</v>
      </c>
      <c r="Y99" s="4">
        <v>30500</v>
      </c>
    </row>
    <row r="100" spans="1:25" ht="19.5" customHeight="1" x14ac:dyDescent="0.25">
      <c r="A100" s="2" t="s">
        <v>247</v>
      </c>
      <c r="B100" s="2" t="s">
        <v>16</v>
      </c>
      <c r="C100" s="2" t="s">
        <v>282</v>
      </c>
      <c r="D100" s="2" t="s">
        <v>283</v>
      </c>
      <c r="E100" s="2" t="s">
        <v>284</v>
      </c>
      <c r="F100" s="3">
        <v>1821290.36</v>
      </c>
      <c r="G100" s="3">
        <v>1852950</v>
      </c>
      <c r="H100" s="3">
        <v>1832950</v>
      </c>
      <c r="I100" s="3">
        <v>1832950</v>
      </c>
      <c r="J100" s="3">
        <v>1832950</v>
      </c>
      <c r="K100" s="3">
        <v>1832950</v>
      </c>
      <c r="L100" s="4">
        <v>1832950</v>
      </c>
      <c r="M100" s="4">
        <v>1832950</v>
      </c>
      <c r="N100" s="4">
        <v>1832950</v>
      </c>
      <c r="O100" s="4">
        <v>1832950</v>
      </c>
      <c r="P100" s="4">
        <v>1832950</v>
      </c>
      <c r="Q100" s="4">
        <v>1832950</v>
      </c>
      <c r="R100" s="4">
        <v>1832950</v>
      </c>
      <c r="S100" s="4">
        <v>1832950</v>
      </c>
      <c r="T100" s="4">
        <v>1832950</v>
      </c>
      <c r="U100" s="4">
        <v>1832950</v>
      </c>
      <c r="V100" s="4">
        <v>1832950</v>
      </c>
      <c r="W100" s="4">
        <v>1832950</v>
      </c>
      <c r="X100" s="4">
        <v>1832950</v>
      </c>
      <c r="Y100" s="4">
        <v>1832950</v>
      </c>
    </row>
    <row r="101" spans="1:25" ht="19.5" customHeight="1" x14ac:dyDescent="0.25">
      <c r="A101" s="2" t="s">
        <v>247</v>
      </c>
      <c r="B101" s="2" t="s">
        <v>16</v>
      </c>
      <c r="C101" s="2" t="s">
        <v>285</v>
      </c>
      <c r="D101" s="2" t="s">
        <v>286</v>
      </c>
      <c r="E101" s="2" t="s">
        <v>287</v>
      </c>
      <c r="F101" s="3">
        <v>113630.74</v>
      </c>
      <c r="G101" s="3">
        <v>120000</v>
      </c>
      <c r="H101" s="3">
        <v>100000</v>
      </c>
      <c r="I101" s="3">
        <v>100000</v>
      </c>
      <c r="J101" s="3">
        <v>100000</v>
      </c>
      <c r="K101" s="3">
        <v>100000</v>
      </c>
      <c r="L101" s="4">
        <v>100000</v>
      </c>
      <c r="M101" s="4">
        <v>100000</v>
      </c>
      <c r="N101" s="4">
        <v>100000</v>
      </c>
      <c r="O101" s="4">
        <v>100000</v>
      </c>
      <c r="P101" s="4">
        <v>100000</v>
      </c>
      <c r="Q101" s="4">
        <v>100000</v>
      </c>
      <c r="R101" s="4">
        <v>100000</v>
      </c>
      <c r="S101" s="4">
        <v>100000</v>
      </c>
      <c r="T101" s="4">
        <v>100000</v>
      </c>
      <c r="U101" s="4">
        <v>100000</v>
      </c>
      <c r="V101" s="4">
        <v>100000</v>
      </c>
      <c r="W101" s="4">
        <v>100000</v>
      </c>
      <c r="X101" s="4">
        <v>100000</v>
      </c>
      <c r="Y101" s="4">
        <v>100000</v>
      </c>
    </row>
    <row r="102" spans="1:25" ht="19.5" customHeight="1" x14ac:dyDescent="0.25">
      <c r="A102" s="2" t="s">
        <v>247</v>
      </c>
      <c r="B102" s="2" t="s">
        <v>16</v>
      </c>
      <c r="C102" s="2" t="s">
        <v>288</v>
      </c>
      <c r="D102" s="2" t="s">
        <v>289</v>
      </c>
      <c r="E102" s="2" t="s">
        <v>290</v>
      </c>
      <c r="F102" s="3">
        <v>1037790.88</v>
      </c>
      <c r="G102" s="3">
        <v>700000</v>
      </c>
      <c r="H102" s="3">
        <v>700000</v>
      </c>
      <c r="I102" s="3">
        <v>1200000</v>
      </c>
      <c r="J102" s="3">
        <v>700000</v>
      </c>
      <c r="K102" s="3">
        <v>1200000</v>
      </c>
      <c r="L102" s="4">
        <v>700000</v>
      </c>
      <c r="M102" s="4">
        <v>1200000</v>
      </c>
      <c r="N102" s="4">
        <v>700000</v>
      </c>
      <c r="O102" s="4">
        <v>1200000</v>
      </c>
      <c r="P102" s="4">
        <v>700000</v>
      </c>
      <c r="Q102" s="4">
        <v>1200000</v>
      </c>
      <c r="R102" s="4">
        <v>700000</v>
      </c>
      <c r="S102" s="4">
        <v>1200000</v>
      </c>
      <c r="T102" s="4">
        <v>700000</v>
      </c>
      <c r="U102" s="4">
        <v>1200000</v>
      </c>
      <c r="V102" s="4">
        <v>700000</v>
      </c>
      <c r="W102" s="4">
        <v>1200000</v>
      </c>
      <c r="X102" s="4">
        <v>700000</v>
      </c>
      <c r="Y102" s="4">
        <v>1200000</v>
      </c>
    </row>
    <row r="103" spans="1:25" ht="19.5" customHeight="1" x14ac:dyDescent="0.25">
      <c r="A103" s="2" t="s">
        <v>247</v>
      </c>
      <c r="B103" s="2" t="s">
        <v>16</v>
      </c>
      <c r="C103" s="2" t="s">
        <v>291</v>
      </c>
      <c r="D103" s="2" t="s">
        <v>292</v>
      </c>
      <c r="E103" s="2" t="s">
        <v>293</v>
      </c>
      <c r="F103" s="3">
        <v>356717.5</v>
      </c>
      <c r="G103" s="3">
        <v>361450</v>
      </c>
      <c r="H103" s="3">
        <v>361450</v>
      </c>
      <c r="I103" s="3">
        <v>361450</v>
      </c>
      <c r="J103" s="3">
        <v>361450</v>
      </c>
      <c r="K103" s="3">
        <v>361450</v>
      </c>
      <c r="L103" s="4">
        <v>361450</v>
      </c>
      <c r="M103" s="4">
        <v>361450</v>
      </c>
      <c r="N103" s="4">
        <v>361450</v>
      </c>
      <c r="O103" s="4">
        <v>361450</v>
      </c>
      <c r="P103" s="4">
        <v>361450</v>
      </c>
      <c r="Q103" s="4">
        <v>361450</v>
      </c>
      <c r="R103" s="4">
        <v>361450</v>
      </c>
      <c r="S103" s="4">
        <v>361450</v>
      </c>
      <c r="T103" s="4">
        <v>361450</v>
      </c>
      <c r="U103" s="4">
        <v>361450</v>
      </c>
      <c r="V103" s="4">
        <v>361450</v>
      </c>
      <c r="W103" s="4">
        <v>361450</v>
      </c>
      <c r="X103" s="4">
        <v>361450</v>
      </c>
      <c r="Y103" s="4">
        <v>361450</v>
      </c>
    </row>
    <row r="104" spans="1:25" ht="19.5" customHeight="1" x14ac:dyDescent="0.25">
      <c r="A104" s="2" t="s">
        <v>247</v>
      </c>
      <c r="B104" s="2" t="s">
        <v>16</v>
      </c>
      <c r="C104" s="2" t="s">
        <v>294</v>
      </c>
      <c r="D104" s="2" t="s">
        <v>295</v>
      </c>
      <c r="E104" s="2" t="s">
        <v>296</v>
      </c>
      <c r="F104" s="3">
        <v>275000</v>
      </c>
      <c r="G104" s="4">
        <v>275000</v>
      </c>
      <c r="H104" s="4">
        <v>275000</v>
      </c>
      <c r="I104" s="4">
        <v>275000</v>
      </c>
      <c r="J104" s="4">
        <v>275000</v>
      </c>
      <c r="K104" s="4">
        <v>275000</v>
      </c>
      <c r="L104" s="4">
        <v>275000</v>
      </c>
      <c r="M104" s="4">
        <v>275000</v>
      </c>
      <c r="N104" s="4">
        <v>275000</v>
      </c>
      <c r="O104" s="4">
        <v>275000</v>
      </c>
      <c r="P104" s="4">
        <v>275000</v>
      </c>
      <c r="Q104" s="4">
        <v>275000</v>
      </c>
      <c r="R104" s="4">
        <v>275000</v>
      </c>
      <c r="S104" s="4">
        <v>275000</v>
      </c>
      <c r="T104" s="4">
        <v>275000</v>
      </c>
      <c r="U104" s="4">
        <v>275000</v>
      </c>
      <c r="V104" s="4">
        <v>275000</v>
      </c>
      <c r="W104" s="4">
        <v>275000</v>
      </c>
      <c r="X104" s="4">
        <v>275000</v>
      </c>
      <c r="Y104" s="4">
        <v>275000</v>
      </c>
    </row>
    <row r="105" spans="1:25" ht="19.5" customHeight="1" x14ac:dyDescent="0.25">
      <c r="A105" s="2" t="s">
        <v>247</v>
      </c>
      <c r="B105" s="2" t="s">
        <v>16</v>
      </c>
      <c r="C105" s="2" t="s">
        <v>294</v>
      </c>
      <c r="D105" s="2" t="s">
        <v>297</v>
      </c>
      <c r="E105" s="2" t="s">
        <v>298</v>
      </c>
      <c r="F105" s="3">
        <v>8048750.2800000003</v>
      </c>
      <c r="G105" s="3">
        <v>8000000</v>
      </c>
      <c r="H105" s="3">
        <v>8000000</v>
      </c>
      <c r="I105" s="3">
        <v>8000000</v>
      </c>
      <c r="J105" s="3">
        <v>8000000</v>
      </c>
      <c r="K105" s="3">
        <v>8000000</v>
      </c>
      <c r="L105" s="4">
        <v>8000000</v>
      </c>
      <c r="M105" s="4">
        <v>8000000</v>
      </c>
      <c r="N105" s="4">
        <v>8000000</v>
      </c>
      <c r="O105" s="4">
        <v>8000000</v>
      </c>
      <c r="P105" s="4">
        <v>8000000</v>
      </c>
      <c r="Q105" s="4">
        <v>8000000</v>
      </c>
      <c r="R105" s="4">
        <v>8000000</v>
      </c>
      <c r="S105" s="4">
        <v>8000000</v>
      </c>
      <c r="T105" s="4">
        <v>8000000</v>
      </c>
      <c r="U105" s="4">
        <v>8000000</v>
      </c>
      <c r="V105" s="4">
        <v>8000000</v>
      </c>
      <c r="W105" s="4">
        <v>8000000</v>
      </c>
      <c r="X105" s="4">
        <v>8000000</v>
      </c>
      <c r="Y105" s="4">
        <v>8000000</v>
      </c>
    </row>
    <row r="106" spans="1:25" ht="19.5" customHeight="1" x14ac:dyDescent="0.25">
      <c r="A106" s="2" t="s">
        <v>247</v>
      </c>
      <c r="B106" s="2" t="s">
        <v>16</v>
      </c>
      <c r="C106" s="2" t="s">
        <v>35</v>
      </c>
      <c r="D106" s="2" t="s">
        <v>299</v>
      </c>
      <c r="E106" s="2" t="s">
        <v>300</v>
      </c>
      <c r="F106" s="3">
        <v>0</v>
      </c>
      <c r="G106" s="3">
        <v>9400000</v>
      </c>
      <c r="H106" s="3">
        <v>1000000</v>
      </c>
      <c r="I106" s="3">
        <v>0</v>
      </c>
      <c r="J106" s="3">
        <v>1000000</v>
      </c>
      <c r="K106" s="3">
        <v>0</v>
      </c>
      <c r="L106" s="4">
        <v>1000000</v>
      </c>
      <c r="M106" s="4">
        <v>0</v>
      </c>
      <c r="N106" s="4">
        <v>1000000</v>
      </c>
      <c r="O106" s="4">
        <v>0</v>
      </c>
      <c r="P106" s="4">
        <v>1000000</v>
      </c>
      <c r="Q106" s="4">
        <v>0</v>
      </c>
      <c r="R106" s="4">
        <v>1000000</v>
      </c>
      <c r="S106" s="4">
        <v>0</v>
      </c>
      <c r="T106" s="4">
        <v>1000000</v>
      </c>
      <c r="U106" s="4">
        <v>0</v>
      </c>
      <c r="V106" s="4">
        <v>1000000</v>
      </c>
      <c r="W106" s="4">
        <v>0</v>
      </c>
      <c r="X106" s="4">
        <v>1000000</v>
      </c>
      <c r="Y106" s="4">
        <v>0</v>
      </c>
    </row>
    <row r="107" spans="1:25" ht="19.5" customHeight="1" x14ac:dyDescent="0.25">
      <c r="A107" s="2" t="s">
        <v>247</v>
      </c>
      <c r="B107" s="2" t="s">
        <v>16</v>
      </c>
      <c r="C107" s="2" t="s">
        <v>301</v>
      </c>
      <c r="D107" s="2" t="s">
        <v>302</v>
      </c>
      <c r="E107" s="2" t="s">
        <v>303</v>
      </c>
      <c r="F107" s="3">
        <v>1437600.63</v>
      </c>
      <c r="G107" s="3">
        <v>1515298</v>
      </c>
      <c r="H107" s="3">
        <v>1554599</v>
      </c>
      <c r="I107" s="3">
        <v>1590615</v>
      </c>
      <c r="J107" s="3">
        <v>1554599</v>
      </c>
      <c r="K107" s="3">
        <v>1590615</v>
      </c>
      <c r="L107" s="4">
        <v>1554599</v>
      </c>
      <c r="M107" s="4">
        <v>1590615</v>
      </c>
      <c r="N107" s="4">
        <v>1554599</v>
      </c>
      <c r="O107" s="4">
        <v>1590615</v>
      </c>
      <c r="P107" s="4">
        <v>1554599</v>
      </c>
      <c r="Q107" s="4">
        <v>1590615</v>
      </c>
      <c r="R107" s="4">
        <v>1554599</v>
      </c>
      <c r="S107" s="4">
        <v>1590615</v>
      </c>
      <c r="T107" s="4">
        <v>1554599</v>
      </c>
      <c r="U107" s="4">
        <v>1590615</v>
      </c>
      <c r="V107" s="4">
        <v>1554599</v>
      </c>
      <c r="W107" s="4">
        <v>1590615</v>
      </c>
      <c r="X107" s="4">
        <v>1554599</v>
      </c>
      <c r="Y107" s="4">
        <v>1590615</v>
      </c>
    </row>
    <row r="108" spans="1:25" ht="19.5" customHeight="1" x14ac:dyDescent="0.25">
      <c r="A108" s="2" t="s">
        <v>247</v>
      </c>
      <c r="B108" s="2" t="s">
        <v>16</v>
      </c>
      <c r="C108" s="2" t="s">
        <v>304</v>
      </c>
      <c r="D108" s="2" t="s">
        <v>305</v>
      </c>
      <c r="E108" s="2" t="s">
        <v>306</v>
      </c>
      <c r="F108" s="3">
        <v>1380529.75</v>
      </c>
      <c r="G108" s="3">
        <v>975000</v>
      </c>
      <c r="H108" s="3">
        <v>975000</v>
      </c>
      <c r="I108" s="3">
        <v>975000</v>
      </c>
      <c r="J108" s="3">
        <v>975000</v>
      </c>
      <c r="K108" s="3">
        <v>975000</v>
      </c>
      <c r="L108" s="4">
        <v>975000</v>
      </c>
      <c r="M108" s="4">
        <v>975000</v>
      </c>
      <c r="N108" s="4">
        <v>975000</v>
      </c>
      <c r="O108" s="4">
        <v>975000</v>
      </c>
      <c r="P108" s="4">
        <v>1269572</v>
      </c>
      <c r="Q108" s="4">
        <v>1289718</v>
      </c>
      <c r="R108" s="4">
        <v>1269572</v>
      </c>
      <c r="S108" s="4">
        <v>1289718</v>
      </c>
      <c r="T108" s="4">
        <v>1269572</v>
      </c>
      <c r="U108" s="4">
        <v>1289718</v>
      </c>
      <c r="V108" s="4">
        <v>1269572</v>
      </c>
      <c r="W108" s="4">
        <v>1289718</v>
      </c>
      <c r="X108" s="4">
        <v>1269572</v>
      </c>
      <c r="Y108" s="4">
        <v>1289718</v>
      </c>
    </row>
    <row r="109" spans="1:25" ht="19.5" customHeight="1" x14ac:dyDescent="0.25">
      <c r="A109" s="2" t="s">
        <v>247</v>
      </c>
      <c r="B109" s="2" t="s">
        <v>16</v>
      </c>
      <c r="C109" s="2" t="s">
        <v>307</v>
      </c>
      <c r="D109" s="2" t="s">
        <v>308</v>
      </c>
      <c r="E109" s="2" t="s">
        <v>309</v>
      </c>
      <c r="F109" s="3">
        <v>222743.28</v>
      </c>
      <c r="G109" s="3">
        <v>275000</v>
      </c>
      <c r="H109" s="3">
        <v>245000</v>
      </c>
      <c r="I109" s="3">
        <v>245000</v>
      </c>
      <c r="J109" s="3">
        <v>245000</v>
      </c>
      <c r="K109" s="3">
        <v>245000</v>
      </c>
      <c r="L109" s="4">
        <v>245000</v>
      </c>
      <c r="M109" s="4">
        <v>245000</v>
      </c>
      <c r="N109" s="4">
        <v>245000</v>
      </c>
      <c r="O109" s="4">
        <v>245000</v>
      </c>
      <c r="P109" s="4">
        <v>245000</v>
      </c>
      <c r="Q109" s="4">
        <v>245000</v>
      </c>
      <c r="R109" s="4">
        <v>245000</v>
      </c>
      <c r="S109" s="4">
        <v>245000</v>
      </c>
      <c r="T109" s="4">
        <v>245000</v>
      </c>
      <c r="U109" s="4">
        <v>245000</v>
      </c>
      <c r="V109" s="4">
        <v>245000</v>
      </c>
      <c r="W109" s="4">
        <v>245000</v>
      </c>
      <c r="X109" s="4">
        <v>245000</v>
      </c>
      <c r="Y109" s="4">
        <v>245000</v>
      </c>
    </row>
    <row r="110" spans="1:25" ht="19.5" customHeight="1" x14ac:dyDescent="0.25">
      <c r="A110" s="2" t="s">
        <v>247</v>
      </c>
      <c r="B110" s="2" t="s">
        <v>16</v>
      </c>
      <c r="C110" s="2" t="s">
        <v>310</v>
      </c>
      <c r="D110" s="2" t="s">
        <v>311</v>
      </c>
      <c r="E110" s="2" t="s">
        <v>312</v>
      </c>
      <c r="F110" s="3">
        <v>3901.82</v>
      </c>
      <c r="G110" s="3">
        <v>7000</v>
      </c>
      <c r="H110" s="3">
        <v>10000</v>
      </c>
      <c r="I110" s="3">
        <v>10000</v>
      </c>
      <c r="J110" s="3">
        <v>10000</v>
      </c>
      <c r="K110" s="3">
        <v>10000</v>
      </c>
      <c r="L110" s="4">
        <v>10000</v>
      </c>
      <c r="M110" s="4">
        <v>10000</v>
      </c>
      <c r="N110" s="4">
        <v>10000</v>
      </c>
      <c r="O110" s="4">
        <v>10000</v>
      </c>
      <c r="P110" s="4">
        <v>10000</v>
      </c>
      <c r="Q110" s="4">
        <v>10000</v>
      </c>
      <c r="R110" s="4">
        <v>10000</v>
      </c>
      <c r="S110" s="4">
        <v>10000</v>
      </c>
      <c r="T110" s="4">
        <v>10000</v>
      </c>
      <c r="U110" s="4">
        <v>10000</v>
      </c>
      <c r="V110" s="4">
        <v>10000</v>
      </c>
      <c r="W110" s="4">
        <v>10000</v>
      </c>
      <c r="X110" s="4">
        <v>10000</v>
      </c>
      <c r="Y110" s="4">
        <v>10000</v>
      </c>
    </row>
    <row r="111" spans="1:25" ht="19.5" customHeight="1" x14ac:dyDescent="0.25">
      <c r="A111" s="2" t="s">
        <v>247</v>
      </c>
      <c r="B111" s="2" t="s">
        <v>16</v>
      </c>
      <c r="C111" s="2" t="s">
        <v>313</v>
      </c>
      <c r="D111" s="2" t="s">
        <v>314</v>
      </c>
      <c r="E111" s="2" t="s">
        <v>315</v>
      </c>
      <c r="F111" s="3">
        <v>560456.47</v>
      </c>
      <c r="G111" s="4">
        <v>320000</v>
      </c>
      <c r="H111" s="4">
        <v>460000</v>
      </c>
      <c r="I111" s="4">
        <v>460000</v>
      </c>
      <c r="J111" s="4">
        <v>460000</v>
      </c>
      <c r="K111" s="4">
        <v>460000</v>
      </c>
      <c r="L111" s="4">
        <v>460000</v>
      </c>
      <c r="M111" s="4">
        <v>460000</v>
      </c>
      <c r="N111" s="4">
        <v>460000</v>
      </c>
      <c r="O111" s="4">
        <v>460000</v>
      </c>
      <c r="P111" s="4">
        <v>460000</v>
      </c>
      <c r="Q111" s="4">
        <v>460000</v>
      </c>
      <c r="R111" s="4">
        <v>460000</v>
      </c>
      <c r="S111" s="4">
        <v>460000</v>
      </c>
      <c r="T111" s="4">
        <v>460000</v>
      </c>
      <c r="U111" s="4">
        <v>460000</v>
      </c>
      <c r="V111" s="4">
        <v>460000</v>
      </c>
      <c r="W111" s="4">
        <v>460000</v>
      </c>
      <c r="X111" s="4">
        <v>460000</v>
      </c>
      <c r="Y111" s="4">
        <v>460000</v>
      </c>
    </row>
    <row r="112" spans="1:25" ht="19.5" customHeight="1" x14ac:dyDescent="0.25">
      <c r="A112" s="2" t="s">
        <v>247</v>
      </c>
      <c r="B112" s="2" t="s">
        <v>16</v>
      </c>
      <c r="C112" s="2" t="s">
        <v>316</v>
      </c>
      <c r="D112" s="2" t="s">
        <v>317</v>
      </c>
      <c r="E112" s="2" t="s">
        <v>318</v>
      </c>
      <c r="F112" s="4">
        <v>27508</v>
      </c>
      <c r="G112" s="3">
        <v>12000</v>
      </c>
      <c r="H112" s="3">
        <v>18000</v>
      </c>
      <c r="I112" s="3">
        <v>18000</v>
      </c>
      <c r="J112" s="3">
        <v>18000</v>
      </c>
      <c r="K112" s="3">
        <v>18000</v>
      </c>
      <c r="L112" s="4">
        <v>18000</v>
      </c>
      <c r="M112" s="4">
        <v>18000</v>
      </c>
      <c r="N112" s="4">
        <v>18000</v>
      </c>
      <c r="O112" s="4">
        <v>18000</v>
      </c>
      <c r="P112" s="4">
        <v>18000</v>
      </c>
      <c r="Q112" s="4">
        <v>18000</v>
      </c>
      <c r="R112" s="4">
        <v>18000</v>
      </c>
      <c r="S112" s="4">
        <v>18000</v>
      </c>
      <c r="T112" s="4">
        <v>18000</v>
      </c>
      <c r="U112" s="4">
        <v>18000</v>
      </c>
      <c r="V112" s="4">
        <v>18000</v>
      </c>
      <c r="W112" s="4">
        <v>18000</v>
      </c>
      <c r="X112" s="4">
        <v>18000</v>
      </c>
      <c r="Y112" s="4">
        <v>18000</v>
      </c>
    </row>
    <row r="113" spans="1:25" ht="19.5" customHeight="1" x14ac:dyDescent="0.25">
      <c r="A113" s="2" t="s">
        <v>247</v>
      </c>
      <c r="B113" s="2" t="s">
        <v>16</v>
      </c>
      <c r="C113" s="2" t="s">
        <v>319</v>
      </c>
      <c r="D113" s="2" t="s">
        <v>320</v>
      </c>
      <c r="E113" s="2" t="s">
        <v>321</v>
      </c>
      <c r="F113" s="3">
        <v>218000</v>
      </c>
      <c r="G113" s="3">
        <v>30000</v>
      </c>
      <c r="H113" s="3">
        <v>30000</v>
      </c>
      <c r="I113" s="3">
        <v>30000</v>
      </c>
      <c r="J113" s="3">
        <v>30000</v>
      </c>
      <c r="K113" s="3">
        <v>30000</v>
      </c>
      <c r="L113" s="4">
        <v>30000</v>
      </c>
      <c r="M113" s="4">
        <v>30000</v>
      </c>
      <c r="N113" s="4">
        <v>30000</v>
      </c>
      <c r="O113" s="4">
        <v>30000</v>
      </c>
      <c r="P113" s="4">
        <v>30000</v>
      </c>
      <c r="Q113" s="4">
        <v>30000</v>
      </c>
      <c r="R113" s="4">
        <v>30000</v>
      </c>
      <c r="S113" s="4">
        <v>30000</v>
      </c>
      <c r="T113" s="4">
        <v>30000</v>
      </c>
      <c r="U113" s="4">
        <v>30000</v>
      </c>
      <c r="V113" s="4">
        <v>30000</v>
      </c>
      <c r="W113" s="4">
        <v>30000</v>
      </c>
      <c r="X113" s="4">
        <v>30000</v>
      </c>
      <c r="Y113" s="4">
        <v>30000</v>
      </c>
    </row>
    <row r="114" spans="1:25" ht="19.5" customHeight="1" x14ac:dyDescent="0.25">
      <c r="A114" s="2" t="s">
        <v>247</v>
      </c>
      <c r="B114" s="2" t="s">
        <v>16</v>
      </c>
      <c r="C114" s="2" t="s">
        <v>322</v>
      </c>
      <c r="D114" s="2" t="s">
        <v>323</v>
      </c>
      <c r="E114" s="2" t="s">
        <v>324</v>
      </c>
      <c r="F114" s="3">
        <v>502088.93</v>
      </c>
      <c r="G114" s="3">
        <v>515000</v>
      </c>
      <c r="H114" s="3">
        <v>515000</v>
      </c>
      <c r="I114" s="3">
        <v>515000</v>
      </c>
      <c r="J114" s="3">
        <v>515000</v>
      </c>
      <c r="K114" s="3">
        <v>515000</v>
      </c>
      <c r="L114" s="4">
        <v>515000</v>
      </c>
      <c r="M114" s="4">
        <v>515000</v>
      </c>
      <c r="N114" s="4">
        <v>515000</v>
      </c>
      <c r="O114" s="4">
        <v>515000</v>
      </c>
      <c r="P114" s="4">
        <v>515000</v>
      </c>
      <c r="Q114" s="4">
        <v>515000</v>
      </c>
      <c r="R114" s="4">
        <v>515000</v>
      </c>
      <c r="S114" s="4">
        <v>515000</v>
      </c>
      <c r="T114" s="4">
        <v>515000</v>
      </c>
      <c r="U114" s="4">
        <v>515000</v>
      </c>
      <c r="V114" s="4">
        <v>515000</v>
      </c>
      <c r="W114" s="4">
        <v>515000</v>
      </c>
      <c r="X114" s="4">
        <v>515000</v>
      </c>
      <c r="Y114" s="4">
        <v>515000</v>
      </c>
    </row>
    <row r="115" spans="1:25" ht="19.5" customHeight="1" x14ac:dyDescent="0.25">
      <c r="A115" s="2" t="s">
        <v>247</v>
      </c>
      <c r="B115" s="2" t="s">
        <v>16</v>
      </c>
      <c r="C115" s="2" t="s">
        <v>325</v>
      </c>
      <c r="D115" s="2" t="s">
        <v>326</v>
      </c>
      <c r="E115" s="2" t="s">
        <v>327</v>
      </c>
      <c r="F115" s="3">
        <v>214.15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</row>
    <row r="116" spans="1:25" ht="19.5" customHeight="1" x14ac:dyDescent="0.25">
      <c r="A116" s="2" t="s">
        <v>247</v>
      </c>
      <c r="B116" s="2" t="s">
        <v>16</v>
      </c>
      <c r="C116" s="2" t="s">
        <v>328</v>
      </c>
      <c r="D116" s="2" t="s">
        <v>329</v>
      </c>
      <c r="E116" s="2" t="s">
        <v>330</v>
      </c>
      <c r="F116" s="3">
        <v>809564.2</v>
      </c>
      <c r="G116" s="3">
        <v>1734000</v>
      </c>
      <c r="H116" s="3">
        <v>1006000</v>
      </c>
      <c r="I116" s="3">
        <v>1006000</v>
      </c>
      <c r="J116" s="3">
        <v>1006000</v>
      </c>
      <c r="K116" s="3">
        <v>1006000</v>
      </c>
      <c r="L116" s="4">
        <v>1006000</v>
      </c>
      <c r="M116" s="4">
        <v>1006000</v>
      </c>
      <c r="N116" s="4">
        <v>1006000</v>
      </c>
      <c r="O116" s="4">
        <v>1006000</v>
      </c>
      <c r="P116" s="4">
        <v>1006000</v>
      </c>
      <c r="Q116" s="4">
        <v>1006000</v>
      </c>
      <c r="R116" s="4">
        <v>1006000</v>
      </c>
      <c r="S116" s="4">
        <v>1006000</v>
      </c>
      <c r="T116" s="4">
        <v>1006000</v>
      </c>
      <c r="U116" s="4">
        <v>1006000</v>
      </c>
      <c r="V116" s="4">
        <v>1006000</v>
      </c>
      <c r="W116" s="4">
        <v>1006000</v>
      </c>
      <c r="X116" s="4">
        <v>1006000</v>
      </c>
      <c r="Y116" s="4">
        <v>1006000</v>
      </c>
    </row>
    <row r="117" spans="1:25" ht="19.5" customHeight="1" x14ac:dyDescent="0.25">
      <c r="A117" s="6" t="s">
        <v>247</v>
      </c>
      <c r="B117" s="6" t="s">
        <v>16</v>
      </c>
      <c r="C117" s="6" t="s">
        <v>331</v>
      </c>
      <c r="D117" s="7" t="s">
        <v>332</v>
      </c>
      <c r="E117" s="6" t="s">
        <v>333</v>
      </c>
      <c r="F117" s="4">
        <v>0</v>
      </c>
      <c r="G117" s="4">
        <v>0</v>
      </c>
      <c r="H117" s="4">
        <v>0</v>
      </c>
      <c r="I117" s="4">
        <v>0</v>
      </c>
      <c r="J117" s="4">
        <v>10000000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</row>
    <row r="118" spans="1:25" ht="19.5" customHeight="1" x14ac:dyDescent="0.25">
      <c r="A118" s="6" t="s">
        <v>247</v>
      </c>
      <c r="B118" s="6" t="s">
        <v>16</v>
      </c>
      <c r="C118" s="6" t="s">
        <v>334</v>
      </c>
      <c r="D118" s="7" t="s">
        <v>335</v>
      </c>
      <c r="E118" s="6" t="s">
        <v>336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4">
        <v>250000</v>
      </c>
      <c r="Q118" s="4">
        <v>250000</v>
      </c>
      <c r="R118" s="4">
        <v>250000</v>
      </c>
      <c r="S118" s="4">
        <v>250000</v>
      </c>
      <c r="T118" s="4">
        <v>250000</v>
      </c>
      <c r="U118" s="4">
        <v>250000</v>
      </c>
      <c r="V118" s="4">
        <v>250000</v>
      </c>
      <c r="W118" s="4">
        <v>250000</v>
      </c>
      <c r="X118" s="4">
        <v>250000</v>
      </c>
      <c r="Y118" s="4">
        <v>250000</v>
      </c>
    </row>
    <row r="119" spans="1:25" ht="19.5" customHeight="1" x14ac:dyDescent="0.25">
      <c r="A119" s="2" t="s">
        <v>247</v>
      </c>
      <c r="B119" s="2" t="s">
        <v>16</v>
      </c>
      <c r="C119" s="2" t="s">
        <v>337</v>
      </c>
      <c r="D119" s="2" t="s">
        <v>338</v>
      </c>
      <c r="E119" s="2" t="s">
        <v>339</v>
      </c>
      <c r="F119" s="3">
        <v>5260781.8</v>
      </c>
      <c r="G119" s="3">
        <v>5466896</v>
      </c>
      <c r="H119" s="3">
        <v>5840522</v>
      </c>
      <c r="I119" s="3">
        <v>5962715</v>
      </c>
      <c r="J119" s="3">
        <v>5840522</v>
      </c>
      <c r="K119" s="3">
        <v>5962715</v>
      </c>
      <c r="L119" s="4">
        <v>5840522</v>
      </c>
      <c r="M119" s="4">
        <v>5962715</v>
      </c>
      <c r="N119" s="4">
        <v>5840522</v>
      </c>
      <c r="O119" s="4">
        <v>5962715</v>
      </c>
      <c r="P119" s="4">
        <v>5840522</v>
      </c>
      <c r="Q119" s="4">
        <v>5962715</v>
      </c>
      <c r="R119" s="4">
        <v>5840522</v>
      </c>
      <c r="S119" s="4">
        <v>5962715</v>
      </c>
      <c r="T119" s="4">
        <v>5840522</v>
      </c>
      <c r="U119" s="4">
        <v>5962715</v>
      </c>
      <c r="V119" s="4">
        <v>5840522</v>
      </c>
      <c r="W119" s="4">
        <v>5962715</v>
      </c>
      <c r="X119" s="4">
        <v>5840522</v>
      </c>
      <c r="Y119" s="4">
        <v>5962715</v>
      </c>
    </row>
    <row r="120" spans="1:25" ht="19.5" customHeight="1" x14ac:dyDescent="0.25">
      <c r="A120" s="2" t="s">
        <v>247</v>
      </c>
      <c r="B120" s="2" t="s">
        <v>16</v>
      </c>
      <c r="C120" s="2" t="s">
        <v>340</v>
      </c>
      <c r="D120" s="2" t="s">
        <v>341</v>
      </c>
      <c r="E120" s="2" t="s">
        <v>342</v>
      </c>
      <c r="F120" s="3">
        <v>4697244.75</v>
      </c>
      <c r="G120" s="3">
        <v>4894402</v>
      </c>
      <c r="H120" s="3">
        <v>4894402</v>
      </c>
      <c r="I120" s="3">
        <v>4894402</v>
      </c>
      <c r="J120" s="3">
        <v>4894402</v>
      </c>
      <c r="K120" s="3">
        <v>4894402</v>
      </c>
      <c r="L120" s="4">
        <v>4894402</v>
      </c>
      <c r="M120" s="4">
        <v>4894402</v>
      </c>
      <c r="N120" s="4">
        <v>4894402</v>
      </c>
      <c r="O120" s="4">
        <v>4894402</v>
      </c>
      <c r="P120" s="4">
        <v>4894402</v>
      </c>
      <c r="Q120" s="4">
        <v>4894402</v>
      </c>
      <c r="R120" s="4">
        <v>4894402</v>
      </c>
      <c r="S120" s="4">
        <v>4894402</v>
      </c>
      <c r="T120" s="4">
        <v>4894402</v>
      </c>
      <c r="U120" s="4">
        <v>4894402</v>
      </c>
      <c r="V120" s="4">
        <v>4894402</v>
      </c>
      <c r="W120" s="4">
        <v>4894402</v>
      </c>
      <c r="X120" s="4">
        <v>4894402</v>
      </c>
      <c r="Y120" s="4">
        <v>4894402</v>
      </c>
    </row>
    <row r="121" spans="1:25" ht="19.5" customHeight="1" x14ac:dyDescent="0.25">
      <c r="A121" s="2" t="s">
        <v>247</v>
      </c>
      <c r="B121" s="2" t="s">
        <v>16</v>
      </c>
      <c r="C121" s="2" t="s">
        <v>343</v>
      </c>
      <c r="D121" s="2" t="s">
        <v>344</v>
      </c>
      <c r="E121" s="2" t="s">
        <v>345</v>
      </c>
      <c r="F121" s="3">
        <v>2541225.21</v>
      </c>
      <c r="G121" s="3">
        <v>825000</v>
      </c>
      <c r="H121" s="3">
        <v>49300000</v>
      </c>
      <c r="I121" s="3">
        <v>49300000</v>
      </c>
      <c r="J121" s="3">
        <v>39300000</v>
      </c>
      <c r="K121" s="3">
        <v>39300000</v>
      </c>
      <c r="L121" s="4">
        <v>39300000</v>
      </c>
      <c r="M121" s="4">
        <v>39300000</v>
      </c>
      <c r="N121" s="4">
        <v>39300000</v>
      </c>
      <c r="O121" s="4">
        <v>39300000</v>
      </c>
      <c r="P121" s="4">
        <v>49300000</v>
      </c>
      <c r="Q121" s="4">
        <v>49300000</v>
      </c>
      <c r="R121" s="4">
        <v>49300000</v>
      </c>
      <c r="S121" s="4">
        <v>49300000</v>
      </c>
      <c r="T121" s="4">
        <v>49300000</v>
      </c>
      <c r="U121" s="4">
        <v>49300000</v>
      </c>
      <c r="V121" s="4">
        <v>49300000</v>
      </c>
      <c r="W121" s="4">
        <v>49300000</v>
      </c>
      <c r="X121" s="4">
        <v>49300000</v>
      </c>
      <c r="Y121" s="4">
        <v>49300000</v>
      </c>
    </row>
    <row r="122" spans="1:25" ht="19.5" customHeight="1" x14ac:dyDescent="0.25">
      <c r="A122" s="2" t="s">
        <v>247</v>
      </c>
      <c r="B122" s="2" t="s">
        <v>44</v>
      </c>
      <c r="C122" s="2" t="s">
        <v>346</v>
      </c>
      <c r="D122" s="2" t="s">
        <v>347</v>
      </c>
      <c r="E122" s="2" t="s">
        <v>348</v>
      </c>
      <c r="F122" s="3">
        <v>4729606.21</v>
      </c>
      <c r="G122" s="3">
        <v>5194424</v>
      </c>
      <c r="H122" s="3">
        <v>5194424</v>
      </c>
      <c r="I122" s="3">
        <v>5194424</v>
      </c>
      <c r="J122" s="3">
        <v>5194424</v>
      </c>
      <c r="K122" s="3">
        <v>5194424</v>
      </c>
      <c r="L122" s="4">
        <v>5194424</v>
      </c>
      <c r="M122" s="4">
        <v>5194424</v>
      </c>
      <c r="N122" s="4">
        <v>5194424</v>
      </c>
      <c r="O122" s="4">
        <v>5194424</v>
      </c>
      <c r="P122" s="4">
        <v>5194424</v>
      </c>
      <c r="Q122" s="4">
        <v>5194424</v>
      </c>
      <c r="R122" s="4">
        <v>5194424</v>
      </c>
      <c r="S122" s="4">
        <v>5194424</v>
      </c>
      <c r="T122" s="4">
        <v>5194424</v>
      </c>
      <c r="U122" s="4">
        <v>5194424</v>
      </c>
      <c r="V122" s="4">
        <v>5194424</v>
      </c>
      <c r="W122" s="4">
        <v>5194424</v>
      </c>
      <c r="X122" s="4">
        <v>5194424</v>
      </c>
      <c r="Y122" s="4">
        <v>5194424</v>
      </c>
    </row>
    <row r="123" spans="1:25" ht="19.5" customHeight="1" x14ac:dyDescent="0.25">
      <c r="A123" s="2" t="s">
        <v>247</v>
      </c>
      <c r="B123" s="2" t="s">
        <v>44</v>
      </c>
      <c r="C123" s="2" t="s">
        <v>349</v>
      </c>
      <c r="D123" s="2" t="s">
        <v>350</v>
      </c>
      <c r="E123" s="2" t="s">
        <v>351</v>
      </c>
      <c r="F123" s="3">
        <v>434393.5</v>
      </c>
      <c r="G123" s="3">
        <v>360000</v>
      </c>
      <c r="H123" s="3">
        <v>225000</v>
      </c>
      <c r="I123" s="3">
        <v>225000</v>
      </c>
      <c r="J123" s="3">
        <v>225000</v>
      </c>
      <c r="K123" s="3">
        <v>225000</v>
      </c>
      <c r="L123" s="4">
        <v>225000</v>
      </c>
      <c r="M123" s="4">
        <v>225000</v>
      </c>
      <c r="N123" s="4">
        <v>225000</v>
      </c>
      <c r="O123" s="4">
        <v>225000</v>
      </c>
      <c r="P123" s="4">
        <v>225000</v>
      </c>
      <c r="Q123" s="4">
        <v>225000</v>
      </c>
      <c r="R123" s="4">
        <v>225000</v>
      </c>
      <c r="S123" s="4">
        <v>225000</v>
      </c>
      <c r="T123" s="4">
        <v>225000</v>
      </c>
      <c r="U123" s="4">
        <v>225000</v>
      </c>
      <c r="V123" s="4">
        <v>225000</v>
      </c>
      <c r="W123" s="4">
        <v>225000</v>
      </c>
      <c r="X123" s="4">
        <v>225000</v>
      </c>
      <c r="Y123" s="4">
        <v>225000</v>
      </c>
    </row>
    <row r="124" spans="1:25" ht="19.5" customHeight="1" x14ac:dyDescent="0.25">
      <c r="A124" s="2" t="s">
        <v>247</v>
      </c>
      <c r="B124" s="2" t="s">
        <v>44</v>
      </c>
      <c r="C124" s="2" t="s">
        <v>352</v>
      </c>
      <c r="D124" s="2" t="s">
        <v>353</v>
      </c>
      <c r="E124" s="2" t="s">
        <v>354</v>
      </c>
      <c r="F124" s="3">
        <v>5601026.5199999996</v>
      </c>
      <c r="G124" s="3">
        <v>7000000</v>
      </c>
      <c r="H124" s="3">
        <v>7000000</v>
      </c>
      <c r="I124" s="3">
        <v>7000000</v>
      </c>
      <c r="J124" s="3">
        <v>7000000</v>
      </c>
      <c r="K124" s="3">
        <v>7000000</v>
      </c>
      <c r="L124" s="4">
        <v>7000000</v>
      </c>
      <c r="M124" s="4">
        <v>7000000</v>
      </c>
      <c r="N124" s="4">
        <v>7000000</v>
      </c>
      <c r="O124" s="4">
        <v>7000000</v>
      </c>
      <c r="P124" s="4">
        <v>8613000</v>
      </c>
      <c r="Q124" s="4">
        <v>8617000</v>
      </c>
      <c r="R124" s="4">
        <v>8613000</v>
      </c>
      <c r="S124" s="4">
        <v>8617000</v>
      </c>
      <c r="T124" s="4">
        <v>8613000</v>
      </c>
      <c r="U124" s="4">
        <v>8617000</v>
      </c>
      <c r="V124" s="4">
        <v>8613000</v>
      </c>
      <c r="W124" s="4">
        <v>8617000</v>
      </c>
      <c r="X124" s="4">
        <v>8613000</v>
      </c>
      <c r="Y124" s="4">
        <v>8617000</v>
      </c>
    </row>
    <row r="125" spans="1:25" ht="19.5" customHeight="1" x14ac:dyDescent="0.25">
      <c r="A125" s="2" t="s">
        <v>247</v>
      </c>
      <c r="B125" s="2" t="s">
        <v>44</v>
      </c>
      <c r="C125" s="2" t="s">
        <v>355</v>
      </c>
      <c r="D125" s="2" t="s">
        <v>356</v>
      </c>
      <c r="E125" s="2" t="s">
        <v>357</v>
      </c>
      <c r="F125" s="3">
        <v>297368.62</v>
      </c>
      <c r="G125" s="3">
        <v>350000</v>
      </c>
      <c r="H125" s="3">
        <v>330000</v>
      </c>
      <c r="I125" s="3">
        <v>330000</v>
      </c>
      <c r="J125" s="3">
        <v>330000</v>
      </c>
      <c r="K125" s="3">
        <v>330000</v>
      </c>
      <c r="L125" s="4">
        <v>330000</v>
      </c>
      <c r="M125" s="4">
        <v>330000</v>
      </c>
      <c r="N125" s="4">
        <v>330000</v>
      </c>
      <c r="O125" s="4">
        <v>330000</v>
      </c>
      <c r="P125" s="4">
        <v>330000</v>
      </c>
      <c r="Q125" s="4">
        <v>330000</v>
      </c>
      <c r="R125" s="4">
        <v>330000</v>
      </c>
      <c r="S125" s="4">
        <v>330000</v>
      </c>
      <c r="T125" s="4">
        <v>330000</v>
      </c>
      <c r="U125" s="4">
        <v>330000</v>
      </c>
      <c r="V125" s="4">
        <v>330000</v>
      </c>
      <c r="W125" s="4">
        <v>330000</v>
      </c>
      <c r="X125" s="4">
        <v>330000</v>
      </c>
      <c r="Y125" s="4">
        <v>330000</v>
      </c>
    </row>
    <row r="126" spans="1:25" ht="19.5" customHeight="1" x14ac:dyDescent="0.25">
      <c r="A126" s="2" t="s">
        <v>247</v>
      </c>
      <c r="B126" s="2" t="s">
        <v>44</v>
      </c>
      <c r="C126" s="2" t="s">
        <v>358</v>
      </c>
      <c r="D126" s="2" t="s">
        <v>359</v>
      </c>
      <c r="E126" s="2" t="s">
        <v>360</v>
      </c>
      <c r="F126" s="3">
        <v>431543.82</v>
      </c>
      <c r="G126" s="3">
        <v>1209234</v>
      </c>
      <c r="H126" s="3">
        <v>1237587</v>
      </c>
      <c r="I126" s="3">
        <v>1264214</v>
      </c>
      <c r="J126" s="3">
        <v>1237587</v>
      </c>
      <c r="K126" s="3">
        <v>1264214</v>
      </c>
      <c r="L126" s="4">
        <v>1237587</v>
      </c>
      <c r="M126" s="4">
        <v>1264214</v>
      </c>
      <c r="N126" s="4">
        <v>1237587</v>
      </c>
      <c r="O126" s="4">
        <v>1264214</v>
      </c>
      <c r="P126" s="4">
        <v>1237587</v>
      </c>
      <c r="Q126" s="4">
        <v>1264214</v>
      </c>
      <c r="R126" s="4">
        <v>1237587</v>
      </c>
      <c r="S126" s="4">
        <v>1264214</v>
      </c>
      <c r="T126" s="4">
        <v>1237587</v>
      </c>
      <c r="U126" s="4">
        <v>1264214</v>
      </c>
      <c r="V126" s="4">
        <v>1237587</v>
      </c>
      <c r="W126" s="4">
        <v>1264214</v>
      </c>
      <c r="X126" s="4">
        <v>1237587</v>
      </c>
      <c r="Y126" s="4">
        <v>1264214</v>
      </c>
    </row>
    <row r="127" spans="1:25" ht="19.5" customHeight="1" x14ac:dyDescent="0.25">
      <c r="A127" s="2" t="s">
        <v>247</v>
      </c>
      <c r="B127" s="2" t="s">
        <v>44</v>
      </c>
      <c r="C127" s="2" t="s">
        <v>361</v>
      </c>
      <c r="D127" s="2" t="s">
        <v>362</v>
      </c>
      <c r="E127" s="2" t="s">
        <v>363</v>
      </c>
      <c r="F127" s="3">
        <v>7002628.75</v>
      </c>
      <c r="G127" s="3">
        <v>6095972</v>
      </c>
      <c r="H127" s="3">
        <v>7295972</v>
      </c>
      <c r="I127" s="3">
        <v>7295972</v>
      </c>
      <c r="J127" s="3">
        <v>7295972</v>
      </c>
      <c r="K127" s="3">
        <v>7295972</v>
      </c>
      <c r="L127" s="4">
        <v>7295972</v>
      </c>
      <c r="M127" s="4">
        <v>7295972</v>
      </c>
      <c r="N127" s="4">
        <v>7295972</v>
      </c>
      <c r="O127" s="4">
        <v>7295972</v>
      </c>
      <c r="P127" s="4">
        <v>7295972</v>
      </c>
      <c r="Q127" s="4">
        <v>7295972</v>
      </c>
      <c r="R127" s="4">
        <v>7295972</v>
      </c>
      <c r="S127" s="4">
        <v>7295972</v>
      </c>
      <c r="T127" s="4">
        <v>7295972</v>
      </c>
      <c r="U127" s="4">
        <v>7295972</v>
      </c>
      <c r="V127" s="4">
        <v>7295972</v>
      </c>
      <c r="W127" s="4">
        <v>7295972</v>
      </c>
      <c r="X127" s="4">
        <v>7295972</v>
      </c>
      <c r="Y127" s="4">
        <v>7295972</v>
      </c>
    </row>
    <row r="128" spans="1:25" ht="19.5" customHeight="1" x14ac:dyDescent="0.25">
      <c r="A128" s="2" t="s">
        <v>247</v>
      </c>
      <c r="B128" s="2" t="s">
        <v>54</v>
      </c>
      <c r="C128" s="2" t="s">
        <v>54</v>
      </c>
      <c r="D128" s="2" t="s">
        <v>364</v>
      </c>
      <c r="E128" s="2" t="s">
        <v>365</v>
      </c>
      <c r="F128" s="3">
        <v>3869772.36</v>
      </c>
      <c r="G128" s="3">
        <v>3700399</v>
      </c>
      <c r="H128" s="3">
        <v>4517266</v>
      </c>
      <c r="I128" s="3">
        <v>4388181</v>
      </c>
      <c r="J128" s="3">
        <v>4517266</v>
      </c>
      <c r="K128" s="3">
        <v>4388181</v>
      </c>
      <c r="L128" s="4">
        <v>4517266</v>
      </c>
      <c r="M128" s="4">
        <v>4388181</v>
      </c>
      <c r="N128" s="4">
        <v>4517266</v>
      </c>
      <c r="O128" s="4">
        <v>4388181</v>
      </c>
      <c r="P128" s="4">
        <v>5267266</v>
      </c>
      <c r="Q128" s="4">
        <v>5388181</v>
      </c>
      <c r="R128" s="4">
        <v>5267266</v>
      </c>
      <c r="S128" s="4">
        <v>5388181</v>
      </c>
      <c r="T128" s="4">
        <v>5267266</v>
      </c>
      <c r="U128" s="4">
        <v>5388181</v>
      </c>
      <c r="V128" s="4">
        <v>5267266</v>
      </c>
      <c r="W128" s="4">
        <v>5388181</v>
      </c>
      <c r="X128" s="4">
        <v>5267266</v>
      </c>
      <c r="Y128" s="4">
        <v>5388181</v>
      </c>
    </row>
    <row r="129" spans="1:25" ht="19.5" customHeight="1" x14ac:dyDescent="0.25">
      <c r="A129" s="2" t="s">
        <v>247</v>
      </c>
      <c r="B129" s="2" t="s">
        <v>54</v>
      </c>
      <c r="C129" s="2" t="s">
        <v>54</v>
      </c>
      <c r="D129" s="2" t="s">
        <v>366</v>
      </c>
      <c r="E129" s="2" t="s">
        <v>367</v>
      </c>
      <c r="F129" s="3">
        <v>1228923.98</v>
      </c>
      <c r="G129" s="3">
        <v>1178459</v>
      </c>
      <c r="H129" s="3">
        <v>1292929</v>
      </c>
      <c r="I129" s="3">
        <v>1342866</v>
      </c>
      <c r="J129" s="3">
        <v>1292929</v>
      </c>
      <c r="K129" s="3">
        <v>1342866</v>
      </c>
      <c r="L129" s="4">
        <v>1292929</v>
      </c>
      <c r="M129" s="4">
        <v>1342866</v>
      </c>
      <c r="N129" s="4">
        <v>1292929</v>
      </c>
      <c r="O129" s="4">
        <v>1342866</v>
      </c>
      <c r="P129" s="4">
        <v>1292929</v>
      </c>
      <c r="Q129" s="4">
        <v>1342866</v>
      </c>
      <c r="R129" s="4">
        <v>1292929</v>
      </c>
      <c r="S129" s="4">
        <v>1342866</v>
      </c>
      <c r="T129" s="4">
        <v>1292929</v>
      </c>
      <c r="U129" s="4">
        <v>1342866</v>
      </c>
      <c r="V129" s="4">
        <v>1292929</v>
      </c>
      <c r="W129" s="4">
        <v>1342866</v>
      </c>
      <c r="X129" s="4">
        <v>1292929</v>
      </c>
      <c r="Y129" s="4">
        <v>1342866</v>
      </c>
    </row>
    <row r="130" spans="1:25" ht="19.5" customHeight="1" x14ac:dyDescent="0.25">
      <c r="A130" s="2" t="s">
        <v>247</v>
      </c>
      <c r="B130" s="2" t="s">
        <v>54</v>
      </c>
      <c r="C130" s="2" t="s">
        <v>54</v>
      </c>
      <c r="D130" s="2" t="s">
        <v>368</v>
      </c>
      <c r="E130" s="2" t="s">
        <v>369</v>
      </c>
      <c r="F130" s="3">
        <v>99390.84</v>
      </c>
      <c r="G130" s="3">
        <v>70056</v>
      </c>
      <c r="H130" s="3">
        <v>102734</v>
      </c>
      <c r="I130" s="3">
        <v>105096</v>
      </c>
      <c r="J130" s="3">
        <v>102734</v>
      </c>
      <c r="K130" s="3">
        <v>105096</v>
      </c>
      <c r="L130" s="4">
        <v>102734</v>
      </c>
      <c r="M130" s="4">
        <v>105096</v>
      </c>
      <c r="N130" s="4">
        <v>102734</v>
      </c>
      <c r="O130" s="4">
        <v>105096</v>
      </c>
      <c r="P130" s="4">
        <v>102734</v>
      </c>
      <c r="Q130" s="4">
        <v>105096</v>
      </c>
      <c r="R130" s="4">
        <v>102734</v>
      </c>
      <c r="S130" s="4">
        <v>105096</v>
      </c>
      <c r="T130" s="4">
        <v>102734</v>
      </c>
      <c r="U130" s="4">
        <v>105096</v>
      </c>
      <c r="V130" s="4">
        <v>102734</v>
      </c>
      <c r="W130" s="4">
        <v>105096</v>
      </c>
      <c r="X130" s="4">
        <v>102734</v>
      </c>
      <c r="Y130" s="4">
        <v>105096</v>
      </c>
    </row>
    <row r="131" spans="1:25" ht="19.5" customHeight="1" x14ac:dyDescent="0.25">
      <c r="A131" s="2" t="s">
        <v>247</v>
      </c>
      <c r="B131" s="2" t="s">
        <v>54</v>
      </c>
      <c r="C131" s="2" t="s">
        <v>54</v>
      </c>
      <c r="D131" s="2" t="s">
        <v>370</v>
      </c>
      <c r="E131" s="2" t="s">
        <v>371</v>
      </c>
      <c r="F131" s="3">
        <v>1351537.43</v>
      </c>
      <c r="G131" s="3">
        <v>1320696</v>
      </c>
      <c r="H131" s="3">
        <v>1467261</v>
      </c>
      <c r="I131" s="3">
        <v>1389965</v>
      </c>
      <c r="J131" s="3">
        <v>1467261</v>
      </c>
      <c r="K131" s="3">
        <v>1389965</v>
      </c>
      <c r="L131" s="4">
        <v>1467261</v>
      </c>
      <c r="M131" s="4">
        <v>1389965</v>
      </c>
      <c r="N131" s="4">
        <v>1467261</v>
      </c>
      <c r="O131" s="4">
        <v>1389965</v>
      </c>
      <c r="P131" s="4">
        <v>1467261</v>
      </c>
      <c r="Q131" s="4">
        <v>1389965</v>
      </c>
      <c r="R131" s="4">
        <v>1467261</v>
      </c>
      <c r="S131" s="4">
        <v>1389965</v>
      </c>
      <c r="T131" s="4">
        <v>1467261</v>
      </c>
      <c r="U131" s="4">
        <v>1389965</v>
      </c>
      <c r="V131" s="4">
        <v>1467261</v>
      </c>
      <c r="W131" s="4">
        <v>1389965</v>
      </c>
      <c r="X131" s="4">
        <v>1467261</v>
      </c>
      <c r="Y131" s="4">
        <v>1389965</v>
      </c>
    </row>
    <row r="132" spans="1:25" ht="19.5" customHeight="1" x14ac:dyDescent="0.25">
      <c r="A132" s="2" t="s">
        <v>247</v>
      </c>
      <c r="B132" s="2" t="s">
        <v>54</v>
      </c>
      <c r="C132" s="2" t="s">
        <v>54</v>
      </c>
      <c r="D132" s="2" t="s">
        <v>372</v>
      </c>
      <c r="E132" s="2" t="s">
        <v>373</v>
      </c>
      <c r="F132" s="4">
        <v>1386156.16</v>
      </c>
      <c r="G132" s="3">
        <v>1340046</v>
      </c>
      <c r="H132" s="3">
        <v>1376113</v>
      </c>
      <c r="I132" s="3">
        <v>1408710</v>
      </c>
      <c r="J132" s="3">
        <v>1376113</v>
      </c>
      <c r="K132" s="3">
        <v>1408710</v>
      </c>
      <c r="L132" s="4">
        <v>1376113</v>
      </c>
      <c r="M132" s="4">
        <v>1408710</v>
      </c>
      <c r="N132" s="4">
        <v>1376113</v>
      </c>
      <c r="O132" s="4">
        <v>1408710</v>
      </c>
      <c r="P132" s="4">
        <v>1376113</v>
      </c>
      <c r="Q132" s="4">
        <v>1408710</v>
      </c>
      <c r="R132" s="4">
        <v>1376113</v>
      </c>
      <c r="S132" s="4">
        <v>1408710</v>
      </c>
      <c r="T132" s="4">
        <v>1376113</v>
      </c>
      <c r="U132" s="4">
        <v>1408710</v>
      </c>
      <c r="V132" s="4">
        <v>1376113</v>
      </c>
      <c r="W132" s="4">
        <v>1408710</v>
      </c>
      <c r="X132" s="4">
        <v>1376113</v>
      </c>
      <c r="Y132" s="4">
        <v>1408710</v>
      </c>
    </row>
    <row r="133" spans="1:25" ht="19.5" customHeight="1" x14ac:dyDescent="0.25">
      <c r="A133" s="2" t="s">
        <v>247</v>
      </c>
      <c r="B133" s="2" t="s">
        <v>54</v>
      </c>
      <c r="C133" s="2" t="s">
        <v>54</v>
      </c>
      <c r="D133" s="2" t="s">
        <v>374</v>
      </c>
      <c r="E133" s="2" t="s">
        <v>375</v>
      </c>
      <c r="F133" s="3">
        <v>75166.509999999995</v>
      </c>
      <c r="G133" s="3">
        <v>34815</v>
      </c>
      <c r="H133" s="3">
        <v>7350664</v>
      </c>
      <c r="I133" s="3">
        <v>352331</v>
      </c>
      <c r="J133" s="3">
        <v>500000</v>
      </c>
      <c r="K133" s="3">
        <v>500000</v>
      </c>
      <c r="L133" s="4">
        <v>500000</v>
      </c>
      <c r="M133" s="4">
        <v>500000</v>
      </c>
      <c r="N133" s="4">
        <v>500000</v>
      </c>
      <c r="O133" s="4">
        <v>500000</v>
      </c>
      <c r="P133" s="4">
        <v>500000</v>
      </c>
      <c r="Q133" s="4">
        <v>500000</v>
      </c>
      <c r="R133" s="4">
        <v>500000</v>
      </c>
      <c r="S133" s="4">
        <v>500000</v>
      </c>
      <c r="T133" s="4">
        <v>500000</v>
      </c>
      <c r="U133" s="4">
        <v>500000</v>
      </c>
      <c r="V133" s="4">
        <v>1000000</v>
      </c>
      <c r="W133" s="4">
        <v>500000</v>
      </c>
      <c r="X133" s="4">
        <v>1000000</v>
      </c>
      <c r="Y133" s="4">
        <v>500000</v>
      </c>
    </row>
    <row r="134" spans="1:25" ht="19.5" customHeight="1" x14ac:dyDescent="0.25">
      <c r="A134" s="2" t="s">
        <v>247</v>
      </c>
      <c r="B134" s="2" t="s">
        <v>54</v>
      </c>
      <c r="C134" s="2" t="s">
        <v>54</v>
      </c>
      <c r="D134" s="2" t="s">
        <v>376</v>
      </c>
      <c r="E134" s="2" t="s">
        <v>377</v>
      </c>
      <c r="F134" s="3">
        <v>148853.34</v>
      </c>
      <c r="G134" s="4">
        <v>147468</v>
      </c>
      <c r="H134" s="4">
        <v>151708</v>
      </c>
      <c r="I134" s="4">
        <v>155449</v>
      </c>
      <c r="J134" s="4">
        <v>151708</v>
      </c>
      <c r="K134" s="4">
        <v>155449</v>
      </c>
      <c r="L134" s="4">
        <v>151708</v>
      </c>
      <c r="M134" s="4">
        <v>155449</v>
      </c>
      <c r="N134" s="4">
        <v>151708</v>
      </c>
      <c r="O134" s="4">
        <v>155449</v>
      </c>
      <c r="P134" s="4">
        <v>151708</v>
      </c>
      <c r="Q134" s="4">
        <v>155449</v>
      </c>
      <c r="R134" s="4">
        <v>151708</v>
      </c>
      <c r="S134" s="4">
        <v>155449</v>
      </c>
      <c r="T134" s="4">
        <v>151708</v>
      </c>
      <c r="U134" s="4">
        <v>155449</v>
      </c>
      <c r="V134" s="4">
        <v>151708</v>
      </c>
      <c r="W134" s="4">
        <v>155449</v>
      </c>
      <c r="X134" s="4">
        <v>151708</v>
      </c>
      <c r="Y134" s="4">
        <v>155449</v>
      </c>
    </row>
    <row r="135" spans="1:25" ht="19.5" customHeight="1" x14ac:dyDescent="0.25">
      <c r="A135" s="2" t="s">
        <v>247</v>
      </c>
      <c r="B135" s="2" t="s">
        <v>54</v>
      </c>
      <c r="C135" s="2" t="s">
        <v>54</v>
      </c>
      <c r="D135" s="2" t="s">
        <v>378</v>
      </c>
      <c r="E135" s="2" t="s">
        <v>379</v>
      </c>
      <c r="F135" s="3">
        <v>593480.65</v>
      </c>
      <c r="G135" s="3">
        <v>614723</v>
      </c>
      <c r="H135" s="3">
        <v>631487</v>
      </c>
      <c r="I135" s="3">
        <v>631487</v>
      </c>
      <c r="J135" s="3">
        <v>631487</v>
      </c>
      <c r="K135" s="3">
        <v>631487</v>
      </c>
      <c r="L135" s="4">
        <v>631487</v>
      </c>
      <c r="M135" s="4">
        <v>631487</v>
      </c>
      <c r="N135" s="4">
        <v>631487</v>
      </c>
      <c r="O135" s="4">
        <v>631487</v>
      </c>
      <c r="P135" s="4">
        <v>631487</v>
      </c>
      <c r="Q135" s="4">
        <v>631487</v>
      </c>
      <c r="R135" s="4">
        <v>631487</v>
      </c>
      <c r="S135" s="4">
        <v>631487</v>
      </c>
      <c r="T135" s="4">
        <v>631487</v>
      </c>
      <c r="U135" s="4">
        <v>631487</v>
      </c>
      <c r="V135" s="4">
        <v>631487</v>
      </c>
      <c r="W135" s="4">
        <v>631487</v>
      </c>
      <c r="X135" s="4">
        <v>631487</v>
      </c>
      <c r="Y135" s="4">
        <v>631487</v>
      </c>
    </row>
    <row r="136" spans="1:25" ht="19.5" customHeight="1" x14ac:dyDescent="0.25">
      <c r="A136" s="2" t="s">
        <v>247</v>
      </c>
      <c r="B136" s="2" t="s">
        <v>54</v>
      </c>
      <c r="C136" s="2" t="s">
        <v>54</v>
      </c>
      <c r="D136" s="2" t="s">
        <v>380</v>
      </c>
      <c r="E136" s="2" t="s">
        <v>381</v>
      </c>
      <c r="F136" s="3">
        <v>813164.17</v>
      </c>
      <c r="G136" s="3">
        <v>811428</v>
      </c>
      <c r="H136" s="3">
        <v>832288</v>
      </c>
      <c r="I136" s="3">
        <v>851470</v>
      </c>
      <c r="J136" s="3">
        <v>832288</v>
      </c>
      <c r="K136" s="3">
        <v>851470</v>
      </c>
      <c r="L136" s="4">
        <v>832288</v>
      </c>
      <c r="M136" s="4">
        <v>851470</v>
      </c>
      <c r="N136" s="4">
        <v>832288</v>
      </c>
      <c r="O136" s="4">
        <v>851470</v>
      </c>
      <c r="P136" s="4">
        <v>832288</v>
      </c>
      <c r="Q136" s="4">
        <v>851470</v>
      </c>
      <c r="R136" s="4">
        <v>832288</v>
      </c>
      <c r="S136" s="4">
        <v>851470</v>
      </c>
      <c r="T136" s="4">
        <v>832288</v>
      </c>
      <c r="U136" s="4">
        <v>851470</v>
      </c>
      <c r="V136" s="4">
        <v>832288</v>
      </c>
      <c r="W136" s="4">
        <v>851470</v>
      </c>
      <c r="X136" s="4">
        <v>832288</v>
      </c>
      <c r="Y136" s="4">
        <v>851470</v>
      </c>
    </row>
    <row r="137" spans="1:25" ht="19.5" customHeight="1" x14ac:dyDescent="0.25">
      <c r="A137" s="2" t="s">
        <v>247</v>
      </c>
      <c r="B137" s="2" t="s">
        <v>54</v>
      </c>
      <c r="C137" s="2" t="s">
        <v>54</v>
      </c>
      <c r="D137" s="2" t="s">
        <v>382</v>
      </c>
      <c r="E137" s="2" t="s">
        <v>383</v>
      </c>
      <c r="F137" s="3">
        <v>0</v>
      </c>
      <c r="G137" s="3">
        <v>14515453</v>
      </c>
      <c r="H137" s="3">
        <v>10700000</v>
      </c>
      <c r="I137" s="3">
        <v>10700000</v>
      </c>
      <c r="J137" s="3">
        <v>10700000</v>
      </c>
      <c r="K137" s="3">
        <v>10700000</v>
      </c>
      <c r="L137" s="4">
        <v>10700000</v>
      </c>
      <c r="M137" s="4">
        <v>10700000</v>
      </c>
      <c r="N137" s="4">
        <v>10700000</v>
      </c>
      <c r="O137" s="4">
        <v>10700000</v>
      </c>
      <c r="P137" s="4">
        <v>10700000</v>
      </c>
      <c r="Q137" s="4">
        <v>10700000</v>
      </c>
      <c r="R137" s="4">
        <v>10700000</v>
      </c>
      <c r="S137" s="4">
        <v>10700000</v>
      </c>
      <c r="T137" s="4">
        <v>10700000</v>
      </c>
      <c r="U137" s="4">
        <v>10700000</v>
      </c>
      <c r="V137" s="4">
        <v>10700000</v>
      </c>
      <c r="W137" s="4">
        <v>10700000</v>
      </c>
      <c r="X137" s="4">
        <v>10700000</v>
      </c>
      <c r="Y137" s="4">
        <v>10700000</v>
      </c>
    </row>
    <row r="138" spans="1:25" ht="19.5" customHeight="1" x14ac:dyDescent="0.25">
      <c r="A138" s="2" t="s">
        <v>247</v>
      </c>
      <c r="B138" s="2" t="s">
        <v>54</v>
      </c>
      <c r="C138" s="2" t="s">
        <v>54</v>
      </c>
      <c r="D138" s="2" t="s">
        <v>384</v>
      </c>
      <c r="E138" s="2" t="s">
        <v>385</v>
      </c>
      <c r="F138" s="3">
        <v>1125791.73</v>
      </c>
      <c r="G138" s="3">
        <v>1145071</v>
      </c>
      <c r="H138" s="3">
        <v>1281483</v>
      </c>
      <c r="I138" s="3">
        <v>1325467</v>
      </c>
      <c r="J138" s="3">
        <v>1281483</v>
      </c>
      <c r="K138" s="3">
        <v>1325467</v>
      </c>
      <c r="L138" s="4">
        <v>1281483</v>
      </c>
      <c r="M138" s="4">
        <v>1325467</v>
      </c>
      <c r="N138" s="4">
        <v>1281483</v>
      </c>
      <c r="O138" s="4">
        <v>1325467</v>
      </c>
      <c r="P138" s="4">
        <v>1281483</v>
      </c>
      <c r="Q138" s="4">
        <v>1325467</v>
      </c>
      <c r="R138" s="4">
        <v>1281483</v>
      </c>
      <c r="S138" s="4">
        <v>1325467</v>
      </c>
      <c r="T138" s="4">
        <v>1281483</v>
      </c>
      <c r="U138" s="4">
        <v>1325467</v>
      </c>
      <c r="V138" s="4">
        <v>1281483</v>
      </c>
      <c r="W138" s="4">
        <v>1325467</v>
      </c>
      <c r="X138" s="4">
        <v>1281483</v>
      </c>
      <c r="Y138" s="4">
        <v>1325467</v>
      </c>
    </row>
    <row r="139" spans="1:25" ht="19.5" customHeight="1" x14ac:dyDescent="0.25">
      <c r="A139" s="2" t="s">
        <v>247</v>
      </c>
      <c r="B139" s="2" t="s">
        <v>54</v>
      </c>
      <c r="C139" s="2" t="s">
        <v>54</v>
      </c>
      <c r="D139" s="2" t="s">
        <v>386</v>
      </c>
      <c r="E139" s="2" t="s">
        <v>387</v>
      </c>
      <c r="F139" s="3">
        <v>106516.59</v>
      </c>
      <c r="G139" s="3">
        <v>117493</v>
      </c>
      <c r="H139" s="3">
        <v>119843</v>
      </c>
      <c r="I139" s="3">
        <v>122240</v>
      </c>
      <c r="J139" s="3">
        <v>119843</v>
      </c>
      <c r="K139" s="3">
        <v>122240</v>
      </c>
      <c r="L139" s="4">
        <v>119843</v>
      </c>
      <c r="M139" s="4">
        <v>122240</v>
      </c>
      <c r="N139" s="4">
        <v>119843</v>
      </c>
      <c r="O139" s="4">
        <v>122240</v>
      </c>
      <c r="P139" s="4">
        <v>119843</v>
      </c>
      <c r="Q139" s="4">
        <v>122240</v>
      </c>
      <c r="R139" s="4">
        <v>119843</v>
      </c>
      <c r="S139" s="4">
        <v>122240</v>
      </c>
      <c r="T139" s="4">
        <v>119843</v>
      </c>
      <c r="U139" s="4">
        <v>122240</v>
      </c>
      <c r="V139" s="4">
        <v>119843</v>
      </c>
      <c r="W139" s="4">
        <v>122240</v>
      </c>
      <c r="X139" s="4">
        <v>119843</v>
      </c>
      <c r="Y139" s="4">
        <v>122240</v>
      </c>
    </row>
    <row r="140" spans="1:25" ht="19.5" customHeight="1" x14ac:dyDescent="0.25">
      <c r="A140" s="2" t="s">
        <v>247</v>
      </c>
      <c r="B140" s="2" t="s">
        <v>54</v>
      </c>
      <c r="C140" s="2" t="s">
        <v>54</v>
      </c>
      <c r="D140" s="2" t="s">
        <v>388</v>
      </c>
      <c r="E140" s="2" t="s">
        <v>312</v>
      </c>
      <c r="F140" s="3">
        <v>546598.72</v>
      </c>
      <c r="G140" s="3">
        <v>604060</v>
      </c>
      <c r="H140" s="3">
        <v>618447</v>
      </c>
      <c r="I140" s="3">
        <v>631310</v>
      </c>
      <c r="J140" s="3">
        <v>618447</v>
      </c>
      <c r="K140" s="3">
        <v>631310</v>
      </c>
      <c r="L140" s="4">
        <v>618447</v>
      </c>
      <c r="M140" s="4">
        <v>631310</v>
      </c>
      <c r="N140" s="4">
        <v>618447</v>
      </c>
      <c r="O140" s="4">
        <v>631310</v>
      </c>
      <c r="P140" s="4">
        <v>618447</v>
      </c>
      <c r="Q140" s="4">
        <v>631310</v>
      </c>
      <c r="R140" s="4">
        <v>618447</v>
      </c>
      <c r="S140" s="4">
        <v>631310</v>
      </c>
      <c r="T140" s="4">
        <v>618447</v>
      </c>
      <c r="U140" s="4">
        <v>631310</v>
      </c>
      <c r="V140" s="4">
        <v>618447</v>
      </c>
      <c r="W140" s="4">
        <v>631310</v>
      </c>
      <c r="X140" s="4">
        <v>618447</v>
      </c>
      <c r="Y140" s="4">
        <v>631310</v>
      </c>
    </row>
    <row r="141" spans="1:25" ht="19.5" customHeight="1" x14ac:dyDescent="0.25">
      <c r="A141" s="2" t="s">
        <v>247</v>
      </c>
      <c r="B141" s="2" t="s">
        <v>54</v>
      </c>
      <c r="C141" s="2" t="s">
        <v>54</v>
      </c>
      <c r="D141" s="2" t="s">
        <v>389</v>
      </c>
      <c r="E141" s="2" t="s">
        <v>390</v>
      </c>
      <c r="F141" s="4">
        <v>1235211.68</v>
      </c>
      <c r="G141" s="3">
        <v>1235767</v>
      </c>
      <c r="H141" s="3">
        <v>1269865</v>
      </c>
      <c r="I141" s="3">
        <v>1300401</v>
      </c>
      <c r="J141" s="3">
        <v>1269865</v>
      </c>
      <c r="K141" s="3">
        <v>1300401</v>
      </c>
      <c r="L141" s="4">
        <v>1269865</v>
      </c>
      <c r="M141" s="4">
        <v>1300401</v>
      </c>
      <c r="N141" s="4">
        <v>1269865</v>
      </c>
      <c r="O141" s="4">
        <v>1300401</v>
      </c>
      <c r="P141" s="4">
        <v>1269865</v>
      </c>
      <c r="Q141" s="4">
        <v>1300401</v>
      </c>
      <c r="R141" s="4">
        <v>1269865</v>
      </c>
      <c r="S141" s="4">
        <v>1300401</v>
      </c>
      <c r="T141" s="4">
        <v>1269865</v>
      </c>
      <c r="U141" s="4">
        <v>1300401</v>
      </c>
      <c r="V141" s="4">
        <v>1269865</v>
      </c>
      <c r="W141" s="4">
        <v>1300401</v>
      </c>
      <c r="X141" s="4">
        <v>1269865</v>
      </c>
      <c r="Y141" s="4">
        <v>1300401</v>
      </c>
    </row>
    <row r="142" spans="1:25" ht="19.5" customHeight="1" x14ac:dyDescent="0.25">
      <c r="A142" s="2" t="s">
        <v>247</v>
      </c>
      <c r="B142" s="2" t="s">
        <v>54</v>
      </c>
      <c r="C142" s="2" t="s">
        <v>54</v>
      </c>
      <c r="D142" s="2" t="s">
        <v>391</v>
      </c>
      <c r="E142" s="2" t="s">
        <v>392</v>
      </c>
      <c r="F142" s="3">
        <v>3464342.79</v>
      </c>
      <c r="G142" s="3">
        <v>3529219</v>
      </c>
      <c r="H142" s="3">
        <v>3658683</v>
      </c>
      <c r="I142" s="3">
        <v>3658683</v>
      </c>
      <c r="J142" s="3">
        <v>3658683</v>
      </c>
      <c r="K142" s="3">
        <v>3658683</v>
      </c>
      <c r="L142" s="4">
        <v>3658683</v>
      </c>
      <c r="M142" s="4">
        <v>3658683</v>
      </c>
      <c r="N142" s="4">
        <v>3658683</v>
      </c>
      <c r="O142" s="4">
        <v>3658683</v>
      </c>
      <c r="P142" s="4">
        <v>3658683</v>
      </c>
      <c r="Q142" s="4">
        <v>3658683</v>
      </c>
      <c r="R142" s="4">
        <v>3658683</v>
      </c>
      <c r="S142" s="4">
        <v>3658683</v>
      </c>
      <c r="T142" s="4">
        <v>3658683</v>
      </c>
      <c r="U142" s="4">
        <v>3658683</v>
      </c>
      <c r="V142" s="4">
        <v>3658683</v>
      </c>
      <c r="W142" s="4">
        <v>3658683</v>
      </c>
      <c r="X142" s="4">
        <v>3658683</v>
      </c>
      <c r="Y142" s="4">
        <v>3658683</v>
      </c>
    </row>
    <row r="143" spans="1:25" ht="19.5" customHeight="1" x14ac:dyDescent="0.25">
      <c r="A143" s="2" t="s">
        <v>247</v>
      </c>
      <c r="B143" s="2" t="s">
        <v>54</v>
      </c>
      <c r="C143" s="2" t="s">
        <v>54</v>
      </c>
      <c r="D143" s="2" t="s">
        <v>393</v>
      </c>
      <c r="E143" s="2" t="s">
        <v>394</v>
      </c>
      <c r="F143" s="3">
        <v>6102832.3600000003</v>
      </c>
      <c r="G143" s="3">
        <v>5882091</v>
      </c>
      <c r="H143" s="3">
        <v>6485605</v>
      </c>
      <c r="I143" s="3">
        <v>6672501</v>
      </c>
      <c r="J143" s="3">
        <v>6485605</v>
      </c>
      <c r="K143" s="3">
        <v>6672501</v>
      </c>
      <c r="L143" s="4">
        <v>6485605</v>
      </c>
      <c r="M143" s="4">
        <v>6672501</v>
      </c>
      <c r="N143" s="4">
        <v>6485605</v>
      </c>
      <c r="O143" s="4">
        <v>6672501</v>
      </c>
      <c r="P143" s="4">
        <v>6485605</v>
      </c>
      <c r="Q143" s="4">
        <v>6672501</v>
      </c>
      <c r="R143" s="4">
        <v>6485605</v>
      </c>
      <c r="S143" s="4">
        <v>6672501</v>
      </c>
      <c r="T143" s="4">
        <v>6485605</v>
      </c>
      <c r="U143" s="4">
        <v>6672501</v>
      </c>
      <c r="V143" s="4">
        <v>6485605</v>
      </c>
      <c r="W143" s="4">
        <v>6672501</v>
      </c>
      <c r="X143" s="4">
        <v>6485605</v>
      </c>
      <c r="Y143" s="4">
        <v>6672501</v>
      </c>
    </row>
    <row r="144" spans="1:25" ht="19.5" customHeight="1" x14ac:dyDescent="0.25">
      <c r="A144" s="2" t="s">
        <v>247</v>
      </c>
      <c r="B144" s="2" t="s">
        <v>54</v>
      </c>
      <c r="C144" s="2" t="s">
        <v>54</v>
      </c>
      <c r="D144" s="2" t="s">
        <v>395</v>
      </c>
      <c r="E144" s="2" t="s">
        <v>396</v>
      </c>
      <c r="F144" s="3">
        <v>379672.5</v>
      </c>
      <c r="G144" s="3">
        <v>303738</v>
      </c>
      <c r="H144" s="3">
        <v>379673</v>
      </c>
      <c r="I144" s="3">
        <v>379673</v>
      </c>
      <c r="J144" s="3">
        <v>379673</v>
      </c>
      <c r="K144" s="3">
        <v>379673</v>
      </c>
      <c r="L144" s="4">
        <v>379673</v>
      </c>
      <c r="M144" s="4">
        <v>379673</v>
      </c>
      <c r="N144" s="4">
        <v>379673</v>
      </c>
      <c r="O144" s="4">
        <v>379673</v>
      </c>
      <c r="P144" s="4">
        <v>379673</v>
      </c>
      <c r="Q144" s="4">
        <v>379673</v>
      </c>
      <c r="R144" s="4">
        <v>379673</v>
      </c>
      <c r="S144" s="4">
        <v>379673</v>
      </c>
      <c r="T144" s="4">
        <v>379673</v>
      </c>
      <c r="U144" s="4">
        <v>379673</v>
      </c>
      <c r="V144" s="4">
        <v>379673</v>
      </c>
      <c r="W144" s="4">
        <v>379673</v>
      </c>
      <c r="X144" s="4">
        <v>379673</v>
      </c>
      <c r="Y144" s="4">
        <v>379673</v>
      </c>
    </row>
    <row r="145" spans="1:25" ht="19.5" customHeight="1" x14ac:dyDescent="0.25">
      <c r="A145" s="2" t="s">
        <v>247</v>
      </c>
      <c r="B145" s="2" t="s">
        <v>54</v>
      </c>
      <c r="C145" s="2" t="s">
        <v>54</v>
      </c>
      <c r="D145" s="2" t="s">
        <v>397</v>
      </c>
      <c r="E145" s="2" t="s">
        <v>398</v>
      </c>
      <c r="F145" s="3">
        <v>13215486.380000001</v>
      </c>
      <c r="G145" s="3">
        <v>11063016</v>
      </c>
      <c r="H145" s="3">
        <v>11760000</v>
      </c>
      <c r="I145" s="3">
        <v>11760000</v>
      </c>
      <c r="J145" s="3">
        <v>11760000</v>
      </c>
      <c r="K145" s="3">
        <v>11760000</v>
      </c>
      <c r="L145" s="4">
        <v>11760000</v>
      </c>
      <c r="M145" s="4">
        <v>11760000</v>
      </c>
      <c r="N145" s="4">
        <v>11760000</v>
      </c>
      <c r="O145" s="4">
        <v>11760000</v>
      </c>
      <c r="P145" s="4">
        <v>11810000</v>
      </c>
      <c r="Q145" s="4">
        <v>11810000</v>
      </c>
      <c r="R145" s="4">
        <v>11810000</v>
      </c>
      <c r="S145" s="4">
        <v>11810000</v>
      </c>
      <c r="T145" s="4">
        <v>11810000</v>
      </c>
      <c r="U145" s="4">
        <v>11810000</v>
      </c>
      <c r="V145" s="4">
        <v>11810000</v>
      </c>
      <c r="W145" s="4">
        <v>11810000</v>
      </c>
      <c r="X145" s="4">
        <v>11810000</v>
      </c>
      <c r="Y145" s="4">
        <v>11810000</v>
      </c>
    </row>
    <row r="146" spans="1:25" ht="19.5" customHeight="1" x14ac:dyDescent="0.25">
      <c r="A146" s="2" t="s">
        <v>247</v>
      </c>
      <c r="B146" s="2" t="s">
        <v>54</v>
      </c>
      <c r="C146" s="2" t="s">
        <v>54</v>
      </c>
      <c r="D146" s="2" t="s">
        <v>399</v>
      </c>
      <c r="E146" s="2" t="s">
        <v>290</v>
      </c>
      <c r="F146" s="3">
        <v>399964.15999999997</v>
      </c>
      <c r="G146" s="3">
        <v>400000</v>
      </c>
      <c r="H146" s="3">
        <v>900000</v>
      </c>
      <c r="I146" s="3">
        <v>600000</v>
      </c>
      <c r="J146" s="3">
        <v>900000</v>
      </c>
      <c r="K146" s="3">
        <v>600000</v>
      </c>
      <c r="L146" s="4">
        <v>900000</v>
      </c>
      <c r="M146" s="4">
        <v>600000</v>
      </c>
      <c r="N146" s="4">
        <v>900000</v>
      </c>
      <c r="O146" s="4">
        <v>600000</v>
      </c>
      <c r="P146" s="4">
        <v>900000</v>
      </c>
      <c r="Q146" s="4">
        <v>600000</v>
      </c>
      <c r="R146" s="4">
        <v>900000</v>
      </c>
      <c r="S146" s="4">
        <v>600000</v>
      </c>
      <c r="T146" s="4">
        <v>900000</v>
      </c>
      <c r="U146" s="4">
        <v>600000</v>
      </c>
      <c r="V146" s="4">
        <v>900000</v>
      </c>
      <c r="W146" s="4">
        <v>600000</v>
      </c>
      <c r="X146" s="4">
        <v>900000</v>
      </c>
      <c r="Y146" s="4">
        <v>600000</v>
      </c>
    </row>
    <row r="147" spans="1:25" ht="19.5" customHeight="1" x14ac:dyDescent="0.25">
      <c r="A147" s="2" t="s">
        <v>247</v>
      </c>
      <c r="B147" s="2" t="s">
        <v>54</v>
      </c>
      <c r="C147" s="2" t="s">
        <v>54</v>
      </c>
      <c r="D147" s="2" t="s">
        <v>400</v>
      </c>
      <c r="E147" s="2" t="s">
        <v>401</v>
      </c>
      <c r="F147" s="3">
        <v>0</v>
      </c>
      <c r="G147" s="3">
        <v>0</v>
      </c>
      <c r="H147" s="3">
        <v>195000</v>
      </c>
      <c r="I147" s="3">
        <v>195000</v>
      </c>
      <c r="J147" s="3">
        <v>195000</v>
      </c>
      <c r="K147" s="3">
        <v>195000</v>
      </c>
      <c r="L147" s="4">
        <v>195000</v>
      </c>
      <c r="M147" s="4">
        <v>195000</v>
      </c>
      <c r="N147" s="4">
        <v>195000</v>
      </c>
      <c r="O147" s="4">
        <v>195000</v>
      </c>
      <c r="P147" s="4">
        <v>195000</v>
      </c>
      <c r="Q147" s="4">
        <v>195000</v>
      </c>
      <c r="R147" s="4">
        <v>195000</v>
      </c>
      <c r="S147" s="4">
        <v>195000</v>
      </c>
      <c r="T147" s="4">
        <v>195000</v>
      </c>
      <c r="U147" s="4">
        <v>195000</v>
      </c>
      <c r="V147" s="4">
        <v>195000</v>
      </c>
      <c r="W147" s="4">
        <v>195000</v>
      </c>
      <c r="X147" s="4">
        <v>195000</v>
      </c>
      <c r="Y147" s="4">
        <v>195000</v>
      </c>
    </row>
    <row r="148" spans="1:25" ht="19.5" customHeight="1" x14ac:dyDescent="0.25">
      <c r="A148" s="2" t="s">
        <v>247</v>
      </c>
      <c r="B148" s="2" t="s">
        <v>243</v>
      </c>
      <c r="C148" s="2" t="s">
        <v>402</v>
      </c>
      <c r="D148" s="2" t="s">
        <v>403</v>
      </c>
      <c r="E148" s="2" t="s">
        <v>404</v>
      </c>
      <c r="F148" s="3">
        <v>711244.25</v>
      </c>
      <c r="G148" s="3">
        <v>1204626</v>
      </c>
      <c r="H148" s="3">
        <v>1204626</v>
      </c>
      <c r="I148" s="3">
        <v>1204626</v>
      </c>
      <c r="J148" s="3">
        <v>1204626</v>
      </c>
      <c r="K148" s="3">
        <v>1204626</v>
      </c>
      <c r="L148" s="4">
        <v>1204626</v>
      </c>
      <c r="M148" s="4">
        <v>1204626</v>
      </c>
      <c r="N148" s="4">
        <v>1204626</v>
      </c>
      <c r="O148" s="4">
        <v>1204626</v>
      </c>
      <c r="P148" s="4">
        <v>1204626</v>
      </c>
      <c r="Q148" s="4">
        <v>1204626</v>
      </c>
      <c r="R148" s="4">
        <v>1204626</v>
      </c>
      <c r="S148" s="4">
        <v>1204626</v>
      </c>
      <c r="T148" s="4">
        <v>1204626</v>
      </c>
      <c r="U148" s="4">
        <v>1204626</v>
      </c>
      <c r="V148" s="4">
        <v>1204626</v>
      </c>
      <c r="W148" s="4">
        <v>1204626</v>
      </c>
      <c r="X148" s="4">
        <v>1204626</v>
      </c>
      <c r="Y148" s="4">
        <v>1204626</v>
      </c>
    </row>
    <row r="149" spans="1:25" ht="19.5" customHeight="1" x14ac:dyDescent="0.25">
      <c r="A149" s="2" t="s">
        <v>247</v>
      </c>
      <c r="B149" s="2" t="s">
        <v>243</v>
      </c>
      <c r="C149" s="2" t="s">
        <v>405</v>
      </c>
      <c r="D149" s="2" t="s">
        <v>406</v>
      </c>
      <c r="E149" s="2" t="s">
        <v>407</v>
      </c>
      <c r="F149" s="3">
        <v>4805048.9800000004</v>
      </c>
      <c r="G149" s="3">
        <v>5524048</v>
      </c>
      <c r="H149" s="3">
        <v>5677844</v>
      </c>
      <c r="I149" s="3">
        <v>5813996</v>
      </c>
      <c r="J149" s="3">
        <v>5677844</v>
      </c>
      <c r="K149" s="3">
        <v>5813996</v>
      </c>
      <c r="L149" s="4">
        <v>5677844</v>
      </c>
      <c r="M149" s="4">
        <v>5813996</v>
      </c>
      <c r="N149" s="4">
        <v>5677844</v>
      </c>
      <c r="O149" s="4">
        <v>5813996</v>
      </c>
      <c r="P149" s="4">
        <v>5677844</v>
      </c>
      <c r="Q149" s="4">
        <v>5813996</v>
      </c>
      <c r="R149" s="4">
        <v>5677844</v>
      </c>
      <c r="S149" s="4">
        <v>5813996</v>
      </c>
      <c r="T149" s="4">
        <v>5677844</v>
      </c>
      <c r="U149" s="4">
        <v>5813996</v>
      </c>
      <c r="V149" s="4">
        <v>5677844</v>
      </c>
      <c r="W149" s="4">
        <v>5813996</v>
      </c>
      <c r="X149" s="4">
        <v>5677844</v>
      </c>
      <c r="Y149" s="4">
        <v>5813996</v>
      </c>
    </row>
    <row r="150" spans="1:25" ht="19.5" customHeight="1" x14ac:dyDescent="0.25">
      <c r="A150" s="2" t="s">
        <v>408</v>
      </c>
      <c r="B150" s="2" t="s">
        <v>16</v>
      </c>
      <c r="C150" s="2" t="s">
        <v>409</v>
      </c>
      <c r="D150" s="2" t="s">
        <v>410</v>
      </c>
      <c r="E150" s="2" t="s">
        <v>411</v>
      </c>
      <c r="F150" s="3">
        <v>148588.75</v>
      </c>
      <c r="G150" s="3">
        <v>138000</v>
      </c>
      <c r="H150" s="3">
        <v>209000</v>
      </c>
      <c r="I150" s="3">
        <v>211000</v>
      </c>
      <c r="J150" s="3">
        <v>209000</v>
      </c>
      <c r="K150" s="3">
        <v>211000</v>
      </c>
      <c r="L150" s="4">
        <v>209000</v>
      </c>
      <c r="M150" s="4">
        <v>211000</v>
      </c>
      <c r="N150" s="4">
        <v>209000</v>
      </c>
      <c r="O150" s="4">
        <v>211000</v>
      </c>
      <c r="P150" s="4">
        <v>209000</v>
      </c>
      <c r="Q150" s="4">
        <v>211000</v>
      </c>
      <c r="R150" s="4">
        <v>209000</v>
      </c>
      <c r="S150" s="4">
        <v>211000</v>
      </c>
      <c r="T150" s="4">
        <v>209000</v>
      </c>
      <c r="U150" s="4">
        <v>211000</v>
      </c>
      <c r="V150" s="4">
        <v>209000</v>
      </c>
      <c r="W150" s="4">
        <v>211000</v>
      </c>
      <c r="X150" s="4">
        <v>209000</v>
      </c>
      <c r="Y150" s="4">
        <v>211000</v>
      </c>
    </row>
    <row r="151" spans="1:25" ht="19.5" customHeight="1" x14ac:dyDescent="0.25">
      <c r="A151" s="2" t="s">
        <v>408</v>
      </c>
      <c r="B151" s="2" t="s">
        <v>16</v>
      </c>
      <c r="C151" s="2" t="s">
        <v>412</v>
      </c>
      <c r="D151" s="2" t="s">
        <v>413</v>
      </c>
      <c r="E151" s="2" t="s">
        <v>22</v>
      </c>
      <c r="F151" s="3">
        <v>463161.83</v>
      </c>
      <c r="G151" s="3">
        <v>673395</v>
      </c>
      <c r="H151" s="3">
        <v>774811</v>
      </c>
      <c r="I151" s="3">
        <v>783347</v>
      </c>
      <c r="J151" s="3">
        <v>774811</v>
      </c>
      <c r="K151" s="3">
        <v>783347</v>
      </c>
      <c r="L151" s="4">
        <v>774811</v>
      </c>
      <c r="M151" s="4">
        <v>783347</v>
      </c>
      <c r="N151" s="4">
        <v>774811</v>
      </c>
      <c r="O151" s="4">
        <v>783347</v>
      </c>
      <c r="P151" s="4">
        <v>774811</v>
      </c>
      <c r="Q151" s="4">
        <v>783347</v>
      </c>
      <c r="R151" s="4">
        <v>774811</v>
      </c>
      <c r="S151" s="4">
        <v>783347</v>
      </c>
      <c r="T151" s="4">
        <v>774811</v>
      </c>
      <c r="U151" s="4">
        <v>783347</v>
      </c>
      <c r="V151" s="4">
        <v>774811</v>
      </c>
      <c r="W151" s="4">
        <v>783347</v>
      </c>
      <c r="X151" s="4">
        <v>774811</v>
      </c>
      <c r="Y151" s="4">
        <v>783347</v>
      </c>
    </row>
    <row r="152" spans="1:25" ht="19.5" customHeight="1" x14ac:dyDescent="0.25">
      <c r="A152" s="2" t="s">
        <v>408</v>
      </c>
      <c r="B152" s="2" t="s">
        <v>16</v>
      </c>
      <c r="C152" s="2" t="s">
        <v>414</v>
      </c>
      <c r="D152" s="2" t="s">
        <v>415</v>
      </c>
      <c r="E152" s="2" t="s">
        <v>416</v>
      </c>
      <c r="F152" s="3">
        <v>490618.23</v>
      </c>
      <c r="G152" s="3">
        <v>450000</v>
      </c>
      <c r="H152" s="3">
        <v>300000</v>
      </c>
      <c r="I152" s="3">
        <v>300000</v>
      </c>
      <c r="J152" s="3">
        <v>300000</v>
      </c>
      <c r="K152" s="3">
        <v>300000</v>
      </c>
      <c r="L152" s="4">
        <v>300000</v>
      </c>
      <c r="M152" s="4">
        <v>300000</v>
      </c>
      <c r="N152" s="4">
        <v>300000</v>
      </c>
      <c r="O152" s="4">
        <v>300000</v>
      </c>
      <c r="P152" s="4">
        <v>300000</v>
      </c>
      <c r="Q152" s="4">
        <v>300000</v>
      </c>
      <c r="R152" s="4">
        <v>300000</v>
      </c>
      <c r="S152" s="4">
        <v>300000</v>
      </c>
      <c r="T152" s="4">
        <v>300000</v>
      </c>
      <c r="U152" s="4">
        <v>300000</v>
      </c>
      <c r="V152" s="4">
        <v>300000</v>
      </c>
      <c r="W152" s="4">
        <v>300000</v>
      </c>
      <c r="X152" s="4">
        <v>300000</v>
      </c>
      <c r="Y152" s="4">
        <v>300000</v>
      </c>
    </row>
    <row r="153" spans="1:25" ht="19.5" customHeight="1" x14ac:dyDescent="0.25">
      <c r="A153" s="2" t="s">
        <v>417</v>
      </c>
      <c r="B153" s="2" t="s">
        <v>16</v>
      </c>
      <c r="C153" s="2" t="s">
        <v>20</v>
      </c>
      <c r="D153" s="2" t="s">
        <v>418</v>
      </c>
      <c r="E153" s="2" t="s">
        <v>419</v>
      </c>
      <c r="F153" s="3">
        <v>598865</v>
      </c>
      <c r="G153" s="3">
        <v>646294</v>
      </c>
      <c r="H153" s="3">
        <v>633410</v>
      </c>
      <c r="I153" s="3">
        <v>644408</v>
      </c>
      <c r="J153" s="3">
        <v>633410</v>
      </c>
      <c r="K153" s="3">
        <v>644408</v>
      </c>
      <c r="L153" s="4">
        <v>633410</v>
      </c>
      <c r="M153" s="4">
        <v>644408</v>
      </c>
      <c r="N153" s="4">
        <v>633410</v>
      </c>
      <c r="O153" s="4">
        <v>644408</v>
      </c>
      <c r="P153" s="4">
        <v>633410</v>
      </c>
      <c r="Q153" s="4">
        <v>644408</v>
      </c>
      <c r="R153" s="4">
        <v>633410</v>
      </c>
      <c r="S153" s="4">
        <v>644408</v>
      </c>
      <c r="T153" s="4">
        <v>633410</v>
      </c>
      <c r="U153" s="4">
        <v>644408</v>
      </c>
      <c r="V153" s="4">
        <v>633410</v>
      </c>
      <c r="W153" s="4">
        <v>644408</v>
      </c>
      <c r="X153" s="4">
        <v>633410</v>
      </c>
      <c r="Y153" s="4">
        <v>644408</v>
      </c>
    </row>
    <row r="154" spans="1:25" ht="19.5" customHeight="1" x14ac:dyDescent="0.25">
      <c r="A154" s="2" t="s">
        <v>420</v>
      </c>
      <c r="B154" s="2" t="s">
        <v>16</v>
      </c>
      <c r="C154" s="2" t="s">
        <v>421</v>
      </c>
      <c r="D154" s="2" t="s">
        <v>422</v>
      </c>
      <c r="E154" s="2" t="s">
        <v>423</v>
      </c>
      <c r="F154" s="3">
        <v>320464.34000000003</v>
      </c>
      <c r="G154" s="3">
        <v>385000</v>
      </c>
      <c r="H154" s="3">
        <v>385000</v>
      </c>
      <c r="I154" s="3">
        <v>385000</v>
      </c>
      <c r="J154" s="3">
        <v>385000</v>
      </c>
      <c r="K154" s="3">
        <v>385000</v>
      </c>
      <c r="L154" s="4">
        <v>385000</v>
      </c>
      <c r="M154" s="4">
        <v>385000</v>
      </c>
      <c r="N154" s="4">
        <v>385000</v>
      </c>
      <c r="O154" s="4">
        <v>385000</v>
      </c>
      <c r="P154" s="4">
        <v>385000</v>
      </c>
      <c r="Q154" s="4">
        <v>385000</v>
      </c>
      <c r="R154" s="4">
        <v>385000</v>
      </c>
      <c r="S154" s="4">
        <v>385000</v>
      </c>
      <c r="T154" s="4">
        <v>385000</v>
      </c>
      <c r="U154" s="4">
        <v>385000</v>
      </c>
      <c r="V154" s="4">
        <v>385000</v>
      </c>
      <c r="W154" s="4">
        <v>385000</v>
      </c>
      <c r="X154" s="4">
        <v>385000</v>
      </c>
      <c r="Y154" s="4">
        <v>385000</v>
      </c>
    </row>
    <row r="155" spans="1:25" ht="19.5" customHeight="1" x14ac:dyDescent="0.25">
      <c r="A155" s="2" t="s">
        <v>420</v>
      </c>
      <c r="B155" s="2" t="s">
        <v>16</v>
      </c>
      <c r="C155" s="2" t="s">
        <v>424</v>
      </c>
      <c r="D155" s="2" t="s">
        <v>425</v>
      </c>
      <c r="E155" s="2" t="s">
        <v>426</v>
      </c>
      <c r="F155" s="3">
        <v>50705.2</v>
      </c>
      <c r="G155" s="3">
        <v>165000</v>
      </c>
      <c r="H155" s="3">
        <v>165000</v>
      </c>
      <c r="I155" s="3">
        <v>165000</v>
      </c>
      <c r="J155" s="3">
        <v>165000</v>
      </c>
      <c r="K155" s="3">
        <v>165000</v>
      </c>
      <c r="L155" s="4">
        <v>165000</v>
      </c>
      <c r="M155" s="4">
        <v>165000</v>
      </c>
      <c r="N155" s="4">
        <v>165000</v>
      </c>
      <c r="O155" s="4">
        <v>165000</v>
      </c>
      <c r="P155" s="4">
        <v>165000</v>
      </c>
      <c r="Q155" s="4">
        <v>165000</v>
      </c>
      <c r="R155" s="4">
        <v>165000</v>
      </c>
      <c r="S155" s="4">
        <v>165000</v>
      </c>
      <c r="T155" s="4">
        <v>165000</v>
      </c>
      <c r="U155" s="4">
        <v>165000</v>
      </c>
      <c r="V155" s="4">
        <v>165000</v>
      </c>
      <c r="W155" s="4">
        <v>165000</v>
      </c>
      <c r="X155" s="4">
        <v>165000</v>
      </c>
      <c r="Y155" s="4">
        <v>165000</v>
      </c>
    </row>
    <row r="156" spans="1:25" ht="19.5" customHeight="1" x14ac:dyDescent="0.25">
      <c r="A156" s="2" t="s">
        <v>420</v>
      </c>
      <c r="B156" s="2" t="s">
        <v>16</v>
      </c>
      <c r="C156" s="2" t="s">
        <v>35</v>
      </c>
      <c r="D156" s="2" t="s">
        <v>427</v>
      </c>
      <c r="E156" s="2" t="s">
        <v>428</v>
      </c>
      <c r="F156" s="3">
        <v>0</v>
      </c>
      <c r="G156" s="3">
        <v>20000000</v>
      </c>
      <c r="H156" s="3">
        <v>0</v>
      </c>
      <c r="I156" s="3">
        <v>0</v>
      </c>
      <c r="J156" s="3">
        <v>0</v>
      </c>
      <c r="K156" s="3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</row>
    <row r="157" spans="1:25" ht="19.5" customHeight="1" x14ac:dyDescent="0.25">
      <c r="A157" s="2" t="s">
        <v>420</v>
      </c>
      <c r="B157" s="2" t="s">
        <v>44</v>
      </c>
      <c r="C157" s="2" t="s">
        <v>429</v>
      </c>
      <c r="D157" s="2" t="s">
        <v>430</v>
      </c>
      <c r="E157" s="2" t="s">
        <v>431</v>
      </c>
      <c r="F157" s="3">
        <v>661726</v>
      </c>
      <c r="G157" s="3">
        <v>1250000</v>
      </c>
      <c r="H157" s="3">
        <v>1250000</v>
      </c>
      <c r="I157" s="3">
        <v>1250000</v>
      </c>
      <c r="J157" s="3">
        <v>1250000</v>
      </c>
      <c r="K157" s="3">
        <v>1250000</v>
      </c>
      <c r="L157" s="4">
        <v>1250000</v>
      </c>
      <c r="M157" s="4">
        <v>1250000</v>
      </c>
      <c r="N157" s="4">
        <v>1250000</v>
      </c>
      <c r="O157" s="4">
        <v>1250000</v>
      </c>
      <c r="P157" s="4">
        <v>1250000</v>
      </c>
      <c r="Q157" s="4">
        <v>1250000</v>
      </c>
      <c r="R157" s="4">
        <v>1250000</v>
      </c>
      <c r="S157" s="4">
        <v>1250000</v>
      </c>
      <c r="T157" s="4">
        <v>1250000</v>
      </c>
      <c r="U157" s="4">
        <v>1250000</v>
      </c>
      <c r="V157" s="4">
        <v>1250000</v>
      </c>
      <c r="W157" s="4">
        <v>1250000</v>
      </c>
      <c r="X157" s="4">
        <v>1250000</v>
      </c>
      <c r="Y157" s="4">
        <v>1250000</v>
      </c>
    </row>
    <row r="158" spans="1:25" ht="19.5" customHeight="1" x14ac:dyDescent="0.25">
      <c r="A158" s="2" t="s">
        <v>420</v>
      </c>
      <c r="B158" s="2" t="s">
        <v>44</v>
      </c>
      <c r="C158" s="2" t="s">
        <v>432</v>
      </c>
      <c r="D158" s="2" t="s">
        <v>433</v>
      </c>
      <c r="E158" s="2" t="s">
        <v>434</v>
      </c>
      <c r="F158" s="3">
        <v>0</v>
      </c>
      <c r="G158" s="4">
        <v>517200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</row>
    <row r="159" spans="1:25" ht="19.5" customHeight="1" x14ac:dyDescent="0.25">
      <c r="A159" s="2" t="s">
        <v>420</v>
      </c>
      <c r="B159" s="2" t="s">
        <v>54</v>
      </c>
      <c r="C159" s="2" t="s">
        <v>54</v>
      </c>
      <c r="D159" s="2" t="s">
        <v>435</v>
      </c>
      <c r="E159" s="2" t="s">
        <v>22</v>
      </c>
      <c r="F159" s="3">
        <v>1961093.1200000001</v>
      </c>
      <c r="G159" s="3">
        <v>1961700</v>
      </c>
      <c r="H159" s="3">
        <v>1961700</v>
      </c>
      <c r="I159" s="3">
        <v>1961700</v>
      </c>
      <c r="J159" s="3">
        <v>1961700</v>
      </c>
      <c r="K159" s="3">
        <v>1961700</v>
      </c>
      <c r="L159" s="4">
        <v>1961700</v>
      </c>
      <c r="M159" s="4">
        <v>1961700</v>
      </c>
      <c r="N159" s="4">
        <v>1961700</v>
      </c>
      <c r="O159" s="4">
        <v>1961700</v>
      </c>
      <c r="P159" s="4">
        <v>1961700</v>
      </c>
      <c r="Q159" s="4">
        <v>1961700</v>
      </c>
      <c r="R159" s="4">
        <v>1961700</v>
      </c>
      <c r="S159" s="4">
        <v>1961700</v>
      </c>
      <c r="T159" s="4">
        <v>1961700</v>
      </c>
      <c r="U159" s="4">
        <v>1961700</v>
      </c>
      <c r="V159" s="4">
        <v>1961700</v>
      </c>
      <c r="W159" s="4">
        <v>1961700</v>
      </c>
      <c r="X159" s="4">
        <v>1961700</v>
      </c>
      <c r="Y159" s="4">
        <v>1961700</v>
      </c>
    </row>
    <row r="160" spans="1:25" ht="19.5" customHeight="1" x14ac:dyDescent="0.25">
      <c r="A160" s="2" t="s">
        <v>420</v>
      </c>
      <c r="B160" s="2" t="s">
        <v>54</v>
      </c>
      <c r="C160" s="2" t="s">
        <v>54</v>
      </c>
      <c r="D160" s="2" t="s">
        <v>436</v>
      </c>
      <c r="E160" s="2" t="s">
        <v>437</v>
      </c>
      <c r="F160" s="3">
        <v>18186885.5</v>
      </c>
      <c r="G160" s="3">
        <v>14469213</v>
      </c>
      <c r="H160" s="3">
        <v>14469213</v>
      </c>
      <c r="I160" s="3">
        <v>14469213</v>
      </c>
      <c r="J160" s="3">
        <v>15469213</v>
      </c>
      <c r="K160" s="3">
        <v>15469213</v>
      </c>
      <c r="L160" s="4">
        <v>15469213</v>
      </c>
      <c r="M160" s="4">
        <v>15469213</v>
      </c>
      <c r="N160" s="4">
        <v>15469213</v>
      </c>
      <c r="O160" s="4">
        <v>15469213</v>
      </c>
      <c r="P160" s="4">
        <v>18038300</v>
      </c>
      <c r="Q160" s="4">
        <v>18038300</v>
      </c>
      <c r="R160" s="4">
        <v>18038300</v>
      </c>
      <c r="S160" s="4">
        <v>18038300</v>
      </c>
      <c r="T160" s="4">
        <v>18038300</v>
      </c>
      <c r="U160" s="4">
        <v>18038300</v>
      </c>
      <c r="V160" s="4">
        <v>18038300</v>
      </c>
      <c r="W160" s="4">
        <v>18038300</v>
      </c>
      <c r="X160" s="4">
        <v>18038300</v>
      </c>
      <c r="Y160" s="4">
        <v>18038300</v>
      </c>
    </row>
    <row r="161" spans="1:25" ht="19.5" customHeight="1" x14ac:dyDescent="0.25">
      <c r="A161" s="2" t="s">
        <v>438</v>
      </c>
      <c r="B161" s="2" t="s">
        <v>16</v>
      </c>
      <c r="C161" s="2" t="s">
        <v>20</v>
      </c>
      <c r="D161" s="2" t="s">
        <v>439</v>
      </c>
      <c r="E161" s="2" t="s">
        <v>22</v>
      </c>
      <c r="F161" s="3">
        <v>278715.25</v>
      </c>
      <c r="G161" s="3">
        <v>331822</v>
      </c>
      <c r="H161" s="3">
        <v>280501</v>
      </c>
      <c r="I161" s="3">
        <v>275423</v>
      </c>
      <c r="J161" s="3">
        <v>280501</v>
      </c>
      <c r="K161" s="3">
        <v>275423</v>
      </c>
      <c r="L161" s="4">
        <v>280501</v>
      </c>
      <c r="M161" s="4">
        <v>275423</v>
      </c>
      <c r="N161" s="4">
        <v>280501</v>
      </c>
      <c r="O161" s="4">
        <v>275423</v>
      </c>
      <c r="P161" s="4">
        <v>280501</v>
      </c>
      <c r="Q161" s="4">
        <v>275423</v>
      </c>
      <c r="R161" s="4">
        <v>280501</v>
      </c>
      <c r="S161" s="4">
        <v>275423</v>
      </c>
      <c r="T161" s="4">
        <v>280501</v>
      </c>
      <c r="U161" s="4">
        <v>275423</v>
      </c>
      <c r="V161" s="4">
        <v>280501</v>
      </c>
      <c r="W161" s="4">
        <v>275423</v>
      </c>
      <c r="X161" s="4">
        <v>280501</v>
      </c>
      <c r="Y161" s="4">
        <v>275423</v>
      </c>
    </row>
    <row r="162" spans="1:25" ht="19.5" customHeight="1" x14ac:dyDescent="0.25">
      <c r="A162" s="2" t="s">
        <v>440</v>
      </c>
      <c r="B162" s="2" t="s">
        <v>16</v>
      </c>
      <c r="C162" s="2" t="s">
        <v>441</v>
      </c>
      <c r="D162" s="2" t="s">
        <v>442</v>
      </c>
      <c r="E162" s="2" t="s">
        <v>443</v>
      </c>
      <c r="F162" s="3">
        <v>9895772.8800000008</v>
      </c>
      <c r="G162" s="3">
        <v>10302741</v>
      </c>
      <c r="H162" s="3">
        <v>11818035</v>
      </c>
      <c r="I162" s="3">
        <v>11065646</v>
      </c>
      <c r="J162" s="3">
        <v>11818035</v>
      </c>
      <c r="K162" s="3">
        <v>11065646</v>
      </c>
      <c r="L162" s="4">
        <v>11818035</v>
      </c>
      <c r="M162" s="4">
        <v>11065646</v>
      </c>
      <c r="N162" s="4">
        <v>11818035</v>
      </c>
      <c r="O162" s="4">
        <v>11065646</v>
      </c>
      <c r="P162" s="4">
        <v>11818035</v>
      </c>
      <c r="Q162" s="4">
        <v>11065646</v>
      </c>
      <c r="R162" s="4">
        <v>11818035</v>
      </c>
      <c r="S162" s="4">
        <v>11065646</v>
      </c>
      <c r="T162" s="4">
        <v>11818035</v>
      </c>
      <c r="U162" s="4">
        <v>11065646</v>
      </c>
      <c r="V162" s="4">
        <v>11818035</v>
      </c>
      <c r="W162" s="4">
        <v>11065646</v>
      </c>
      <c r="X162" s="4">
        <v>11818035</v>
      </c>
      <c r="Y162" s="4">
        <v>11065646</v>
      </c>
    </row>
    <row r="163" spans="1:25" ht="19.5" customHeight="1" x14ac:dyDescent="0.25">
      <c r="A163" s="2" t="s">
        <v>440</v>
      </c>
      <c r="B163" s="2" t="s">
        <v>16</v>
      </c>
      <c r="C163" s="2" t="s">
        <v>444</v>
      </c>
      <c r="D163" s="2" t="s">
        <v>445</v>
      </c>
      <c r="E163" s="2" t="s">
        <v>446</v>
      </c>
      <c r="F163" s="3">
        <v>33562618.574000001</v>
      </c>
      <c r="G163" s="3">
        <v>34448724</v>
      </c>
      <c r="H163" s="3">
        <v>33931168</v>
      </c>
      <c r="I163" s="3">
        <v>32983559</v>
      </c>
      <c r="J163" s="3">
        <v>33931168</v>
      </c>
      <c r="K163" s="3">
        <v>32983559</v>
      </c>
      <c r="L163" s="4">
        <v>33931168</v>
      </c>
      <c r="M163" s="4">
        <v>32983559</v>
      </c>
      <c r="N163" s="4">
        <v>33931168</v>
      </c>
      <c r="O163" s="4">
        <v>32983559</v>
      </c>
      <c r="P163" s="4">
        <v>33931168</v>
      </c>
      <c r="Q163" s="4">
        <v>32983559</v>
      </c>
      <c r="R163" s="4">
        <v>33931168</v>
      </c>
      <c r="S163" s="4">
        <v>32983559</v>
      </c>
      <c r="T163" s="4">
        <v>33931168</v>
      </c>
      <c r="U163" s="4">
        <v>32983559</v>
      </c>
      <c r="V163" s="4">
        <v>33931168</v>
      </c>
      <c r="W163" s="4">
        <v>32983559</v>
      </c>
      <c r="X163" s="4">
        <v>33931168</v>
      </c>
      <c r="Y163" s="4">
        <v>32983559</v>
      </c>
    </row>
    <row r="164" spans="1:25" ht="19.5" customHeight="1" x14ac:dyDescent="0.25">
      <c r="A164" s="2" t="s">
        <v>440</v>
      </c>
      <c r="B164" s="2" t="s">
        <v>16</v>
      </c>
      <c r="C164" s="2" t="s">
        <v>447</v>
      </c>
      <c r="D164" s="2" t="s">
        <v>448</v>
      </c>
      <c r="E164" s="2" t="s">
        <v>449</v>
      </c>
      <c r="F164" s="3">
        <v>217166.42</v>
      </c>
      <c r="G164" s="3">
        <v>200000</v>
      </c>
      <c r="H164" s="3">
        <v>200000</v>
      </c>
      <c r="I164" s="3">
        <v>200000</v>
      </c>
      <c r="J164" s="3">
        <v>200000</v>
      </c>
      <c r="K164" s="3">
        <v>200000</v>
      </c>
      <c r="L164" s="4">
        <v>200000</v>
      </c>
      <c r="M164" s="4">
        <v>200000</v>
      </c>
      <c r="N164" s="4">
        <v>200000</v>
      </c>
      <c r="O164" s="4">
        <v>200000</v>
      </c>
      <c r="P164" s="4">
        <v>200000</v>
      </c>
      <c r="Q164" s="4">
        <v>200000</v>
      </c>
      <c r="R164" s="4">
        <v>200000</v>
      </c>
      <c r="S164" s="4">
        <v>200000</v>
      </c>
      <c r="T164" s="4">
        <v>200000</v>
      </c>
      <c r="U164" s="4">
        <v>200000</v>
      </c>
      <c r="V164" s="4">
        <v>200000</v>
      </c>
      <c r="W164" s="4">
        <v>200000</v>
      </c>
      <c r="X164" s="4">
        <v>200000</v>
      </c>
      <c r="Y164" s="4">
        <v>200000</v>
      </c>
    </row>
    <row r="165" spans="1:25" ht="19.5" customHeight="1" x14ac:dyDescent="0.25">
      <c r="A165" s="2" t="s">
        <v>440</v>
      </c>
      <c r="B165" s="2" t="s">
        <v>16</v>
      </c>
      <c r="C165" s="2" t="s">
        <v>450</v>
      </c>
      <c r="D165" s="2" t="s">
        <v>451</v>
      </c>
      <c r="E165" s="2" t="s">
        <v>452</v>
      </c>
      <c r="F165" s="3">
        <v>105629.47</v>
      </c>
      <c r="G165" s="3">
        <v>100000</v>
      </c>
      <c r="H165" s="3">
        <v>125000</v>
      </c>
      <c r="I165" s="3">
        <v>125000</v>
      </c>
      <c r="J165" s="3">
        <v>125000</v>
      </c>
      <c r="K165" s="3">
        <v>125000</v>
      </c>
      <c r="L165" s="4">
        <v>125000</v>
      </c>
      <c r="M165" s="4">
        <v>125000</v>
      </c>
      <c r="N165" s="4">
        <v>125000</v>
      </c>
      <c r="O165" s="4">
        <v>125000</v>
      </c>
      <c r="P165" s="4">
        <v>125000</v>
      </c>
      <c r="Q165" s="4">
        <v>125000</v>
      </c>
      <c r="R165" s="4">
        <v>125000</v>
      </c>
      <c r="S165" s="4">
        <v>125000</v>
      </c>
      <c r="T165" s="4">
        <v>125000</v>
      </c>
      <c r="U165" s="4">
        <v>125000</v>
      </c>
      <c r="V165" s="4">
        <v>125000</v>
      </c>
      <c r="W165" s="4">
        <v>125000</v>
      </c>
      <c r="X165" s="4">
        <v>125000</v>
      </c>
      <c r="Y165" s="4">
        <v>125000</v>
      </c>
    </row>
    <row r="166" spans="1:25" ht="19.5" customHeight="1" x14ac:dyDescent="0.25">
      <c r="A166" s="2" t="s">
        <v>440</v>
      </c>
      <c r="B166" s="2" t="s">
        <v>16</v>
      </c>
      <c r="C166" s="2" t="s">
        <v>453</v>
      </c>
      <c r="D166" s="2" t="s">
        <v>454</v>
      </c>
      <c r="E166" s="2" t="s">
        <v>455</v>
      </c>
      <c r="F166" s="3">
        <v>8385995.21</v>
      </c>
      <c r="G166" s="3">
        <v>10000000</v>
      </c>
      <c r="H166" s="3">
        <v>12215435</v>
      </c>
      <c r="I166" s="3">
        <v>13905599</v>
      </c>
      <c r="J166" s="3">
        <v>12215435</v>
      </c>
      <c r="K166" s="3">
        <v>13905599</v>
      </c>
      <c r="L166" s="4">
        <v>12215435</v>
      </c>
      <c r="M166" s="4">
        <v>13905599</v>
      </c>
      <c r="N166" s="4">
        <v>12215435</v>
      </c>
      <c r="O166" s="4">
        <v>13905599</v>
      </c>
      <c r="P166" s="4">
        <v>12215435</v>
      </c>
      <c r="Q166" s="4">
        <v>13905599</v>
      </c>
      <c r="R166" s="4">
        <v>12215435</v>
      </c>
      <c r="S166" s="4">
        <v>13905599</v>
      </c>
      <c r="T166" s="4">
        <v>12215435</v>
      </c>
      <c r="U166" s="4">
        <v>13905599</v>
      </c>
      <c r="V166" s="4">
        <v>12215435</v>
      </c>
      <c r="W166" s="4">
        <v>13905599</v>
      </c>
      <c r="X166" s="4">
        <v>12215435</v>
      </c>
      <c r="Y166" s="4">
        <v>13905599</v>
      </c>
    </row>
    <row r="167" spans="1:25" ht="19.5" customHeight="1" x14ac:dyDescent="0.25">
      <c r="A167" s="2" t="s">
        <v>440</v>
      </c>
      <c r="B167" s="2" t="s">
        <v>16</v>
      </c>
      <c r="C167" s="2" t="s">
        <v>456</v>
      </c>
      <c r="D167" s="2" t="s">
        <v>457</v>
      </c>
      <c r="E167" s="2" t="s">
        <v>458</v>
      </c>
      <c r="F167" s="3">
        <v>4623683.54</v>
      </c>
      <c r="G167" s="3">
        <v>6800000</v>
      </c>
      <c r="H167" s="3">
        <v>4142777</v>
      </c>
      <c r="I167" s="3">
        <v>5705108</v>
      </c>
      <c r="J167" s="3">
        <v>4142777</v>
      </c>
      <c r="K167" s="3">
        <v>5705108</v>
      </c>
      <c r="L167" s="4">
        <v>4142777</v>
      </c>
      <c r="M167" s="4">
        <v>5705108</v>
      </c>
      <c r="N167" s="4">
        <v>4142777</v>
      </c>
      <c r="O167" s="4">
        <v>5705108</v>
      </c>
      <c r="P167" s="4">
        <v>4142777</v>
      </c>
      <c r="Q167" s="4">
        <v>5705108</v>
      </c>
      <c r="R167" s="4">
        <v>4142777</v>
      </c>
      <c r="S167" s="4">
        <v>5705108</v>
      </c>
      <c r="T167" s="4">
        <v>4142777</v>
      </c>
      <c r="U167" s="4">
        <v>5705108</v>
      </c>
      <c r="V167" s="4">
        <v>4142777</v>
      </c>
      <c r="W167" s="4">
        <v>5705108</v>
      </c>
      <c r="X167" s="4">
        <v>4142777</v>
      </c>
      <c r="Y167" s="4">
        <v>5705108</v>
      </c>
    </row>
    <row r="168" spans="1:25" ht="19.5" customHeight="1" x14ac:dyDescent="0.25">
      <c r="A168" s="2" t="s">
        <v>440</v>
      </c>
      <c r="B168" s="2" t="s">
        <v>54</v>
      </c>
      <c r="C168" s="2" t="s">
        <v>54</v>
      </c>
      <c r="D168" s="2" t="s">
        <v>459</v>
      </c>
      <c r="E168" s="2" t="s">
        <v>22</v>
      </c>
      <c r="F168" s="3">
        <v>942755.12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</row>
    <row r="169" spans="1:25" ht="19.5" customHeight="1" x14ac:dyDescent="0.25">
      <c r="A169" s="2" t="s">
        <v>440</v>
      </c>
      <c r="B169" s="2" t="s">
        <v>54</v>
      </c>
      <c r="C169" s="2" t="s">
        <v>54</v>
      </c>
      <c r="D169" s="2" t="s">
        <v>460</v>
      </c>
      <c r="E169" s="2" t="s">
        <v>461</v>
      </c>
      <c r="F169" s="3">
        <v>11468244.859999999</v>
      </c>
      <c r="G169" s="3">
        <v>12189612</v>
      </c>
      <c r="H169" s="3">
        <v>12046143</v>
      </c>
      <c r="I169" s="3">
        <v>12344795</v>
      </c>
      <c r="J169" s="3">
        <v>12046143</v>
      </c>
      <c r="K169" s="3">
        <v>12344795</v>
      </c>
      <c r="L169" s="4">
        <v>12046143</v>
      </c>
      <c r="M169" s="4">
        <v>12344795</v>
      </c>
      <c r="N169" s="4">
        <v>12046143</v>
      </c>
      <c r="O169" s="4">
        <v>12344795</v>
      </c>
      <c r="P169" s="4">
        <v>12046143</v>
      </c>
      <c r="Q169" s="4">
        <v>12344795</v>
      </c>
      <c r="R169" s="4">
        <v>12046143</v>
      </c>
      <c r="S169" s="4">
        <v>12344795</v>
      </c>
      <c r="T169" s="4">
        <v>12046143</v>
      </c>
      <c r="U169" s="4">
        <v>12344795</v>
      </c>
      <c r="V169" s="4">
        <v>12046143</v>
      </c>
      <c r="W169" s="4">
        <v>12344795</v>
      </c>
      <c r="X169" s="4">
        <v>12046143</v>
      </c>
      <c r="Y169" s="4">
        <v>12344795</v>
      </c>
    </row>
    <row r="170" spans="1:25" ht="19.5" customHeight="1" x14ac:dyDescent="0.25">
      <c r="A170" s="2" t="s">
        <v>440</v>
      </c>
      <c r="B170" s="2" t="s">
        <v>54</v>
      </c>
      <c r="C170" s="2" t="s">
        <v>54</v>
      </c>
      <c r="D170" s="2" t="s">
        <v>462</v>
      </c>
      <c r="E170" s="2" t="s">
        <v>463</v>
      </c>
      <c r="F170" s="3">
        <v>1556084.94</v>
      </c>
      <c r="G170" s="3">
        <v>1600000</v>
      </c>
      <c r="H170" s="3">
        <v>1950971</v>
      </c>
      <c r="I170" s="3">
        <v>1977596</v>
      </c>
      <c r="J170" s="3">
        <v>1950971</v>
      </c>
      <c r="K170" s="3">
        <v>1977596</v>
      </c>
      <c r="L170" s="4">
        <v>1950971</v>
      </c>
      <c r="M170" s="4">
        <v>1977596</v>
      </c>
      <c r="N170" s="4">
        <v>1950971</v>
      </c>
      <c r="O170" s="4">
        <v>1977596</v>
      </c>
      <c r="P170" s="4">
        <v>1950971</v>
      </c>
      <c r="Q170" s="4">
        <v>1977596</v>
      </c>
      <c r="R170" s="4">
        <v>1950971</v>
      </c>
      <c r="S170" s="4">
        <v>1977596</v>
      </c>
      <c r="T170" s="4">
        <v>1950971</v>
      </c>
      <c r="U170" s="4">
        <v>1977596</v>
      </c>
      <c r="V170" s="4">
        <v>1950971</v>
      </c>
      <c r="W170" s="4">
        <v>1977596</v>
      </c>
      <c r="X170" s="4">
        <v>1950971</v>
      </c>
      <c r="Y170" s="4">
        <v>1977596</v>
      </c>
    </row>
    <row r="171" spans="1:25" ht="19.5" customHeight="1" x14ac:dyDescent="0.25">
      <c r="A171" s="2" t="s">
        <v>440</v>
      </c>
      <c r="B171" s="2" t="s">
        <v>54</v>
      </c>
      <c r="C171" s="2" t="s">
        <v>54</v>
      </c>
      <c r="D171" s="2" t="s">
        <v>464</v>
      </c>
      <c r="E171" s="2" t="s">
        <v>465</v>
      </c>
      <c r="F171" s="3">
        <v>521070.08000000002</v>
      </c>
      <c r="G171" s="3">
        <v>550000</v>
      </c>
      <c r="H171" s="3">
        <v>550000</v>
      </c>
      <c r="I171" s="3">
        <v>550000</v>
      </c>
      <c r="J171" s="3">
        <v>550000</v>
      </c>
      <c r="K171" s="3">
        <v>550000</v>
      </c>
      <c r="L171" s="4">
        <v>550000</v>
      </c>
      <c r="M171" s="4">
        <v>550000</v>
      </c>
      <c r="N171" s="4">
        <v>550000</v>
      </c>
      <c r="O171" s="4">
        <v>550000</v>
      </c>
      <c r="P171" s="4">
        <v>550000</v>
      </c>
      <c r="Q171" s="4">
        <v>550000</v>
      </c>
      <c r="R171" s="4">
        <v>550000</v>
      </c>
      <c r="S171" s="4">
        <v>550000</v>
      </c>
      <c r="T171" s="4">
        <v>550000</v>
      </c>
      <c r="U171" s="4">
        <v>550000</v>
      </c>
      <c r="V171" s="4">
        <v>550000</v>
      </c>
      <c r="W171" s="4">
        <v>550000</v>
      </c>
      <c r="X171" s="4">
        <v>550000</v>
      </c>
      <c r="Y171" s="4">
        <v>550000</v>
      </c>
    </row>
    <row r="172" spans="1:25" ht="19.5" customHeight="1" x14ac:dyDescent="0.25">
      <c r="A172" s="2" t="s">
        <v>440</v>
      </c>
      <c r="B172" s="2" t="s">
        <v>54</v>
      </c>
      <c r="C172" s="2" t="s">
        <v>54</v>
      </c>
      <c r="D172" s="2" t="s">
        <v>466</v>
      </c>
      <c r="E172" s="2" t="s">
        <v>467</v>
      </c>
      <c r="F172" s="3">
        <v>2230134.62</v>
      </c>
      <c r="G172" s="3">
        <v>2400000</v>
      </c>
      <c r="H172" s="3">
        <v>2400000</v>
      </c>
      <c r="I172" s="3">
        <v>2400000</v>
      </c>
      <c r="J172" s="3">
        <v>2400000</v>
      </c>
      <c r="K172" s="3">
        <v>2400000</v>
      </c>
      <c r="L172" s="4">
        <v>2400000</v>
      </c>
      <c r="M172" s="4">
        <v>2400000</v>
      </c>
      <c r="N172" s="4">
        <v>2400000</v>
      </c>
      <c r="O172" s="4">
        <v>2400000</v>
      </c>
      <c r="P172" s="4">
        <v>2400000</v>
      </c>
      <c r="Q172" s="4">
        <v>2400000</v>
      </c>
      <c r="R172" s="4">
        <v>2400000</v>
      </c>
      <c r="S172" s="4">
        <v>2400000</v>
      </c>
      <c r="T172" s="4">
        <v>2400000</v>
      </c>
      <c r="U172" s="4">
        <v>2400000</v>
      </c>
      <c r="V172" s="4">
        <v>2400000</v>
      </c>
      <c r="W172" s="4">
        <v>2400000</v>
      </c>
      <c r="X172" s="4">
        <v>2400000</v>
      </c>
      <c r="Y172" s="4">
        <v>2400000</v>
      </c>
    </row>
    <row r="173" spans="1:25" ht="19.5" customHeight="1" x14ac:dyDescent="0.25">
      <c r="A173" s="2" t="s">
        <v>440</v>
      </c>
      <c r="B173" s="2" t="s">
        <v>54</v>
      </c>
      <c r="C173" s="2" t="s">
        <v>54</v>
      </c>
      <c r="D173" s="2" t="s">
        <v>468</v>
      </c>
      <c r="E173" s="2" t="s">
        <v>469</v>
      </c>
      <c r="F173" s="3">
        <v>25885.1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</row>
    <row r="174" spans="1:25" ht="19.5" customHeight="1" x14ac:dyDescent="0.25">
      <c r="A174" s="2" t="s">
        <v>440</v>
      </c>
      <c r="B174" s="2" t="s">
        <v>54</v>
      </c>
      <c r="C174" s="2" t="s">
        <v>54</v>
      </c>
      <c r="D174" s="2" t="s">
        <v>470</v>
      </c>
      <c r="E174" s="2" t="s">
        <v>471</v>
      </c>
      <c r="F174" s="3">
        <v>12474787.575999999</v>
      </c>
      <c r="G174" s="3">
        <v>13200000</v>
      </c>
      <c r="H174" s="3">
        <v>13200000</v>
      </c>
      <c r="I174" s="3">
        <v>13200000</v>
      </c>
      <c r="J174" s="3">
        <v>13200000</v>
      </c>
      <c r="K174" s="3">
        <v>13200000</v>
      </c>
      <c r="L174" s="4">
        <v>13200000</v>
      </c>
      <c r="M174" s="4">
        <v>13200000</v>
      </c>
      <c r="N174" s="4">
        <v>13200000</v>
      </c>
      <c r="O174" s="4">
        <v>13200000</v>
      </c>
      <c r="P174" s="4">
        <v>13200000</v>
      </c>
      <c r="Q174" s="4">
        <v>13200000</v>
      </c>
      <c r="R174" s="4">
        <v>13200000</v>
      </c>
      <c r="S174" s="4">
        <v>13200000</v>
      </c>
      <c r="T174" s="4">
        <v>13200000</v>
      </c>
      <c r="U174" s="4">
        <v>13200000</v>
      </c>
      <c r="V174" s="4">
        <v>13200000</v>
      </c>
      <c r="W174" s="4">
        <v>13200000</v>
      </c>
      <c r="X174" s="4">
        <v>13200000</v>
      </c>
      <c r="Y174" s="4">
        <v>13200000</v>
      </c>
    </row>
    <row r="175" spans="1:25" ht="19.5" customHeight="1" x14ac:dyDescent="0.25">
      <c r="A175" s="2" t="s">
        <v>472</v>
      </c>
      <c r="B175" s="2" t="s">
        <v>16</v>
      </c>
      <c r="C175" s="2" t="s">
        <v>473</v>
      </c>
      <c r="D175" s="2" t="s">
        <v>474</v>
      </c>
      <c r="E175" s="2" t="s">
        <v>475</v>
      </c>
      <c r="F175" s="3">
        <v>921222.15</v>
      </c>
      <c r="G175" s="3">
        <v>1876000</v>
      </c>
      <c r="H175" s="3">
        <v>1688400</v>
      </c>
      <c r="I175" s="3">
        <v>1688400</v>
      </c>
      <c r="J175" s="3">
        <v>1688400</v>
      </c>
      <c r="K175" s="3">
        <v>1688400</v>
      </c>
      <c r="L175" s="4">
        <v>1688400</v>
      </c>
      <c r="M175" s="4">
        <v>1688400</v>
      </c>
      <c r="N175" s="4">
        <v>1688400</v>
      </c>
      <c r="O175" s="4">
        <v>1688400</v>
      </c>
      <c r="P175" s="4">
        <v>1688400</v>
      </c>
      <c r="Q175" s="4">
        <v>1688400</v>
      </c>
      <c r="R175" s="4">
        <v>1688400</v>
      </c>
      <c r="S175" s="4">
        <v>1688400</v>
      </c>
      <c r="T175" s="4">
        <v>1688400</v>
      </c>
      <c r="U175" s="4">
        <v>1688400</v>
      </c>
      <c r="V175" s="4">
        <v>1688400</v>
      </c>
      <c r="W175" s="4">
        <v>1688400</v>
      </c>
      <c r="X175" s="4">
        <v>1688400</v>
      </c>
      <c r="Y175" s="4">
        <v>1688400</v>
      </c>
    </row>
    <row r="176" spans="1:25" ht="19.5" customHeight="1" x14ac:dyDescent="0.25">
      <c r="A176" s="2" t="s">
        <v>476</v>
      </c>
      <c r="B176" s="2" t="s">
        <v>477</v>
      </c>
      <c r="C176" s="2" t="s">
        <v>478</v>
      </c>
      <c r="D176" s="2" t="s">
        <v>479</v>
      </c>
      <c r="E176" s="2" t="s">
        <v>480</v>
      </c>
      <c r="F176" s="3">
        <v>3464697.24</v>
      </c>
      <c r="G176" s="3">
        <v>4989518</v>
      </c>
      <c r="H176" s="3">
        <v>5000000</v>
      </c>
      <c r="I176" s="3">
        <v>5000000</v>
      </c>
      <c r="J176" s="3">
        <v>5000000</v>
      </c>
      <c r="K176" s="3">
        <v>5000000</v>
      </c>
      <c r="L176" s="4">
        <v>5000000</v>
      </c>
      <c r="M176" s="4">
        <v>5000000</v>
      </c>
      <c r="N176" s="4">
        <v>5000000</v>
      </c>
      <c r="O176" s="4">
        <v>5000000</v>
      </c>
      <c r="P176" s="4">
        <v>6000000</v>
      </c>
      <c r="Q176" s="4">
        <v>6000000</v>
      </c>
      <c r="R176" s="4">
        <v>6000000</v>
      </c>
      <c r="S176" s="4">
        <v>6000000</v>
      </c>
      <c r="T176" s="4">
        <v>6000000</v>
      </c>
      <c r="U176" s="4">
        <v>6000000</v>
      </c>
      <c r="V176" s="4">
        <v>5000000</v>
      </c>
      <c r="W176" s="4">
        <v>5000000</v>
      </c>
      <c r="X176" s="4">
        <v>5000000</v>
      </c>
      <c r="Y176" s="4">
        <v>5000000</v>
      </c>
    </row>
    <row r="177" spans="1:25" ht="19.5" customHeight="1" x14ac:dyDescent="0.25">
      <c r="A177" s="2" t="s">
        <v>476</v>
      </c>
      <c r="B177" s="2" t="s">
        <v>477</v>
      </c>
      <c r="C177" s="2" t="s">
        <v>481</v>
      </c>
      <c r="D177" s="2" t="s">
        <v>482</v>
      </c>
      <c r="E177" s="2" t="s">
        <v>483</v>
      </c>
      <c r="F177" s="3">
        <v>3006080.53</v>
      </c>
      <c r="G177" s="3">
        <v>2910482</v>
      </c>
      <c r="H177" s="3">
        <v>3000000</v>
      </c>
      <c r="I177" s="3">
        <v>3000000</v>
      </c>
      <c r="J177" s="3">
        <v>3000000</v>
      </c>
      <c r="K177" s="3">
        <v>3000000</v>
      </c>
      <c r="L177" s="4">
        <v>3000000</v>
      </c>
      <c r="M177" s="4">
        <v>3000000</v>
      </c>
      <c r="N177" s="4">
        <v>3000000</v>
      </c>
      <c r="O177" s="4">
        <v>3000000</v>
      </c>
      <c r="P177" s="4">
        <v>3000000</v>
      </c>
      <c r="Q177" s="4">
        <v>3000000</v>
      </c>
      <c r="R177" s="4">
        <v>3000000</v>
      </c>
      <c r="S177" s="4">
        <v>3000000</v>
      </c>
      <c r="T177" s="4">
        <v>3000000</v>
      </c>
      <c r="U177" s="4">
        <v>3000000</v>
      </c>
      <c r="V177" s="4">
        <v>3000000</v>
      </c>
      <c r="W177" s="4">
        <v>3000000</v>
      </c>
      <c r="X177" s="4">
        <v>3000000</v>
      </c>
      <c r="Y177" s="4">
        <v>3000000</v>
      </c>
    </row>
    <row r="178" spans="1:25" ht="19.5" customHeight="1" x14ac:dyDescent="0.25">
      <c r="A178" s="2" t="s">
        <v>476</v>
      </c>
      <c r="B178" s="2" t="s">
        <v>16</v>
      </c>
      <c r="C178" s="2" t="s">
        <v>484</v>
      </c>
      <c r="D178" s="2" t="s">
        <v>485</v>
      </c>
      <c r="E178" s="2" t="s">
        <v>486</v>
      </c>
      <c r="F178" s="3">
        <v>567850.84</v>
      </c>
      <c r="G178" s="3">
        <v>744562</v>
      </c>
      <c r="H178" s="3">
        <v>800485</v>
      </c>
      <c r="I178" s="3">
        <v>825000</v>
      </c>
      <c r="J178" s="3">
        <v>800485</v>
      </c>
      <c r="K178" s="3">
        <v>825000</v>
      </c>
      <c r="L178" s="4">
        <v>800485</v>
      </c>
      <c r="M178" s="4">
        <v>825000</v>
      </c>
      <c r="N178" s="4">
        <v>800485</v>
      </c>
      <c r="O178" s="4">
        <v>825000</v>
      </c>
      <c r="P178" s="4">
        <v>800485</v>
      </c>
      <c r="Q178" s="4">
        <v>825000</v>
      </c>
      <c r="R178" s="4">
        <v>800485</v>
      </c>
      <c r="S178" s="4">
        <v>825000</v>
      </c>
      <c r="T178" s="4">
        <v>800485</v>
      </c>
      <c r="U178" s="4">
        <v>825000</v>
      </c>
      <c r="V178" s="4">
        <v>800485</v>
      </c>
      <c r="W178" s="4">
        <v>825000</v>
      </c>
      <c r="X178" s="4">
        <v>800485</v>
      </c>
      <c r="Y178" s="4">
        <v>825000</v>
      </c>
    </row>
    <row r="179" spans="1:25" ht="19.5" customHeight="1" x14ac:dyDescent="0.25">
      <c r="A179" s="2" t="s">
        <v>476</v>
      </c>
      <c r="B179" s="2" t="s">
        <v>16</v>
      </c>
      <c r="C179" s="2" t="s">
        <v>487</v>
      </c>
      <c r="D179" s="2" t="s">
        <v>488</v>
      </c>
      <c r="E179" s="2" t="s">
        <v>489</v>
      </c>
      <c r="F179" s="3">
        <v>68101.66</v>
      </c>
      <c r="G179" s="3">
        <v>199250</v>
      </c>
      <c r="H179" s="3">
        <v>199250</v>
      </c>
      <c r="I179" s="3">
        <v>199250</v>
      </c>
      <c r="J179" s="3">
        <v>199250</v>
      </c>
      <c r="K179" s="3">
        <v>199250</v>
      </c>
      <c r="L179" s="4">
        <v>199250</v>
      </c>
      <c r="M179" s="4">
        <v>199250</v>
      </c>
      <c r="N179" s="4">
        <v>199250</v>
      </c>
      <c r="O179" s="4">
        <v>199250</v>
      </c>
      <c r="P179" s="4">
        <v>199250</v>
      </c>
      <c r="Q179" s="4">
        <v>199250</v>
      </c>
      <c r="R179" s="4">
        <v>199250</v>
      </c>
      <c r="S179" s="4">
        <v>199250</v>
      </c>
      <c r="T179" s="4">
        <v>199250</v>
      </c>
      <c r="U179" s="4">
        <v>199250</v>
      </c>
      <c r="V179" s="4">
        <v>199250</v>
      </c>
      <c r="W179" s="4">
        <v>199250</v>
      </c>
      <c r="X179" s="4">
        <v>199250</v>
      </c>
      <c r="Y179" s="4">
        <v>199250</v>
      </c>
    </row>
    <row r="180" spans="1:25" ht="19.5" customHeight="1" x14ac:dyDescent="0.25">
      <c r="A180" s="2" t="s">
        <v>476</v>
      </c>
      <c r="B180" s="2" t="s">
        <v>16</v>
      </c>
      <c r="C180" s="2" t="s">
        <v>490</v>
      </c>
      <c r="D180" s="2" t="s">
        <v>491</v>
      </c>
      <c r="E180" s="2" t="s">
        <v>492</v>
      </c>
      <c r="F180" s="3">
        <v>47991.78</v>
      </c>
      <c r="G180" s="3">
        <v>60000</v>
      </c>
      <c r="H180" s="3">
        <v>63000</v>
      </c>
      <c r="I180" s="3">
        <v>65000</v>
      </c>
      <c r="J180" s="3">
        <v>63000</v>
      </c>
      <c r="K180" s="3">
        <v>65000</v>
      </c>
      <c r="L180" s="4">
        <v>63000</v>
      </c>
      <c r="M180" s="4">
        <v>65000</v>
      </c>
      <c r="N180" s="4">
        <v>63000</v>
      </c>
      <c r="O180" s="4">
        <v>65000</v>
      </c>
      <c r="P180" s="4">
        <v>63000</v>
      </c>
      <c r="Q180" s="4">
        <v>65000</v>
      </c>
      <c r="R180" s="4">
        <v>63000</v>
      </c>
      <c r="S180" s="4">
        <v>65000</v>
      </c>
      <c r="T180" s="4">
        <v>63000</v>
      </c>
      <c r="U180" s="4">
        <v>65000</v>
      </c>
      <c r="V180" s="4">
        <v>63000</v>
      </c>
      <c r="W180" s="4">
        <v>65000</v>
      </c>
      <c r="X180" s="4">
        <v>63000</v>
      </c>
      <c r="Y180" s="4">
        <v>65000</v>
      </c>
    </row>
    <row r="181" spans="1:25" ht="19.5" customHeight="1" x14ac:dyDescent="0.25">
      <c r="A181" s="2" t="s">
        <v>476</v>
      </c>
      <c r="B181" s="2" t="s">
        <v>16</v>
      </c>
      <c r="C181" s="2" t="s">
        <v>35</v>
      </c>
      <c r="D181" s="2" t="s">
        <v>493</v>
      </c>
      <c r="E181" s="2" t="s">
        <v>494</v>
      </c>
      <c r="F181" s="3">
        <v>0</v>
      </c>
      <c r="G181" s="3">
        <v>4915000</v>
      </c>
      <c r="H181" s="3">
        <v>0</v>
      </c>
      <c r="I181" s="3">
        <v>0</v>
      </c>
      <c r="J181" s="3">
        <v>0</v>
      </c>
      <c r="K181" s="3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</row>
    <row r="182" spans="1:25" ht="19.5" customHeight="1" x14ac:dyDescent="0.25">
      <c r="A182" s="2" t="s">
        <v>476</v>
      </c>
      <c r="B182" s="2" t="s">
        <v>16</v>
      </c>
      <c r="C182" s="2" t="s">
        <v>35</v>
      </c>
      <c r="D182" s="2" t="s">
        <v>495</v>
      </c>
      <c r="E182" s="2" t="s">
        <v>496</v>
      </c>
      <c r="F182" s="3">
        <v>0</v>
      </c>
      <c r="G182" s="3">
        <v>141123261</v>
      </c>
      <c r="H182" s="3">
        <v>0</v>
      </c>
      <c r="I182" s="3">
        <v>0</v>
      </c>
      <c r="J182" s="3">
        <v>0</v>
      </c>
      <c r="K182" s="3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</row>
    <row r="183" spans="1:25" ht="19.5" customHeight="1" x14ac:dyDescent="0.25">
      <c r="A183" s="2" t="s">
        <v>476</v>
      </c>
      <c r="B183" s="2" t="s">
        <v>16</v>
      </c>
      <c r="C183" s="2" t="s">
        <v>35</v>
      </c>
      <c r="D183" s="2" t="s">
        <v>497</v>
      </c>
      <c r="E183" s="2" t="s">
        <v>498</v>
      </c>
      <c r="F183" s="3">
        <v>0</v>
      </c>
      <c r="G183" s="3">
        <v>78292058</v>
      </c>
      <c r="H183" s="3">
        <v>0</v>
      </c>
      <c r="I183" s="3">
        <v>0</v>
      </c>
      <c r="J183" s="3">
        <v>0</v>
      </c>
      <c r="K183" s="3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</row>
    <row r="184" spans="1:25" ht="19.5" customHeight="1" x14ac:dyDescent="0.25">
      <c r="A184" s="2" t="s">
        <v>476</v>
      </c>
      <c r="B184" s="2" t="s">
        <v>16</v>
      </c>
      <c r="C184" s="2" t="s">
        <v>35</v>
      </c>
      <c r="D184" s="2" t="s">
        <v>499</v>
      </c>
      <c r="E184" s="2" t="s">
        <v>500</v>
      </c>
      <c r="F184" s="3">
        <v>0</v>
      </c>
      <c r="G184" s="3">
        <v>80584681</v>
      </c>
      <c r="H184" s="3">
        <v>0</v>
      </c>
      <c r="I184" s="3">
        <v>0</v>
      </c>
      <c r="J184" s="3">
        <v>0</v>
      </c>
      <c r="K184" s="3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</row>
    <row r="185" spans="1:25" ht="19.5" customHeight="1" x14ac:dyDescent="0.25">
      <c r="A185" s="2" t="s">
        <v>476</v>
      </c>
      <c r="B185" s="2" t="s">
        <v>16</v>
      </c>
      <c r="C185" s="2" t="s">
        <v>501</v>
      </c>
      <c r="D185" s="2" t="s">
        <v>502</v>
      </c>
      <c r="E185" s="2" t="s">
        <v>503</v>
      </c>
      <c r="F185" s="3">
        <v>836853.64</v>
      </c>
      <c r="G185" s="3">
        <v>1000000</v>
      </c>
      <c r="H185" s="3">
        <v>1000000</v>
      </c>
      <c r="I185" s="3">
        <v>1000000</v>
      </c>
      <c r="J185" s="3">
        <v>1000000</v>
      </c>
      <c r="K185" s="3">
        <v>1000000</v>
      </c>
      <c r="L185" s="4">
        <v>1000000</v>
      </c>
      <c r="M185" s="4">
        <v>1000000</v>
      </c>
      <c r="N185" s="4">
        <v>1000000</v>
      </c>
      <c r="O185" s="4">
        <v>1000000</v>
      </c>
      <c r="P185" s="4">
        <v>1000000</v>
      </c>
      <c r="Q185" s="4">
        <v>1000000</v>
      </c>
      <c r="R185" s="4">
        <v>1000000</v>
      </c>
      <c r="S185" s="4">
        <v>1000000</v>
      </c>
      <c r="T185" s="4">
        <v>1000000</v>
      </c>
      <c r="U185" s="4">
        <v>1000000</v>
      </c>
      <c r="V185" s="4">
        <v>1000000</v>
      </c>
      <c r="W185" s="4">
        <v>1000000</v>
      </c>
      <c r="X185" s="4">
        <v>1000000</v>
      </c>
      <c r="Y185" s="4">
        <v>1000000</v>
      </c>
    </row>
    <row r="186" spans="1:25" ht="19.5" customHeight="1" x14ac:dyDescent="0.25">
      <c r="A186" s="2" t="s">
        <v>476</v>
      </c>
      <c r="B186" s="2" t="s">
        <v>16</v>
      </c>
      <c r="C186" s="2" t="s">
        <v>504</v>
      </c>
      <c r="D186" s="2" t="s">
        <v>505</v>
      </c>
      <c r="E186" s="2" t="s">
        <v>506</v>
      </c>
      <c r="F186" s="3">
        <v>890064.7</v>
      </c>
      <c r="G186" s="3">
        <v>1402150</v>
      </c>
      <c r="H186" s="3">
        <v>1402150</v>
      </c>
      <c r="I186" s="3">
        <v>1402150</v>
      </c>
      <c r="J186" s="3">
        <v>1402150</v>
      </c>
      <c r="K186" s="3">
        <v>1402150</v>
      </c>
      <c r="L186" s="4">
        <v>1402150</v>
      </c>
      <c r="M186" s="4">
        <v>1402150</v>
      </c>
      <c r="N186" s="4">
        <v>1402150</v>
      </c>
      <c r="O186" s="4">
        <v>1402150</v>
      </c>
      <c r="P186" s="4">
        <v>1402150</v>
      </c>
      <c r="Q186" s="4">
        <v>1402150</v>
      </c>
      <c r="R186" s="4">
        <v>1402150</v>
      </c>
      <c r="S186" s="4">
        <v>1402150</v>
      </c>
      <c r="T186" s="4">
        <v>1402150</v>
      </c>
      <c r="U186" s="4">
        <v>1402150</v>
      </c>
      <c r="V186" s="4">
        <v>1402150</v>
      </c>
      <c r="W186" s="4">
        <v>1402150</v>
      </c>
      <c r="X186" s="4">
        <v>1402150</v>
      </c>
      <c r="Y186" s="4">
        <v>1402150</v>
      </c>
    </row>
    <row r="187" spans="1:25" ht="19.5" customHeight="1" x14ac:dyDescent="0.25">
      <c r="A187" s="6" t="s">
        <v>476</v>
      </c>
      <c r="B187" s="6" t="s">
        <v>16</v>
      </c>
      <c r="C187" s="6" t="s">
        <v>507</v>
      </c>
      <c r="D187" s="7" t="s">
        <v>508</v>
      </c>
      <c r="E187" s="6" t="s">
        <v>509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  <c r="P187" s="4">
        <v>200000</v>
      </c>
      <c r="Q187" s="4">
        <v>200000</v>
      </c>
      <c r="R187" s="4">
        <v>200000</v>
      </c>
      <c r="S187" s="4">
        <v>200000</v>
      </c>
      <c r="T187" s="4">
        <v>200000</v>
      </c>
      <c r="U187" s="4">
        <v>200000</v>
      </c>
      <c r="V187" s="4">
        <v>200000</v>
      </c>
      <c r="W187" s="4">
        <v>200000</v>
      </c>
      <c r="X187" s="4">
        <v>200000</v>
      </c>
      <c r="Y187" s="4">
        <v>200000</v>
      </c>
    </row>
    <row r="188" spans="1:25" ht="19.5" customHeight="1" x14ac:dyDescent="0.25">
      <c r="A188" s="2" t="s">
        <v>476</v>
      </c>
      <c r="B188" s="2" t="s">
        <v>16</v>
      </c>
      <c r="C188" s="2" t="s">
        <v>507</v>
      </c>
      <c r="D188" s="2" t="s">
        <v>510</v>
      </c>
      <c r="E188" s="2" t="s">
        <v>511</v>
      </c>
      <c r="F188" s="3">
        <v>4702500</v>
      </c>
      <c r="G188" s="3">
        <v>4950000</v>
      </c>
      <c r="H188" s="3">
        <v>0</v>
      </c>
      <c r="I188" s="3">
        <v>0</v>
      </c>
      <c r="J188" s="3">
        <v>0</v>
      </c>
      <c r="K188" s="3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</row>
    <row r="189" spans="1:25" ht="19.5" customHeight="1" x14ac:dyDescent="0.25">
      <c r="A189" s="2" t="s">
        <v>476</v>
      </c>
      <c r="B189" s="2" t="s">
        <v>16</v>
      </c>
      <c r="C189" s="2" t="s">
        <v>512</v>
      </c>
      <c r="D189" s="2" t="s">
        <v>513</v>
      </c>
      <c r="E189" s="2" t="s">
        <v>514</v>
      </c>
      <c r="F189" s="3">
        <v>873000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4">
        <v>0</v>
      </c>
      <c r="M189" s="4">
        <v>0</v>
      </c>
      <c r="N189" s="4">
        <v>0</v>
      </c>
      <c r="O189" s="4">
        <v>0</v>
      </c>
      <c r="P189" s="4">
        <v>5000000</v>
      </c>
      <c r="Q189" s="4">
        <v>5000000</v>
      </c>
      <c r="R189" s="4">
        <v>5000000</v>
      </c>
      <c r="S189" s="4">
        <v>5000000</v>
      </c>
      <c r="T189" s="4">
        <v>5000000</v>
      </c>
      <c r="U189" s="4">
        <v>5000000</v>
      </c>
      <c r="V189" s="4">
        <v>3500000</v>
      </c>
      <c r="W189" s="4">
        <v>3500000</v>
      </c>
      <c r="X189" s="4">
        <v>3500000</v>
      </c>
      <c r="Y189" s="4">
        <v>3500000</v>
      </c>
    </row>
    <row r="190" spans="1:25" ht="19.5" customHeight="1" x14ac:dyDescent="0.25">
      <c r="A190" s="2" t="s">
        <v>476</v>
      </c>
      <c r="B190" s="2" t="s">
        <v>16</v>
      </c>
      <c r="C190" s="2" t="s">
        <v>512</v>
      </c>
      <c r="D190" s="2" t="s">
        <v>515</v>
      </c>
      <c r="E190" s="2" t="s">
        <v>516</v>
      </c>
      <c r="F190" s="3">
        <v>29230.02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</row>
    <row r="191" spans="1:25" ht="19.5" customHeight="1" x14ac:dyDescent="0.25">
      <c r="A191" s="2" t="s">
        <v>476</v>
      </c>
      <c r="B191" s="2" t="s">
        <v>16</v>
      </c>
      <c r="C191" s="2" t="s">
        <v>517</v>
      </c>
      <c r="D191" s="2" t="s">
        <v>518</v>
      </c>
      <c r="E191" s="2" t="s">
        <v>519</v>
      </c>
      <c r="F191" s="3">
        <v>6743424.7400000002</v>
      </c>
      <c r="G191" s="3">
        <v>7915343</v>
      </c>
      <c r="H191" s="3">
        <v>8049501</v>
      </c>
      <c r="I191" s="3">
        <v>8159165</v>
      </c>
      <c r="J191" s="3">
        <v>8049501</v>
      </c>
      <c r="K191" s="3">
        <v>8159165</v>
      </c>
      <c r="L191" s="4">
        <v>8049501</v>
      </c>
      <c r="M191" s="4">
        <v>8159165</v>
      </c>
      <c r="N191" s="4">
        <v>8049501</v>
      </c>
      <c r="O191" s="4">
        <v>8159165</v>
      </c>
      <c r="P191" s="4">
        <v>8049501</v>
      </c>
      <c r="Q191" s="4">
        <v>8159165</v>
      </c>
      <c r="R191" s="4">
        <v>8049501</v>
      </c>
      <c r="S191" s="4">
        <v>8159165</v>
      </c>
      <c r="T191" s="4">
        <v>8049501</v>
      </c>
      <c r="U191" s="4">
        <v>8159165</v>
      </c>
      <c r="V191" s="4">
        <v>8049501</v>
      </c>
      <c r="W191" s="4">
        <v>8159165</v>
      </c>
      <c r="X191" s="4">
        <v>8049501</v>
      </c>
      <c r="Y191" s="4">
        <v>8159165</v>
      </c>
    </row>
    <row r="192" spans="1:25" ht="19.5" customHeight="1" x14ac:dyDescent="0.25">
      <c r="A192" s="6" t="s">
        <v>476</v>
      </c>
      <c r="B192" s="6" t="s">
        <v>16</v>
      </c>
      <c r="C192" s="6" t="s">
        <v>520</v>
      </c>
      <c r="D192" s="7" t="s">
        <v>521</v>
      </c>
      <c r="E192" s="6" t="s">
        <v>522</v>
      </c>
      <c r="F192" s="9">
        <v>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0</v>
      </c>
      <c r="O192" s="9">
        <v>0</v>
      </c>
      <c r="P192" s="4">
        <v>1194000</v>
      </c>
      <c r="Q192" s="4">
        <v>1194000</v>
      </c>
      <c r="R192" s="4">
        <v>1000000</v>
      </c>
      <c r="S192" s="4">
        <v>1000000</v>
      </c>
      <c r="T192" s="4">
        <v>1000000</v>
      </c>
      <c r="U192" s="4">
        <v>1000000</v>
      </c>
      <c r="V192" s="4">
        <v>1000000</v>
      </c>
      <c r="W192" s="4">
        <v>1000000</v>
      </c>
      <c r="X192" s="4">
        <v>1000000</v>
      </c>
      <c r="Y192" s="4">
        <v>1000000</v>
      </c>
    </row>
    <row r="193" spans="1:25" ht="19.5" customHeight="1" x14ac:dyDescent="0.25">
      <c r="A193" s="2" t="s">
        <v>476</v>
      </c>
      <c r="B193" s="2" t="s">
        <v>16</v>
      </c>
      <c r="C193" s="2" t="s">
        <v>526</v>
      </c>
      <c r="D193" s="8" t="s">
        <v>527</v>
      </c>
      <c r="E193" s="2" t="s">
        <v>528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150000</v>
      </c>
      <c r="W193" s="4">
        <v>0</v>
      </c>
      <c r="X193" s="4">
        <v>150000</v>
      </c>
      <c r="Y193" s="4">
        <v>0</v>
      </c>
    </row>
    <row r="194" spans="1:25" ht="19.5" customHeight="1" x14ac:dyDescent="0.25">
      <c r="A194" s="2" t="s">
        <v>476</v>
      </c>
      <c r="B194" s="2" t="s">
        <v>16</v>
      </c>
      <c r="C194" s="2" t="s">
        <v>523</v>
      </c>
      <c r="D194" s="2" t="s">
        <v>524</v>
      </c>
      <c r="E194" s="2" t="s">
        <v>525</v>
      </c>
      <c r="F194" s="3">
        <v>313652.61</v>
      </c>
      <c r="G194" s="3">
        <v>729698</v>
      </c>
      <c r="H194" s="3">
        <v>0</v>
      </c>
      <c r="I194" s="3">
        <v>0</v>
      </c>
      <c r="J194" s="3">
        <v>0</v>
      </c>
      <c r="K194" s="3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</row>
    <row r="195" spans="1:25" ht="19.5" customHeight="1" x14ac:dyDescent="0.25">
      <c r="A195" s="6" t="s">
        <v>476</v>
      </c>
      <c r="B195" s="6" t="s">
        <v>16</v>
      </c>
      <c r="C195" s="6" t="s">
        <v>529</v>
      </c>
      <c r="D195" s="7" t="s">
        <v>530</v>
      </c>
      <c r="E195" s="6" t="s">
        <v>531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  <c r="P195" s="4">
        <v>3000000</v>
      </c>
      <c r="Q195" s="4">
        <v>0</v>
      </c>
      <c r="R195" s="4">
        <v>3000000</v>
      </c>
      <c r="S195" s="4">
        <v>0</v>
      </c>
      <c r="T195" s="4">
        <v>3000000</v>
      </c>
      <c r="U195" s="4">
        <v>0</v>
      </c>
      <c r="V195" s="4">
        <v>3000000</v>
      </c>
      <c r="W195" s="4">
        <v>0</v>
      </c>
      <c r="X195" s="4">
        <v>3000000</v>
      </c>
      <c r="Y195" s="4">
        <v>0</v>
      </c>
    </row>
    <row r="196" spans="1:25" ht="19.5" customHeight="1" x14ac:dyDescent="0.25">
      <c r="A196" s="2" t="s">
        <v>476</v>
      </c>
      <c r="B196" s="2" t="s">
        <v>16</v>
      </c>
      <c r="C196" s="2" t="s">
        <v>532</v>
      </c>
      <c r="D196" s="2" t="s">
        <v>533</v>
      </c>
      <c r="E196" s="2" t="s">
        <v>534</v>
      </c>
      <c r="F196" s="3">
        <v>741475.81</v>
      </c>
      <c r="G196" s="3">
        <v>1001626</v>
      </c>
      <c r="H196" s="3">
        <v>1035116</v>
      </c>
      <c r="I196" s="3">
        <v>1047209</v>
      </c>
      <c r="J196" s="3">
        <v>1035116</v>
      </c>
      <c r="K196" s="3">
        <v>1047209</v>
      </c>
      <c r="L196" s="4">
        <v>1035116</v>
      </c>
      <c r="M196" s="4">
        <v>1047209</v>
      </c>
      <c r="N196" s="4">
        <v>1035116</v>
      </c>
      <c r="O196" s="4">
        <v>1047209</v>
      </c>
      <c r="P196" s="4">
        <v>1035116</v>
      </c>
      <c r="Q196" s="4">
        <v>1047209</v>
      </c>
      <c r="R196" s="4">
        <v>1035116</v>
      </c>
      <c r="S196" s="4">
        <v>1047209</v>
      </c>
      <c r="T196" s="4">
        <v>1035116</v>
      </c>
      <c r="U196" s="4">
        <v>1047209</v>
      </c>
      <c r="V196" s="4">
        <v>1035116</v>
      </c>
      <c r="W196" s="4">
        <v>1047209</v>
      </c>
      <c r="X196" s="4">
        <v>1035116</v>
      </c>
      <c r="Y196" s="4">
        <v>1047209</v>
      </c>
    </row>
    <row r="197" spans="1:25" ht="19.5" customHeight="1" x14ac:dyDescent="0.25">
      <c r="A197" s="2" t="s">
        <v>476</v>
      </c>
      <c r="B197" s="2" t="s">
        <v>16</v>
      </c>
      <c r="C197" s="2" t="s">
        <v>535</v>
      </c>
      <c r="D197" s="2" t="s">
        <v>536</v>
      </c>
      <c r="E197" s="2" t="s">
        <v>537</v>
      </c>
      <c r="F197" s="4">
        <v>861933.13</v>
      </c>
      <c r="G197" s="3">
        <v>891320</v>
      </c>
      <c r="H197" s="3">
        <v>1116842</v>
      </c>
      <c r="I197" s="3">
        <v>1116842</v>
      </c>
      <c r="J197" s="3">
        <v>1116842</v>
      </c>
      <c r="K197" s="3">
        <v>1116842</v>
      </c>
      <c r="L197" s="4">
        <v>1116842</v>
      </c>
      <c r="M197" s="4">
        <v>1116842</v>
      </c>
      <c r="N197" s="4">
        <v>1116842</v>
      </c>
      <c r="O197" s="4">
        <v>1116842</v>
      </c>
      <c r="P197" s="4">
        <v>1116842</v>
      </c>
      <c r="Q197" s="4">
        <v>1116842</v>
      </c>
      <c r="R197" s="4">
        <v>1116842</v>
      </c>
      <c r="S197" s="4">
        <v>1116842</v>
      </c>
      <c r="T197" s="4">
        <v>1116842</v>
      </c>
      <c r="U197" s="4">
        <v>1116842</v>
      </c>
      <c r="V197" s="4">
        <v>1116842</v>
      </c>
      <c r="W197" s="4">
        <v>1116842</v>
      </c>
      <c r="X197" s="4">
        <v>1116842</v>
      </c>
      <c r="Y197" s="4">
        <v>1116842</v>
      </c>
    </row>
    <row r="198" spans="1:25" ht="19.5" customHeight="1" x14ac:dyDescent="0.25">
      <c r="A198" s="2" t="s">
        <v>476</v>
      </c>
      <c r="B198" s="2" t="s">
        <v>44</v>
      </c>
      <c r="C198" s="2" t="s">
        <v>538</v>
      </c>
      <c r="D198" s="2" t="s">
        <v>539</v>
      </c>
      <c r="E198" s="2" t="s">
        <v>540</v>
      </c>
      <c r="F198" s="3">
        <v>6182.07</v>
      </c>
      <c r="G198" s="3">
        <v>25691</v>
      </c>
      <c r="H198" s="3">
        <v>25691</v>
      </c>
      <c r="I198" s="3">
        <v>25691</v>
      </c>
      <c r="J198" s="3">
        <v>25691</v>
      </c>
      <c r="K198" s="3">
        <v>25691</v>
      </c>
      <c r="L198" s="4">
        <v>25691</v>
      </c>
      <c r="M198" s="4">
        <v>25691</v>
      </c>
      <c r="N198" s="4">
        <v>25691</v>
      </c>
      <c r="O198" s="4">
        <v>25691</v>
      </c>
      <c r="P198" s="4">
        <v>25691</v>
      </c>
      <c r="Q198" s="4">
        <v>25691</v>
      </c>
      <c r="R198" s="4">
        <v>25691</v>
      </c>
      <c r="S198" s="4">
        <v>25691</v>
      </c>
      <c r="T198" s="4">
        <v>25691</v>
      </c>
      <c r="U198" s="4">
        <v>25691</v>
      </c>
      <c r="V198" s="4">
        <v>25691</v>
      </c>
      <c r="W198" s="4">
        <v>25691</v>
      </c>
      <c r="X198" s="4">
        <v>25691</v>
      </c>
      <c r="Y198" s="4">
        <v>25691</v>
      </c>
    </row>
    <row r="199" spans="1:25" ht="19.5" customHeight="1" x14ac:dyDescent="0.25">
      <c r="A199" s="2" t="s">
        <v>476</v>
      </c>
      <c r="B199" s="2" t="s">
        <v>44</v>
      </c>
      <c r="C199" s="2" t="s">
        <v>538</v>
      </c>
      <c r="D199" s="2" t="s">
        <v>541</v>
      </c>
      <c r="E199" s="2" t="s">
        <v>542</v>
      </c>
      <c r="F199" s="3">
        <v>1735597.4</v>
      </c>
      <c r="G199" s="3">
        <v>2000000</v>
      </c>
      <c r="H199" s="3">
        <v>2000000</v>
      </c>
      <c r="I199" s="3">
        <v>2000000</v>
      </c>
      <c r="J199" s="3">
        <v>2000000</v>
      </c>
      <c r="K199" s="3">
        <v>2000000</v>
      </c>
      <c r="L199" s="4">
        <v>2000000</v>
      </c>
      <c r="M199" s="4">
        <v>2000000</v>
      </c>
      <c r="N199" s="4">
        <v>2000000</v>
      </c>
      <c r="O199" s="4">
        <v>2000000</v>
      </c>
      <c r="P199" s="4">
        <v>2000000</v>
      </c>
      <c r="Q199" s="4">
        <v>2000000</v>
      </c>
      <c r="R199" s="4">
        <v>2000000</v>
      </c>
      <c r="S199" s="4">
        <v>2000000</v>
      </c>
      <c r="T199" s="4">
        <v>2000000</v>
      </c>
      <c r="U199" s="4">
        <v>2000000</v>
      </c>
      <c r="V199" s="4">
        <v>2000000</v>
      </c>
      <c r="W199" s="4">
        <v>2000000</v>
      </c>
      <c r="X199" s="4">
        <v>2000000</v>
      </c>
      <c r="Y199" s="4">
        <v>2000000</v>
      </c>
    </row>
    <row r="200" spans="1:25" ht="19.5" customHeight="1" x14ac:dyDescent="0.25">
      <c r="A200" s="2" t="s">
        <v>476</v>
      </c>
      <c r="B200" s="2" t="s">
        <v>44</v>
      </c>
      <c r="C200" s="2" t="s">
        <v>538</v>
      </c>
      <c r="D200" s="2" t="s">
        <v>543</v>
      </c>
      <c r="E200" s="2" t="s">
        <v>544</v>
      </c>
      <c r="F200" s="3">
        <v>1177809.06</v>
      </c>
      <c r="G200" s="3">
        <v>1350000</v>
      </c>
      <c r="H200" s="3">
        <v>1350000</v>
      </c>
      <c r="I200" s="3">
        <v>1350000</v>
      </c>
      <c r="J200" s="3">
        <v>1350000</v>
      </c>
      <c r="K200" s="3">
        <v>1350000</v>
      </c>
      <c r="L200" s="4">
        <v>1350000</v>
      </c>
      <c r="M200" s="4">
        <v>1350000</v>
      </c>
      <c r="N200" s="4">
        <v>1350000</v>
      </c>
      <c r="O200" s="4">
        <v>1350000</v>
      </c>
      <c r="P200" s="4">
        <v>1350000</v>
      </c>
      <c r="Q200" s="4">
        <v>1350000</v>
      </c>
      <c r="R200" s="4">
        <v>1350000</v>
      </c>
      <c r="S200" s="4">
        <v>1350000</v>
      </c>
      <c r="T200" s="4">
        <v>1350000</v>
      </c>
      <c r="U200" s="4">
        <v>1350000</v>
      </c>
      <c r="V200" s="4">
        <v>1350000</v>
      </c>
      <c r="W200" s="4">
        <v>1350000</v>
      </c>
      <c r="X200" s="4">
        <v>1350000</v>
      </c>
      <c r="Y200" s="4">
        <v>1350000</v>
      </c>
    </row>
    <row r="201" spans="1:25" ht="19.5" customHeight="1" x14ac:dyDescent="0.25">
      <c r="A201" s="2" t="s">
        <v>476</v>
      </c>
      <c r="B201" s="2" t="s">
        <v>44</v>
      </c>
      <c r="C201" s="2" t="s">
        <v>538</v>
      </c>
      <c r="D201" s="2" t="s">
        <v>545</v>
      </c>
      <c r="E201" s="2" t="s">
        <v>546</v>
      </c>
      <c r="F201" s="3">
        <v>14889591.09</v>
      </c>
      <c r="G201" s="3">
        <v>17600000</v>
      </c>
      <c r="H201" s="3">
        <v>17600000</v>
      </c>
      <c r="I201" s="3">
        <v>17600000</v>
      </c>
      <c r="J201" s="3">
        <v>17600000</v>
      </c>
      <c r="K201" s="3">
        <v>17600000</v>
      </c>
      <c r="L201" s="4">
        <v>17600000</v>
      </c>
      <c r="M201" s="4">
        <v>17600000</v>
      </c>
      <c r="N201" s="4">
        <v>17600000</v>
      </c>
      <c r="O201" s="4">
        <v>17600000</v>
      </c>
      <c r="P201" s="4">
        <v>17600000</v>
      </c>
      <c r="Q201" s="4">
        <v>17600000</v>
      </c>
      <c r="R201" s="4">
        <v>17600000</v>
      </c>
      <c r="S201" s="4">
        <v>17600000</v>
      </c>
      <c r="T201" s="4">
        <v>17600000</v>
      </c>
      <c r="U201" s="4">
        <v>17600000</v>
      </c>
      <c r="V201" s="4">
        <v>17600000</v>
      </c>
      <c r="W201" s="4">
        <v>17600000</v>
      </c>
      <c r="X201" s="4">
        <v>17600000</v>
      </c>
      <c r="Y201" s="4">
        <v>17600000</v>
      </c>
    </row>
    <row r="202" spans="1:25" ht="19.5" customHeight="1" x14ac:dyDescent="0.25">
      <c r="A202" s="2" t="s">
        <v>476</v>
      </c>
      <c r="B202" s="2" t="s">
        <v>44</v>
      </c>
      <c r="C202" s="2" t="s">
        <v>547</v>
      </c>
      <c r="D202" s="2" t="s">
        <v>548</v>
      </c>
      <c r="E202" s="2" t="s">
        <v>549</v>
      </c>
      <c r="F202" s="3">
        <v>1698087.5</v>
      </c>
      <c r="G202" s="3">
        <v>1750000</v>
      </c>
      <c r="H202" s="3">
        <v>1750000</v>
      </c>
      <c r="I202" s="3">
        <v>1750000</v>
      </c>
      <c r="J202" s="3">
        <v>1750000</v>
      </c>
      <c r="K202" s="3">
        <v>1750000</v>
      </c>
      <c r="L202" s="4">
        <v>1750000</v>
      </c>
      <c r="M202" s="4">
        <v>1750000</v>
      </c>
      <c r="N202" s="4">
        <v>1750000</v>
      </c>
      <c r="O202" s="4">
        <v>1750000</v>
      </c>
      <c r="P202" s="4">
        <v>1750000</v>
      </c>
      <c r="Q202" s="4">
        <v>1750000</v>
      </c>
      <c r="R202" s="4">
        <v>1750000</v>
      </c>
      <c r="S202" s="4">
        <v>1750000</v>
      </c>
      <c r="T202" s="4">
        <v>1750000</v>
      </c>
      <c r="U202" s="4">
        <v>1750000</v>
      </c>
      <c r="V202" s="4">
        <v>1750000</v>
      </c>
      <c r="W202" s="4">
        <v>1750000</v>
      </c>
      <c r="X202" s="4">
        <v>1750000</v>
      </c>
      <c r="Y202" s="4">
        <v>1750000</v>
      </c>
    </row>
    <row r="203" spans="1:25" ht="19.5" customHeight="1" x14ac:dyDescent="0.25">
      <c r="A203" s="2" t="s">
        <v>476</v>
      </c>
      <c r="B203" s="2" t="s">
        <v>44</v>
      </c>
      <c r="C203" s="2" t="s">
        <v>550</v>
      </c>
      <c r="D203" s="2" t="s">
        <v>551</v>
      </c>
      <c r="E203" s="2" t="s">
        <v>552</v>
      </c>
      <c r="F203" s="3">
        <v>0</v>
      </c>
      <c r="G203" s="3">
        <v>6800000</v>
      </c>
      <c r="H203" s="3">
        <v>16190000</v>
      </c>
      <c r="I203" s="3">
        <v>0</v>
      </c>
      <c r="J203" s="3">
        <v>16190000</v>
      </c>
      <c r="K203" s="3">
        <v>0</v>
      </c>
      <c r="L203" s="4">
        <v>16190000</v>
      </c>
      <c r="M203" s="4">
        <v>0</v>
      </c>
      <c r="N203" s="4">
        <v>16190000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</row>
    <row r="204" spans="1:25" ht="19.5" customHeight="1" x14ac:dyDescent="0.25">
      <c r="A204" s="2" t="s">
        <v>476</v>
      </c>
      <c r="B204" s="2" t="s">
        <v>44</v>
      </c>
      <c r="C204" s="2" t="s">
        <v>550</v>
      </c>
      <c r="D204" s="2" t="s">
        <v>553</v>
      </c>
      <c r="E204" s="2" t="s">
        <v>554</v>
      </c>
      <c r="F204" s="3">
        <v>0</v>
      </c>
      <c r="G204" s="3">
        <v>4250000</v>
      </c>
      <c r="H204" s="3">
        <v>0</v>
      </c>
      <c r="I204" s="3">
        <v>0</v>
      </c>
      <c r="J204" s="3">
        <v>0</v>
      </c>
      <c r="K204" s="3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</row>
    <row r="205" spans="1:25" ht="19.5" customHeight="1" x14ac:dyDescent="0.25">
      <c r="A205" s="2" t="s">
        <v>476</v>
      </c>
      <c r="B205" s="2" t="s">
        <v>44</v>
      </c>
      <c r="C205" s="2" t="s">
        <v>555</v>
      </c>
      <c r="D205" s="2" t="s">
        <v>556</v>
      </c>
      <c r="E205" s="2" t="s">
        <v>557</v>
      </c>
      <c r="F205" s="3">
        <v>53877</v>
      </c>
      <c r="G205" s="3">
        <v>70000</v>
      </c>
      <c r="H205" s="3">
        <v>70000</v>
      </c>
      <c r="I205" s="3">
        <v>70000</v>
      </c>
      <c r="J205" s="3">
        <v>70000</v>
      </c>
      <c r="K205" s="3">
        <v>70000</v>
      </c>
      <c r="L205" s="4">
        <v>70000</v>
      </c>
      <c r="M205" s="4">
        <v>70000</v>
      </c>
      <c r="N205" s="4">
        <v>70000</v>
      </c>
      <c r="O205" s="4">
        <v>70000</v>
      </c>
      <c r="P205" s="4">
        <v>70000</v>
      </c>
      <c r="Q205" s="4">
        <v>70000</v>
      </c>
      <c r="R205" s="4">
        <v>70000</v>
      </c>
      <c r="S205" s="4">
        <v>70000</v>
      </c>
      <c r="T205" s="4">
        <v>70000</v>
      </c>
      <c r="U205" s="4">
        <v>70000</v>
      </c>
      <c r="V205" s="4">
        <v>70000</v>
      </c>
      <c r="W205" s="4">
        <v>70000</v>
      </c>
      <c r="X205" s="4">
        <v>70000</v>
      </c>
      <c r="Y205" s="4">
        <v>70000</v>
      </c>
    </row>
    <row r="206" spans="1:25" ht="19.5" customHeight="1" x14ac:dyDescent="0.25">
      <c r="A206" s="2" t="s">
        <v>476</v>
      </c>
      <c r="B206" s="2" t="s">
        <v>54</v>
      </c>
      <c r="C206" s="2" t="s">
        <v>54</v>
      </c>
      <c r="D206" s="2" t="s">
        <v>558</v>
      </c>
      <c r="E206" s="2" t="s">
        <v>22</v>
      </c>
      <c r="F206" s="3">
        <v>5777530.5300000003</v>
      </c>
      <c r="G206" s="3">
        <v>5629556</v>
      </c>
      <c r="H206" s="3">
        <v>5742147</v>
      </c>
      <c r="I206" s="3">
        <v>5914411</v>
      </c>
      <c r="J206" s="3">
        <v>5742147</v>
      </c>
      <c r="K206" s="3">
        <v>5914411</v>
      </c>
      <c r="L206" s="4">
        <v>5742147</v>
      </c>
      <c r="M206" s="4">
        <v>5914411</v>
      </c>
      <c r="N206" s="4">
        <v>5742147</v>
      </c>
      <c r="O206" s="4">
        <v>5914411</v>
      </c>
      <c r="P206" s="4">
        <v>5742147</v>
      </c>
      <c r="Q206" s="4">
        <v>5914411</v>
      </c>
      <c r="R206" s="4">
        <v>5742147</v>
      </c>
      <c r="S206" s="4">
        <v>5914411</v>
      </c>
      <c r="T206" s="4">
        <v>5742147</v>
      </c>
      <c r="U206" s="4">
        <v>5914411</v>
      </c>
      <c r="V206" s="4">
        <v>5742147</v>
      </c>
      <c r="W206" s="4">
        <v>5914411</v>
      </c>
      <c r="X206" s="4">
        <v>5742147</v>
      </c>
      <c r="Y206" s="4">
        <v>5914411</v>
      </c>
    </row>
    <row r="207" spans="1:25" ht="19.5" customHeight="1" x14ac:dyDescent="0.25">
      <c r="A207" s="2" t="s">
        <v>476</v>
      </c>
      <c r="B207" s="2" t="s">
        <v>54</v>
      </c>
      <c r="C207" s="2" t="s">
        <v>54</v>
      </c>
      <c r="D207" s="2" t="s">
        <v>559</v>
      </c>
      <c r="E207" s="2" t="s">
        <v>560</v>
      </c>
      <c r="F207" s="3">
        <v>284287.2</v>
      </c>
      <c r="G207" s="3">
        <v>299250</v>
      </c>
      <c r="H207" s="3">
        <v>286981</v>
      </c>
      <c r="I207" s="3">
        <v>299250</v>
      </c>
      <c r="J207" s="3">
        <v>299250</v>
      </c>
      <c r="K207" s="3">
        <v>299250</v>
      </c>
      <c r="L207" s="4">
        <v>299250</v>
      </c>
      <c r="M207" s="4">
        <v>299250</v>
      </c>
      <c r="N207" s="4">
        <v>299250</v>
      </c>
      <c r="O207" s="4">
        <v>299250</v>
      </c>
      <c r="P207" s="4">
        <v>299250</v>
      </c>
      <c r="Q207" s="4">
        <v>299250</v>
      </c>
      <c r="R207" s="4">
        <v>299250</v>
      </c>
      <c r="S207" s="4">
        <v>299250</v>
      </c>
      <c r="T207" s="4">
        <v>299250</v>
      </c>
      <c r="U207" s="4">
        <v>299250</v>
      </c>
      <c r="V207" s="4">
        <v>299250</v>
      </c>
      <c r="W207" s="4">
        <v>299250</v>
      </c>
      <c r="X207" s="4">
        <v>299250</v>
      </c>
      <c r="Y207" s="4">
        <v>299250</v>
      </c>
    </row>
    <row r="208" spans="1:25" ht="19.5" customHeight="1" x14ac:dyDescent="0.25">
      <c r="A208" s="2" t="s">
        <v>476</v>
      </c>
      <c r="B208" s="2" t="s">
        <v>54</v>
      </c>
      <c r="C208" s="2" t="s">
        <v>54</v>
      </c>
      <c r="D208" s="2" t="s">
        <v>561</v>
      </c>
      <c r="E208" s="2" t="s">
        <v>562</v>
      </c>
      <c r="F208" s="3">
        <v>1808896.8</v>
      </c>
      <c r="G208" s="3">
        <v>1783281</v>
      </c>
      <c r="H208" s="3">
        <v>1818947</v>
      </c>
      <c r="I208" s="3">
        <v>1873515</v>
      </c>
      <c r="J208" s="3">
        <v>1818947</v>
      </c>
      <c r="K208" s="3">
        <v>1873515</v>
      </c>
      <c r="L208" s="4">
        <v>1818947</v>
      </c>
      <c r="M208" s="4">
        <v>1873515</v>
      </c>
      <c r="N208" s="4">
        <v>1818947</v>
      </c>
      <c r="O208" s="4">
        <v>1873515</v>
      </c>
      <c r="P208" s="4">
        <v>1818947</v>
      </c>
      <c r="Q208" s="4">
        <v>1873515</v>
      </c>
      <c r="R208" s="4">
        <v>1818947</v>
      </c>
      <c r="S208" s="4">
        <v>1873515</v>
      </c>
      <c r="T208" s="4">
        <v>1818947</v>
      </c>
      <c r="U208" s="4">
        <v>1873515</v>
      </c>
      <c r="V208" s="4">
        <v>1818947</v>
      </c>
      <c r="W208" s="4">
        <v>1873515</v>
      </c>
      <c r="X208" s="4">
        <v>1818947</v>
      </c>
      <c r="Y208" s="4">
        <v>1873515</v>
      </c>
    </row>
    <row r="209" spans="1:25" ht="19.5" customHeight="1" x14ac:dyDescent="0.25">
      <c r="A209" s="2" t="s">
        <v>476</v>
      </c>
      <c r="B209" s="2" t="s">
        <v>54</v>
      </c>
      <c r="C209" s="2" t="s">
        <v>54</v>
      </c>
      <c r="D209" s="2" t="s">
        <v>563</v>
      </c>
      <c r="E209" s="2" t="s">
        <v>564</v>
      </c>
      <c r="F209" s="3">
        <v>115000</v>
      </c>
      <c r="G209" s="3">
        <v>115000</v>
      </c>
      <c r="H209" s="3">
        <v>116725</v>
      </c>
      <c r="I209" s="3">
        <v>118476</v>
      </c>
      <c r="J209" s="3">
        <v>116725</v>
      </c>
      <c r="K209" s="3">
        <v>118476</v>
      </c>
      <c r="L209" s="4">
        <v>116725</v>
      </c>
      <c r="M209" s="4">
        <v>118476</v>
      </c>
      <c r="N209" s="4">
        <v>116725</v>
      </c>
      <c r="O209" s="4">
        <v>118476</v>
      </c>
      <c r="P209" s="4">
        <v>116725</v>
      </c>
      <c r="Q209" s="4">
        <v>118476</v>
      </c>
      <c r="R209" s="4">
        <v>116725</v>
      </c>
      <c r="S209" s="4">
        <v>118476</v>
      </c>
      <c r="T209" s="4">
        <v>116725</v>
      </c>
      <c r="U209" s="4">
        <v>118476</v>
      </c>
      <c r="V209" s="4">
        <v>116725</v>
      </c>
      <c r="W209" s="4">
        <v>118476</v>
      </c>
      <c r="X209" s="4">
        <v>116725</v>
      </c>
      <c r="Y209" s="4">
        <v>118476</v>
      </c>
    </row>
    <row r="210" spans="1:25" ht="19.5" customHeight="1" x14ac:dyDescent="0.25">
      <c r="A210" s="2" t="s">
        <v>476</v>
      </c>
      <c r="B210" s="2" t="s">
        <v>54</v>
      </c>
      <c r="C210" s="2" t="s">
        <v>54</v>
      </c>
      <c r="D210" s="2" t="s">
        <v>565</v>
      </c>
      <c r="E210" s="2" t="s">
        <v>566</v>
      </c>
      <c r="F210" s="3">
        <v>853881.35</v>
      </c>
      <c r="G210" s="3">
        <v>834048</v>
      </c>
      <c r="H210" s="3">
        <v>850729</v>
      </c>
      <c r="I210" s="3">
        <v>876251</v>
      </c>
      <c r="J210" s="3">
        <v>850729</v>
      </c>
      <c r="K210" s="3">
        <v>876251</v>
      </c>
      <c r="L210" s="4">
        <v>850729</v>
      </c>
      <c r="M210" s="4">
        <v>876251</v>
      </c>
      <c r="N210" s="4">
        <v>850729</v>
      </c>
      <c r="O210" s="4">
        <v>876251</v>
      </c>
      <c r="P210" s="4">
        <v>850729</v>
      </c>
      <c r="Q210" s="4">
        <v>876251</v>
      </c>
      <c r="R210" s="4">
        <v>850729</v>
      </c>
      <c r="S210" s="4">
        <v>876251</v>
      </c>
      <c r="T210" s="4">
        <v>850729</v>
      </c>
      <c r="U210" s="4">
        <v>876251</v>
      </c>
      <c r="V210" s="4">
        <v>850729</v>
      </c>
      <c r="W210" s="4">
        <v>876251</v>
      </c>
      <c r="X210" s="4">
        <v>850729</v>
      </c>
      <c r="Y210" s="4">
        <v>876251</v>
      </c>
    </row>
    <row r="211" spans="1:25" ht="19.5" customHeight="1" x14ac:dyDescent="0.25">
      <c r="A211" s="2" t="s">
        <v>476</v>
      </c>
      <c r="B211" s="2" t="s">
        <v>54</v>
      </c>
      <c r="C211" s="2" t="s">
        <v>54</v>
      </c>
      <c r="D211" s="2" t="s">
        <v>567</v>
      </c>
      <c r="E211" s="2" t="s">
        <v>568</v>
      </c>
      <c r="F211" s="3">
        <v>4168036.48</v>
      </c>
      <c r="G211" s="3">
        <v>3461413</v>
      </c>
      <c r="H211" s="3">
        <v>3530641</v>
      </c>
      <c r="I211" s="3">
        <v>3636561</v>
      </c>
      <c r="J211" s="3">
        <v>3530641</v>
      </c>
      <c r="K211" s="3">
        <v>3636561</v>
      </c>
      <c r="L211" s="4">
        <v>3530641</v>
      </c>
      <c r="M211" s="4">
        <v>3636561</v>
      </c>
      <c r="N211" s="4">
        <v>3530641</v>
      </c>
      <c r="O211" s="4">
        <v>3636561</v>
      </c>
      <c r="P211" s="4">
        <v>3530641</v>
      </c>
      <c r="Q211" s="4">
        <v>3636561</v>
      </c>
      <c r="R211" s="4">
        <v>3530641</v>
      </c>
      <c r="S211" s="4">
        <v>3636561</v>
      </c>
      <c r="T211" s="4">
        <v>3530641</v>
      </c>
      <c r="U211" s="4">
        <v>3636561</v>
      </c>
      <c r="V211" s="4">
        <v>3530641</v>
      </c>
      <c r="W211" s="4">
        <v>3636561</v>
      </c>
      <c r="X211" s="4">
        <v>3530641</v>
      </c>
      <c r="Y211" s="4">
        <v>3636561</v>
      </c>
    </row>
    <row r="212" spans="1:25" ht="19.5" customHeight="1" x14ac:dyDescent="0.25">
      <c r="A212" s="2" t="s">
        <v>476</v>
      </c>
      <c r="B212" s="2" t="s">
        <v>54</v>
      </c>
      <c r="C212" s="2" t="s">
        <v>54</v>
      </c>
      <c r="D212" s="2" t="s">
        <v>569</v>
      </c>
      <c r="E212" s="2" t="s">
        <v>570</v>
      </c>
      <c r="F212" s="3">
        <v>4041600</v>
      </c>
      <c r="G212" s="3">
        <v>4041600</v>
      </c>
      <c r="H212" s="3">
        <v>2228000</v>
      </c>
      <c r="I212" s="3">
        <v>2228000</v>
      </c>
      <c r="J212" s="3">
        <v>2728000</v>
      </c>
      <c r="K212" s="3">
        <v>2728000</v>
      </c>
      <c r="L212" s="4">
        <v>2728000</v>
      </c>
      <c r="M212" s="4">
        <v>2728000</v>
      </c>
      <c r="N212" s="4">
        <v>2728000</v>
      </c>
      <c r="O212" s="4">
        <v>2728000</v>
      </c>
      <c r="P212" s="4">
        <v>3228000</v>
      </c>
      <c r="Q212" s="4">
        <v>3228000</v>
      </c>
      <c r="R212" s="4">
        <v>4041600</v>
      </c>
      <c r="S212" s="4">
        <v>4041600</v>
      </c>
      <c r="T212" s="4">
        <v>4041600</v>
      </c>
      <c r="U212" s="4">
        <v>4041600</v>
      </c>
      <c r="V212" s="4">
        <v>4041600</v>
      </c>
      <c r="W212" s="4">
        <v>4041600</v>
      </c>
      <c r="X212" s="4">
        <v>4041600</v>
      </c>
      <c r="Y212" s="4">
        <v>4041600</v>
      </c>
    </row>
    <row r="213" spans="1:25" ht="19.5" customHeight="1" x14ac:dyDescent="0.25">
      <c r="A213" s="2" t="s">
        <v>476</v>
      </c>
      <c r="B213" s="2" t="s">
        <v>54</v>
      </c>
      <c r="C213" s="2" t="s">
        <v>54</v>
      </c>
      <c r="D213" s="2" t="s">
        <v>571</v>
      </c>
      <c r="E213" s="2" t="s">
        <v>572</v>
      </c>
      <c r="F213" s="4">
        <v>13770800.1</v>
      </c>
      <c r="G213" s="3">
        <v>20508000</v>
      </c>
      <c r="H213" s="3">
        <v>25000000</v>
      </c>
      <c r="I213" s="3">
        <v>28000000</v>
      </c>
      <c r="J213" s="3">
        <v>22500000</v>
      </c>
      <c r="K213" s="3">
        <v>25500000</v>
      </c>
      <c r="L213" s="4">
        <v>22500000</v>
      </c>
      <c r="M213" s="4">
        <v>25500000</v>
      </c>
      <c r="N213" s="4">
        <v>22500000</v>
      </c>
      <c r="O213" s="4">
        <v>25500000</v>
      </c>
      <c r="P213" s="4">
        <v>25000000</v>
      </c>
      <c r="Q213" s="4">
        <v>28000000</v>
      </c>
      <c r="R213" s="4">
        <v>25000000</v>
      </c>
      <c r="S213" s="4">
        <v>28000000</v>
      </c>
      <c r="T213" s="4">
        <v>25000000</v>
      </c>
      <c r="U213" s="4">
        <v>28000000</v>
      </c>
      <c r="V213" s="4">
        <v>25000000</v>
      </c>
      <c r="W213" s="4">
        <v>28000000</v>
      </c>
      <c r="X213" s="4">
        <v>25000000</v>
      </c>
      <c r="Y213" s="4">
        <v>28000000</v>
      </c>
    </row>
    <row r="214" spans="1:25" ht="19.5" customHeight="1" x14ac:dyDescent="0.25">
      <c r="A214" s="2" t="s">
        <v>476</v>
      </c>
      <c r="B214" s="2" t="s">
        <v>54</v>
      </c>
      <c r="C214" s="2" t="s">
        <v>54</v>
      </c>
      <c r="D214" s="2" t="s">
        <v>573</v>
      </c>
      <c r="E214" s="2" t="s">
        <v>574</v>
      </c>
      <c r="F214" s="3">
        <v>7083344</v>
      </c>
      <c r="G214" s="3">
        <v>7083344</v>
      </c>
      <c r="H214" s="3">
        <v>7083344</v>
      </c>
      <c r="I214" s="3">
        <v>7083344</v>
      </c>
      <c r="J214" s="3">
        <v>7083344</v>
      </c>
      <c r="K214" s="3">
        <v>7083344</v>
      </c>
      <c r="L214" s="4">
        <v>7083344</v>
      </c>
      <c r="M214" s="4">
        <v>7083344</v>
      </c>
      <c r="N214" s="4">
        <v>7083344</v>
      </c>
      <c r="O214" s="4">
        <v>7083344</v>
      </c>
      <c r="P214" s="4">
        <v>7083344</v>
      </c>
      <c r="Q214" s="4">
        <v>7083344</v>
      </c>
      <c r="R214" s="4">
        <v>7083344</v>
      </c>
      <c r="S214" s="4">
        <v>7083344</v>
      </c>
      <c r="T214" s="4">
        <v>7083344</v>
      </c>
      <c r="U214" s="4">
        <v>7083344</v>
      </c>
      <c r="V214" s="4">
        <v>7083344</v>
      </c>
      <c r="W214" s="4">
        <v>7083344</v>
      </c>
      <c r="X214" s="4">
        <v>7083344</v>
      </c>
      <c r="Y214" s="4">
        <v>7083344</v>
      </c>
    </row>
    <row r="215" spans="1:25" ht="19.5" customHeight="1" x14ac:dyDescent="0.25">
      <c r="A215" s="2" t="s">
        <v>476</v>
      </c>
      <c r="B215" s="2" t="s">
        <v>54</v>
      </c>
      <c r="C215" s="2" t="s">
        <v>54</v>
      </c>
      <c r="D215" s="2" t="s">
        <v>575</v>
      </c>
      <c r="E215" s="2" t="s">
        <v>576</v>
      </c>
      <c r="F215" s="3">
        <v>18922115.760000002</v>
      </c>
      <c r="G215" s="3">
        <v>20204000</v>
      </c>
      <c r="H215" s="3">
        <v>20810120</v>
      </c>
      <c r="I215" s="3">
        <v>20810120</v>
      </c>
      <c r="J215" s="3">
        <v>21310120</v>
      </c>
      <c r="K215" s="3">
        <v>21810120</v>
      </c>
      <c r="L215" s="4">
        <v>21310120</v>
      </c>
      <c r="M215" s="4">
        <v>21810120</v>
      </c>
      <c r="N215" s="4">
        <v>21310120</v>
      </c>
      <c r="O215" s="4">
        <v>21810120</v>
      </c>
      <c r="P215" s="4">
        <v>21310120</v>
      </c>
      <c r="Q215" s="4">
        <v>21810120</v>
      </c>
      <c r="R215" s="4">
        <v>21310120</v>
      </c>
      <c r="S215" s="4">
        <v>21810120</v>
      </c>
      <c r="T215" s="4">
        <v>21310120</v>
      </c>
      <c r="U215" s="4">
        <v>21810120</v>
      </c>
      <c r="V215" s="4">
        <v>21310120</v>
      </c>
      <c r="W215" s="4">
        <v>21810120</v>
      </c>
      <c r="X215" s="4">
        <v>21310120</v>
      </c>
      <c r="Y215" s="4">
        <v>21810120</v>
      </c>
    </row>
    <row r="216" spans="1:25" ht="19.5" customHeight="1" x14ac:dyDescent="0.25">
      <c r="A216" s="2" t="s">
        <v>476</v>
      </c>
      <c r="B216" s="2" t="s">
        <v>54</v>
      </c>
      <c r="C216" s="2" t="s">
        <v>54</v>
      </c>
      <c r="D216" s="2" t="s">
        <v>577</v>
      </c>
      <c r="E216" s="2" t="s">
        <v>578</v>
      </c>
      <c r="F216" s="4">
        <v>851175</v>
      </c>
      <c r="G216" s="3">
        <v>873000</v>
      </c>
      <c r="H216" s="3">
        <v>838342</v>
      </c>
      <c r="I216" s="3">
        <v>873000</v>
      </c>
      <c r="J216" s="3">
        <v>838342</v>
      </c>
      <c r="K216" s="3">
        <v>873000</v>
      </c>
      <c r="L216" s="4">
        <v>838342</v>
      </c>
      <c r="M216" s="4">
        <v>873000</v>
      </c>
      <c r="N216" s="4">
        <v>838342</v>
      </c>
      <c r="O216" s="4">
        <v>873000</v>
      </c>
      <c r="P216" s="4">
        <v>873000</v>
      </c>
      <c r="Q216" s="4">
        <v>873000</v>
      </c>
      <c r="R216" s="4">
        <v>873000</v>
      </c>
      <c r="S216" s="4">
        <v>873000</v>
      </c>
      <c r="T216" s="4">
        <v>873000</v>
      </c>
      <c r="U216" s="4">
        <v>873000</v>
      </c>
      <c r="V216" s="4">
        <v>873000</v>
      </c>
      <c r="W216" s="4">
        <v>873000</v>
      </c>
      <c r="X216" s="4">
        <v>873000</v>
      </c>
      <c r="Y216" s="4">
        <v>873000</v>
      </c>
    </row>
    <row r="217" spans="1:25" ht="19.5" customHeight="1" x14ac:dyDescent="0.25">
      <c r="A217" s="2" t="s">
        <v>476</v>
      </c>
      <c r="B217" s="2" t="s">
        <v>54</v>
      </c>
      <c r="C217" s="2" t="s">
        <v>54</v>
      </c>
      <c r="D217" s="2" t="s">
        <v>579</v>
      </c>
      <c r="E217" s="2" t="s">
        <v>580</v>
      </c>
      <c r="F217" s="3">
        <v>509311.45</v>
      </c>
      <c r="G217" s="3">
        <v>600000</v>
      </c>
      <c r="H217" s="3">
        <v>612000</v>
      </c>
      <c r="I217" s="3">
        <v>630360</v>
      </c>
      <c r="J217" s="3">
        <v>612000</v>
      </c>
      <c r="K217" s="3">
        <v>630360</v>
      </c>
      <c r="L217" s="4">
        <v>612000</v>
      </c>
      <c r="M217" s="4">
        <v>630360</v>
      </c>
      <c r="N217" s="4">
        <v>612000</v>
      </c>
      <c r="O217" s="4">
        <v>630360</v>
      </c>
      <c r="P217" s="4">
        <v>612000</v>
      </c>
      <c r="Q217" s="4">
        <v>630360</v>
      </c>
      <c r="R217" s="4">
        <v>612000</v>
      </c>
      <c r="S217" s="4">
        <v>630360</v>
      </c>
      <c r="T217" s="4">
        <v>612000</v>
      </c>
      <c r="U217" s="4">
        <v>630360</v>
      </c>
      <c r="V217" s="4">
        <v>612000</v>
      </c>
      <c r="W217" s="4">
        <v>630360</v>
      </c>
      <c r="X217" s="4">
        <v>612000</v>
      </c>
      <c r="Y217" s="4">
        <v>630360</v>
      </c>
    </row>
    <row r="218" spans="1:25" ht="19.5" customHeight="1" x14ac:dyDescent="0.25">
      <c r="A218" s="6" t="s">
        <v>476</v>
      </c>
      <c r="B218" s="6" t="s">
        <v>54</v>
      </c>
      <c r="C218" s="6" t="s">
        <v>54</v>
      </c>
      <c r="D218" s="7" t="s">
        <v>581</v>
      </c>
      <c r="E218" s="6" t="s">
        <v>582</v>
      </c>
      <c r="F218" s="4">
        <v>0</v>
      </c>
      <c r="G218" s="4">
        <v>0</v>
      </c>
      <c r="H218" s="4">
        <v>0</v>
      </c>
      <c r="I218" s="4">
        <v>0</v>
      </c>
      <c r="J218" s="4">
        <v>125000</v>
      </c>
      <c r="K218" s="4">
        <v>125000</v>
      </c>
      <c r="L218" s="4">
        <v>125000</v>
      </c>
      <c r="M218" s="4">
        <v>125000</v>
      </c>
      <c r="N218" s="4">
        <v>125000</v>
      </c>
      <c r="O218" s="4">
        <v>125000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</row>
    <row r="219" spans="1:25" ht="19.5" customHeight="1" x14ac:dyDescent="0.25">
      <c r="A219" s="6" t="s">
        <v>476</v>
      </c>
      <c r="B219" s="6" t="s">
        <v>54</v>
      </c>
      <c r="C219" s="6" t="s">
        <v>54</v>
      </c>
      <c r="D219" s="7" t="s">
        <v>583</v>
      </c>
      <c r="E219" s="6" t="s">
        <v>584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  <c r="P219" s="4">
        <v>1000000</v>
      </c>
      <c r="Q219" s="4">
        <v>1000000</v>
      </c>
      <c r="R219" s="4">
        <v>1000000</v>
      </c>
      <c r="S219" s="4">
        <v>1000000</v>
      </c>
      <c r="T219" s="4">
        <v>1000000</v>
      </c>
      <c r="U219" s="4">
        <v>1000000</v>
      </c>
      <c r="V219" s="4">
        <v>0</v>
      </c>
      <c r="W219" s="4">
        <v>1000000</v>
      </c>
      <c r="X219" s="4">
        <v>0</v>
      </c>
      <c r="Y219" s="4">
        <v>1000000</v>
      </c>
    </row>
    <row r="220" spans="1:25" ht="19.5" customHeight="1" x14ac:dyDescent="0.25">
      <c r="A220" s="2" t="s">
        <v>476</v>
      </c>
      <c r="B220" s="2" t="s">
        <v>54</v>
      </c>
      <c r="C220" s="2" t="s">
        <v>54</v>
      </c>
      <c r="D220" s="2" t="s">
        <v>585</v>
      </c>
      <c r="E220" s="6" t="s">
        <v>586</v>
      </c>
      <c r="F220" s="3">
        <v>1940444439.01</v>
      </c>
      <c r="G220" s="3">
        <v>2037149490</v>
      </c>
      <c r="H220" s="3">
        <v>2056678116</v>
      </c>
      <c r="I220" s="3">
        <v>2075761402</v>
      </c>
      <c r="J220" s="3">
        <v>1582613811</v>
      </c>
      <c r="K220" s="3">
        <v>1597298400</v>
      </c>
      <c r="L220" s="4">
        <v>2056678116</v>
      </c>
      <c r="M220" s="4">
        <v>2075761402</v>
      </c>
      <c r="N220" s="4">
        <v>2056678116</v>
      </c>
      <c r="O220" s="4">
        <v>2075761402</v>
      </c>
      <c r="P220" s="4">
        <v>2056678116</v>
      </c>
      <c r="Q220" s="4">
        <v>2075761402</v>
      </c>
      <c r="R220" s="4">
        <v>2056678116</v>
      </c>
      <c r="S220" s="4">
        <v>2075761402</v>
      </c>
      <c r="T220" s="4">
        <v>2056678116</v>
      </c>
      <c r="U220" s="4">
        <v>2075761402</v>
      </c>
      <c r="V220" s="4">
        <v>2056678116</v>
      </c>
      <c r="W220" s="4">
        <v>2075761402</v>
      </c>
      <c r="X220" s="4">
        <v>2056678116</v>
      </c>
      <c r="Y220" s="4">
        <v>2075761402</v>
      </c>
    </row>
    <row r="221" spans="1:25" ht="19.5" customHeight="1" x14ac:dyDescent="0.25">
      <c r="A221" s="2" t="s">
        <v>476</v>
      </c>
      <c r="B221" s="2" t="s">
        <v>54</v>
      </c>
      <c r="C221" s="2" t="s">
        <v>54</v>
      </c>
      <c r="D221" s="2" t="s">
        <v>587</v>
      </c>
      <c r="E221" s="2" t="s">
        <v>588</v>
      </c>
      <c r="F221" s="3">
        <v>11915564.01</v>
      </c>
      <c r="G221" s="3">
        <v>12502933</v>
      </c>
      <c r="H221" s="3">
        <v>14000000</v>
      </c>
      <c r="I221" s="3">
        <v>15500000</v>
      </c>
      <c r="J221" s="3">
        <v>14000000</v>
      </c>
      <c r="K221" s="3">
        <v>15500000</v>
      </c>
      <c r="L221" s="4">
        <v>14000000</v>
      </c>
      <c r="M221" s="4">
        <v>15500000</v>
      </c>
      <c r="N221" s="4">
        <v>14000000</v>
      </c>
      <c r="O221" s="4">
        <v>15500000</v>
      </c>
      <c r="P221" s="4">
        <v>14000000</v>
      </c>
      <c r="Q221" s="4">
        <v>15500000</v>
      </c>
      <c r="R221" s="4">
        <v>14000000</v>
      </c>
      <c r="S221" s="4">
        <v>15500000</v>
      </c>
      <c r="T221" s="4">
        <v>14000000</v>
      </c>
      <c r="U221" s="4">
        <v>15500000</v>
      </c>
      <c r="V221" s="4">
        <v>14000000</v>
      </c>
      <c r="W221" s="4">
        <v>15500000</v>
      </c>
      <c r="X221" s="4">
        <v>14000000</v>
      </c>
      <c r="Y221" s="4">
        <v>15500000</v>
      </c>
    </row>
    <row r="222" spans="1:25" ht="19.5" customHeight="1" x14ac:dyDescent="0.25">
      <c r="A222" s="2" t="s">
        <v>476</v>
      </c>
      <c r="B222" s="2" t="s">
        <v>54</v>
      </c>
      <c r="C222" s="2" t="s">
        <v>54</v>
      </c>
      <c r="D222" s="2" t="s">
        <v>589</v>
      </c>
      <c r="E222" s="2" t="s">
        <v>590</v>
      </c>
      <c r="F222" s="3">
        <v>1500000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</row>
    <row r="223" spans="1:25" ht="19.5" customHeight="1" x14ac:dyDescent="0.25">
      <c r="A223" s="2" t="s">
        <v>476</v>
      </c>
      <c r="B223" s="2" t="s">
        <v>54</v>
      </c>
      <c r="C223" s="2" t="s">
        <v>54</v>
      </c>
      <c r="D223" s="2" t="s">
        <v>591</v>
      </c>
      <c r="E223" s="2" t="s">
        <v>592</v>
      </c>
      <c r="F223" s="4">
        <v>5723448.2000000002</v>
      </c>
      <c r="G223" s="3">
        <v>5723448</v>
      </c>
      <c r="H223" s="3">
        <v>5654164</v>
      </c>
      <c r="I223" s="3">
        <v>5752427</v>
      </c>
      <c r="J223" s="3">
        <v>5654164</v>
      </c>
      <c r="K223" s="3">
        <v>5752427</v>
      </c>
      <c r="L223" s="4">
        <v>5654164</v>
      </c>
      <c r="M223" s="4">
        <v>5752427</v>
      </c>
      <c r="N223" s="4">
        <v>5654164</v>
      </c>
      <c r="O223" s="4">
        <v>5752427</v>
      </c>
      <c r="P223" s="4">
        <v>5654164</v>
      </c>
      <c r="Q223" s="4">
        <v>5752427</v>
      </c>
      <c r="R223" s="4">
        <v>5654164</v>
      </c>
      <c r="S223" s="4">
        <v>5752427</v>
      </c>
      <c r="T223" s="4">
        <v>5654164</v>
      </c>
      <c r="U223" s="4">
        <v>5752427</v>
      </c>
      <c r="V223" s="4">
        <v>5654164</v>
      </c>
      <c r="W223" s="4">
        <v>5752427</v>
      </c>
      <c r="X223" s="4">
        <v>5654164</v>
      </c>
      <c r="Y223" s="4">
        <v>5752427</v>
      </c>
    </row>
    <row r="224" spans="1:25" ht="19.5" customHeight="1" x14ac:dyDescent="0.25">
      <c r="A224" s="2" t="s">
        <v>476</v>
      </c>
      <c r="B224" s="2" t="s">
        <v>54</v>
      </c>
      <c r="C224" s="2" t="s">
        <v>54</v>
      </c>
      <c r="D224" s="2" t="s">
        <v>593</v>
      </c>
      <c r="E224" s="2" t="s">
        <v>594</v>
      </c>
      <c r="F224" s="4">
        <v>1563387</v>
      </c>
      <c r="G224" s="3">
        <v>1563387</v>
      </c>
      <c r="H224" s="3">
        <v>1524219</v>
      </c>
      <c r="I224" s="3">
        <v>1563387</v>
      </c>
      <c r="J224" s="3">
        <v>1724219</v>
      </c>
      <c r="K224" s="3">
        <v>1763387</v>
      </c>
      <c r="L224" s="4">
        <v>1724219</v>
      </c>
      <c r="M224" s="4">
        <v>1763387</v>
      </c>
      <c r="N224" s="4">
        <v>1724219</v>
      </c>
      <c r="O224" s="4">
        <v>1763387</v>
      </c>
      <c r="P224" s="4">
        <v>1824219</v>
      </c>
      <c r="Q224" s="4">
        <v>1863387</v>
      </c>
      <c r="R224" s="4">
        <v>1824219</v>
      </c>
      <c r="S224" s="4">
        <v>1863387</v>
      </c>
      <c r="T224" s="4">
        <v>1824219</v>
      </c>
      <c r="U224" s="4">
        <v>1863387</v>
      </c>
      <c r="V224" s="4">
        <v>1824219</v>
      </c>
      <c r="W224" s="4">
        <v>1863387</v>
      </c>
      <c r="X224" s="4">
        <v>1824219</v>
      </c>
      <c r="Y224" s="4">
        <v>1863387</v>
      </c>
    </row>
    <row r="225" spans="1:25" ht="19.5" customHeight="1" x14ac:dyDescent="0.25">
      <c r="A225" s="2" t="s">
        <v>476</v>
      </c>
      <c r="B225" s="2" t="s">
        <v>54</v>
      </c>
      <c r="C225" s="2" t="s">
        <v>54</v>
      </c>
      <c r="D225" s="2" t="s">
        <v>595</v>
      </c>
      <c r="E225" s="2" t="s">
        <v>596</v>
      </c>
      <c r="F225" s="3">
        <v>4278800.0999999996</v>
      </c>
      <c r="G225" s="3">
        <v>4278800</v>
      </c>
      <c r="H225" s="3">
        <v>4294160</v>
      </c>
      <c r="I225" s="3">
        <v>4422984</v>
      </c>
      <c r="J225" s="3">
        <v>4294160</v>
      </c>
      <c r="K225" s="3">
        <v>4422984</v>
      </c>
      <c r="L225" s="4">
        <v>4294160</v>
      </c>
      <c r="M225" s="4">
        <v>4422984</v>
      </c>
      <c r="N225" s="4">
        <v>4294160</v>
      </c>
      <c r="O225" s="4">
        <v>4422984</v>
      </c>
      <c r="P225" s="4">
        <v>4294160</v>
      </c>
      <c r="Q225" s="4">
        <v>4422984</v>
      </c>
      <c r="R225" s="4">
        <v>4294160</v>
      </c>
      <c r="S225" s="4">
        <v>4422984</v>
      </c>
      <c r="T225" s="4">
        <v>4294160</v>
      </c>
      <c r="U225" s="4">
        <v>4422984</v>
      </c>
      <c r="V225" s="4">
        <v>4294160</v>
      </c>
      <c r="W225" s="4">
        <v>4422984</v>
      </c>
      <c r="X225" s="4">
        <v>4294160</v>
      </c>
      <c r="Y225" s="4">
        <v>4422984</v>
      </c>
    </row>
    <row r="226" spans="1:25" ht="19.5" customHeight="1" x14ac:dyDescent="0.25">
      <c r="A226" s="2" t="s">
        <v>476</v>
      </c>
      <c r="B226" s="2" t="s">
        <v>54</v>
      </c>
      <c r="C226" s="2" t="s">
        <v>54</v>
      </c>
      <c r="D226" s="2" t="s">
        <v>597</v>
      </c>
      <c r="E226" s="2" t="s">
        <v>598</v>
      </c>
      <c r="F226" s="3">
        <v>23854677</v>
      </c>
      <c r="G226" s="3">
        <v>23854677</v>
      </c>
      <c r="H226" s="3">
        <v>23452913</v>
      </c>
      <c r="I226" s="3">
        <v>23854677</v>
      </c>
      <c r="J226" s="3">
        <v>23952913</v>
      </c>
      <c r="K226" s="3">
        <v>24354677</v>
      </c>
      <c r="L226" s="4">
        <v>23952913</v>
      </c>
      <c r="M226" s="4">
        <v>24354677</v>
      </c>
      <c r="N226" s="4">
        <v>23952913</v>
      </c>
      <c r="O226" s="4">
        <v>24354677</v>
      </c>
      <c r="P226" s="4">
        <v>23952913</v>
      </c>
      <c r="Q226" s="4">
        <v>24354677</v>
      </c>
      <c r="R226" s="4">
        <v>24563453</v>
      </c>
      <c r="S226" s="4">
        <v>24761619</v>
      </c>
      <c r="T226" s="4">
        <v>24563453</v>
      </c>
      <c r="U226" s="4">
        <v>24761619</v>
      </c>
      <c r="V226" s="4">
        <v>24563453</v>
      </c>
      <c r="W226" s="4">
        <v>24761619</v>
      </c>
      <c r="X226" s="4">
        <v>24563453</v>
      </c>
      <c r="Y226" s="4">
        <v>24761619</v>
      </c>
    </row>
    <row r="227" spans="1:25" ht="19.5" customHeight="1" x14ac:dyDescent="0.25">
      <c r="A227" s="2" t="s">
        <v>476</v>
      </c>
      <c r="B227" s="2" t="s">
        <v>54</v>
      </c>
      <c r="C227" s="2" t="s">
        <v>54</v>
      </c>
      <c r="D227" s="2" t="s">
        <v>599</v>
      </c>
      <c r="E227" s="2" t="s">
        <v>600</v>
      </c>
      <c r="F227" s="3">
        <v>11241466.4</v>
      </c>
      <c r="G227" s="3">
        <v>11241466</v>
      </c>
      <c r="H227" s="3">
        <v>11107153</v>
      </c>
      <c r="I227" s="3">
        <v>11241466</v>
      </c>
      <c r="J227" s="3">
        <v>11551202</v>
      </c>
      <c r="K227" s="3">
        <v>11685515</v>
      </c>
      <c r="L227" s="4">
        <v>11551202</v>
      </c>
      <c r="M227" s="4">
        <v>11685515</v>
      </c>
      <c r="N227" s="4">
        <v>11551202</v>
      </c>
      <c r="O227" s="4">
        <v>11685515</v>
      </c>
      <c r="P227" s="4">
        <v>11843339</v>
      </c>
      <c r="Q227" s="4">
        <v>11977652</v>
      </c>
      <c r="R227" s="4">
        <v>11551202</v>
      </c>
      <c r="S227" s="4">
        <v>11685515</v>
      </c>
      <c r="T227" s="4">
        <v>11551202</v>
      </c>
      <c r="U227" s="4">
        <v>11685515</v>
      </c>
      <c r="V227" s="4">
        <v>11551202</v>
      </c>
      <c r="W227" s="4">
        <v>11685515</v>
      </c>
      <c r="X227" s="4">
        <v>11551202</v>
      </c>
      <c r="Y227" s="4">
        <v>11685515</v>
      </c>
    </row>
    <row r="228" spans="1:25" ht="19.5" customHeight="1" x14ac:dyDescent="0.25">
      <c r="A228" s="2" t="s">
        <v>476</v>
      </c>
      <c r="B228" s="2" t="s">
        <v>54</v>
      </c>
      <c r="C228" s="2" t="s">
        <v>54</v>
      </c>
      <c r="D228" s="2" t="s">
        <v>601</v>
      </c>
      <c r="E228" s="2" t="s">
        <v>602</v>
      </c>
      <c r="F228" s="4">
        <v>1987966</v>
      </c>
      <c r="G228" s="3">
        <v>2038940</v>
      </c>
      <c r="H228" s="3">
        <v>1957994</v>
      </c>
      <c r="I228" s="3">
        <v>2038940</v>
      </c>
      <c r="J228" s="3">
        <v>1957994</v>
      </c>
      <c r="K228" s="3">
        <v>2038940</v>
      </c>
      <c r="L228" s="4">
        <v>1957994</v>
      </c>
      <c r="M228" s="4">
        <v>2038940</v>
      </c>
      <c r="N228" s="4">
        <v>1957994</v>
      </c>
      <c r="O228" s="4">
        <v>2038940</v>
      </c>
      <c r="P228" s="4">
        <v>2038940</v>
      </c>
      <c r="Q228" s="4">
        <v>2038940</v>
      </c>
      <c r="R228" s="4">
        <v>2038940</v>
      </c>
      <c r="S228" s="4">
        <v>2038940</v>
      </c>
      <c r="T228" s="4">
        <v>2038940</v>
      </c>
      <c r="U228" s="4">
        <v>2038940</v>
      </c>
      <c r="V228" s="4">
        <v>2038940</v>
      </c>
      <c r="W228" s="4">
        <v>2038940</v>
      </c>
      <c r="X228" s="4">
        <v>2038940</v>
      </c>
      <c r="Y228" s="4">
        <v>2038940</v>
      </c>
    </row>
    <row r="229" spans="1:25" ht="19.5" customHeight="1" x14ac:dyDescent="0.25">
      <c r="A229" s="2" t="s">
        <v>476</v>
      </c>
      <c r="B229" s="2" t="s">
        <v>54</v>
      </c>
      <c r="C229" s="2" t="s">
        <v>54</v>
      </c>
      <c r="D229" s="2" t="s">
        <v>603</v>
      </c>
      <c r="E229" s="2" t="s">
        <v>604</v>
      </c>
      <c r="F229" s="3">
        <v>2932679</v>
      </c>
      <c r="G229" s="3">
        <v>3007876</v>
      </c>
      <c r="H229" s="3">
        <v>2888463</v>
      </c>
      <c r="I229" s="3">
        <v>3007876</v>
      </c>
      <c r="J229" s="3">
        <v>2888463</v>
      </c>
      <c r="K229" s="3">
        <v>3007876</v>
      </c>
      <c r="L229" s="4">
        <v>2888463</v>
      </c>
      <c r="M229" s="4">
        <v>3007876</v>
      </c>
      <c r="N229" s="4">
        <v>2888463</v>
      </c>
      <c r="O229" s="4">
        <v>3007876</v>
      </c>
      <c r="P229" s="4">
        <v>3007876</v>
      </c>
      <c r="Q229" s="4">
        <v>3007876</v>
      </c>
      <c r="R229" s="4">
        <v>3007876</v>
      </c>
      <c r="S229" s="4">
        <v>3007876</v>
      </c>
      <c r="T229" s="4">
        <v>3007876</v>
      </c>
      <c r="U229" s="4">
        <v>3007876</v>
      </c>
      <c r="V229" s="4">
        <v>3007876</v>
      </c>
      <c r="W229" s="4">
        <v>3007876</v>
      </c>
      <c r="X229" s="4">
        <v>3007876</v>
      </c>
      <c r="Y229" s="4">
        <v>3007876</v>
      </c>
    </row>
    <row r="230" spans="1:25" ht="19.5" customHeight="1" x14ac:dyDescent="0.25">
      <c r="A230" s="2" t="s">
        <v>476</v>
      </c>
      <c r="B230" s="2" t="s">
        <v>54</v>
      </c>
      <c r="C230" s="2" t="s">
        <v>54</v>
      </c>
      <c r="D230" s="2" t="s">
        <v>605</v>
      </c>
      <c r="E230" s="2" t="s">
        <v>606</v>
      </c>
      <c r="F230" s="3">
        <v>3884032.68</v>
      </c>
      <c r="G230" s="3">
        <v>4037456</v>
      </c>
      <c r="H230" s="3">
        <v>4636500</v>
      </c>
      <c r="I230" s="3">
        <v>5409250</v>
      </c>
      <c r="J230" s="3">
        <v>4636500</v>
      </c>
      <c r="K230" s="3">
        <v>5409250</v>
      </c>
      <c r="L230" s="4">
        <v>4636500</v>
      </c>
      <c r="M230" s="4">
        <v>5409250</v>
      </c>
      <c r="N230" s="4">
        <v>4636500</v>
      </c>
      <c r="O230" s="4">
        <v>5409250</v>
      </c>
      <c r="P230" s="4">
        <v>4636500</v>
      </c>
      <c r="Q230" s="4">
        <v>5409250</v>
      </c>
      <c r="R230" s="4">
        <v>4636500</v>
      </c>
      <c r="S230" s="4">
        <v>5409250</v>
      </c>
      <c r="T230" s="4">
        <v>4636500</v>
      </c>
      <c r="U230" s="4">
        <v>5409250</v>
      </c>
      <c r="V230" s="4">
        <v>4636500</v>
      </c>
      <c r="W230" s="4">
        <v>5409250</v>
      </c>
      <c r="X230" s="4">
        <v>4636500</v>
      </c>
      <c r="Y230" s="4">
        <v>5409250</v>
      </c>
    </row>
    <row r="231" spans="1:25" ht="19.5" customHeight="1" x14ac:dyDescent="0.25">
      <c r="A231" s="2" t="s">
        <v>476</v>
      </c>
      <c r="B231" s="2" t="s">
        <v>54</v>
      </c>
      <c r="C231" s="2" t="s">
        <v>54</v>
      </c>
      <c r="D231" s="2" t="s">
        <v>607</v>
      </c>
      <c r="E231" s="2" t="s">
        <v>608</v>
      </c>
      <c r="F231" s="3">
        <v>483642</v>
      </c>
      <c r="G231" s="3">
        <v>496043</v>
      </c>
      <c r="H231" s="3">
        <v>476350</v>
      </c>
      <c r="I231" s="3">
        <v>496043</v>
      </c>
      <c r="J231" s="3">
        <v>476350</v>
      </c>
      <c r="K231" s="3">
        <v>496043</v>
      </c>
      <c r="L231" s="4">
        <v>476350</v>
      </c>
      <c r="M231" s="4">
        <v>496043</v>
      </c>
      <c r="N231" s="4">
        <v>476350</v>
      </c>
      <c r="O231" s="4">
        <v>496043</v>
      </c>
      <c r="P231" s="4">
        <v>496043</v>
      </c>
      <c r="Q231" s="4">
        <v>496043</v>
      </c>
      <c r="R231" s="4">
        <v>496043</v>
      </c>
      <c r="S231" s="4">
        <v>496043</v>
      </c>
      <c r="T231" s="4">
        <v>496043</v>
      </c>
      <c r="U231" s="4">
        <v>496043</v>
      </c>
      <c r="V231" s="4">
        <v>496043</v>
      </c>
      <c r="W231" s="4">
        <v>496043</v>
      </c>
      <c r="X231" s="4">
        <v>496043</v>
      </c>
      <c r="Y231" s="4">
        <v>496043</v>
      </c>
    </row>
    <row r="232" spans="1:25" ht="19.5" customHeight="1" x14ac:dyDescent="0.25">
      <c r="A232" s="2" t="s">
        <v>476</v>
      </c>
      <c r="B232" s="2" t="s">
        <v>54</v>
      </c>
      <c r="C232" s="2" t="s">
        <v>54</v>
      </c>
      <c r="D232" s="2" t="s">
        <v>609</v>
      </c>
      <c r="E232" s="2" t="s">
        <v>610</v>
      </c>
      <c r="F232" s="3">
        <v>1389375</v>
      </c>
      <c r="G232" s="3">
        <v>1425000</v>
      </c>
      <c r="H232" s="3">
        <v>1368428</v>
      </c>
      <c r="I232" s="3">
        <v>1425000</v>
      </c>
      <c r="J232" s="3">
        <v>1368428</v>
      </c>
      <c r="K232" s="3">
        <v>1425000</v>
      </c>
      <c r="L232" s="4">
        <v>1368428</v>
      </c>
      <c r="M232" s="4">
        <v>1425000</v>
      </c>
      <c r="N232" s="4">
        <v>1368428</v>
      </c>
      <c r="O232" s="4">
        <v>1425000</v>
      </c>
      <c r="P232" s="4">
        <v>1425000</v>
      </c>
      <c r="Q232" s="4">
        <v>1425000</v>
      </c>
      <c r="R232" s="4">
        <v>1425000</v>
      </c>
      <c r="S232" s="4">
        <v>1425000</v>
      </c>
      <c r="T232" s="4">
        <v>1425000</v>
      </c>
      <c r="U232" s="4">
        <v>1425000</v>
      </c>
      <c r="V232" s="4">
        <v>1425000</v>
      </c>
      <c r="W232" s="4">
        <v>1425000</v>
      </c>
      <c r="X232" s="4">
        <v>1425000</v>
      </c>
      <c r="Y232" s="4">
        <v>1425000</v>
      </c>
    </row>
    <row r="233" spans="1:25" ht="19.5" customHeight="1" x14ac:dyDescent="0.25">
      <c r="A233" s="2" t="s">
        <v>476</v>
      </c>
      <c r="B233" s="2" t="s">
        <v>54</v>
      </c>
      <c r="C233" s="2" t="s">
        <v>54</v>
      </c>
      <c r="D233" s="2" t="s">
        <v>611</v>
      </c>
      <c r="E233" s="2" t="s">
        <v>612</v>
      </c>
      <c r="F233" s="3">
        <v>2803850</v>
      </c>
      <c r="G233" s="3">
        <v>1062400</v>
      </c>
      <c r="H233" s="3">
        <v>0</v>
      </c>
      <c r="I233" s="3">
        <v>0</v>
      </c>
      <c r="J233" s="3">
        <v>325000</v>
      </c>
      <c r="K233" s="3">
        <v>325000</v>
      </c>
      <c r="L233" s="4">
        <v>325000</v>
      </c>
      <c r="M233" s="4">
        <v>325000</v>
      </c>
      <c r="N233" s="4">
        <v>325000</v>
      </c>
      <c r="O233" s="4">
        <v>325000</v>
      </c>
      <c r="P233" s="4">
        <v>700000</v>
      </c>
      <c r="Q233" s="4">
        <v>500000</v>
      </c>
      <c r="R233" s="4">
        <v>1340925</v>
      </c>
      <c r="S233" s="4">
        <v>653000</v>
      </c>
      <c r="T233" s="4">
        <v>1340925</v>
      </c>
      <c r="U233" s="4">
        <v>653000</v>
      </c>
      <c r="V233" s="4">
        <v>1540925</v>
      </c>
      <c r="W233" s="4">
        <v>853000</v>
      </c>
      <c r="X233" s="4">
        <v>1540925</v>
      </c>
      <c r="Y233" s="4">
        <v>853000</v>
      </c>
    </row>
    <row r="234" spans="1:25" ht="19.5" customHeight="1" x14ac:dyDescent="0.25">
      <c r="A234" s="2" t="s">
        <v>476</v>
      </c>
      <c r="B234" s="2" t="s">
        <v>54</v>
      </c>
      <c r="C234" s="2" t="s">
        <v>54</v>
      </c>
      <c r="D234" s="2" t="s">
        <v>613</v>
      </c>
      <c r="E234" s="2" t="s">
        <v>614</v>
      </c>
      <c r="F234" s="3">
        <v>35493396</v>
      </c>
      <c r="G234" s="3">
        <v>35493396</v>
      </c>
      <c r="H234" s="3">
        <v>34895612</v>
      </c>
      <c r="I234" s="3">
        <v>35493396</v>
      </c>
      <c r="J234" s="3">
        <v>34895612</v>
      </c>
      <c r="K234" s="3">
        <v>35493396</v>
      </c>
      <c r="L234" s="4">
        <v>34895612</v>
      </c>
      <c r="M234" s="4">
        <v>35493396</v>
      </c>
      <c r="N234" s="4">
        <v>34895612</v>
      </c>
      <c r="O234" s="4">
        <v>35493396</v>
      </c>
      <c r="P234" s="4">
        <v>34895612</v>
      </c>
      <c r="Q234" s="4">
        <v>35493396</v>
      </c>
      <c r="R234" s="4">
        <v>35785072</v>
      </c>
      <c r="S234" s="4">
        <v>36086454</v>
      </c>
      <c r="T234" s="4">
        <v>35785072</v>
      </c>
      <c r="U234" s="4">
        <v>36086454</v>
      </c>
      <c r="V234" s="4">
        <v>35785072</v>
      </c>
      <c r="W234" s="4">
        <v>36086454</v>
      </c>
      <c r="X234" s="4">
        <v>35785072</v>
      </c>
      <c r="Y234" s="4">
        <v>36086454</v>
      </c>
    </row>
    <row r="235" spans="1:25" ht="19.5" customHeight="1" x14ac:dyDescent="0.25">
      <c r="A235" s="2" t="s">
        <v>476</v>
      </c>
      <c r="B235" s="2" t="s">
        <v>54</v>
      </c>
      <c r="C235" s="2" t="s">
        <v>54</v>
      </c>
      <c r="D235" s="2" t="s">
        <v>615</v>
      </c>
      <c r="E235" s="2" t="s">
        <v>616</v>
      </c>
      <c r="F235" s="3">
        <v>8955857</v>
      </c>
      <c r="G235" s="3">
        <v>9185494</v>
      </c>
      <c r="H235" s="3">
        <v>8820830</v>
      </c>
      <c r="I235" s="3">
        <v>9185494</v>
      </c>
      <c r="J235" s="3">
        <v>8820830</v>
      </c>
      <c r="K235" s="3">
        <v>9185494</v>
      </c>
      <c r="L235" s="4">
        <v>8820830</v>
      </c>
      <c r="M235" s="4">
        <v>9185494</v>
      </c>
      <c r="N235" s="4">
        <v>8820830</v>
      </c>
      <c r="O235" s="4">
        <v>9185494</v>
      </c>
      <c r="P235" s="4">
        <v>9185494</v>
      </c>
      <c r="Q235" s="4">
        <v>9185494</v>
      </c>
      <c r="R235" s="4">
        <v>9185494</v>
      </c>
      <c r="S235" s="4">
        <v>9185494</v>
      </c>
      <c r="T235" s="4">
        <v>9185494</v>
      </c>
      <c r="U235" s="4">
        <v>9185494</v>
      </c>
      <c r="V235" s="4">
        <v>9185494</v>
      </c>
      <c r="W235" s="4">
        <v>9185494</v>
      </c>
      <c r="X235" s="4">
        <v>9185494</v>
      </c>
      <c r="Y235" s="4">
        <v>9185494</v>
      </c>
    </row>
    <row r="236" spans="1:25" ht="19.5" customHeight="1" x14ac:dyDescent="0.25">
      <c r="A236" s="2" t="s">
        <v>476</v>
      </c>
      <c r="B236" s="2" t="s">
        <v>54</v>
      </c>
      <c r="C236" s="2" t="s">
        <v>54</v>
      </c>
      <c r="D236" s="2" t="s">
        <v>617</v>
      </c>
      <c r="E236" s="2" t="s">
        <v>618</v>
      </c>
      <c r="F236" s="3">
        <v>7707320</v>
      </c>
      <c r="G236" s="3">
        <v>7834944</v>
      </c>
      <c r="H236" s="3">
        <v>7395012</v>
      </c>
      <c r="I236" s="3">
        <v>7834944</v>
      </c>
      <c r="J236" s="3">
        <v>7895012</v>
      </c>
      <c r="K236" s="3">
        <v>8334944</v>
      </c>
      <c r="L236" s="4">
        <v>7895012</v>
      </c>
      <c r="M236" s="4">
        <v>8334944</v>
      </c>
      <c r="N236" s="4">
        <v>7895012</v>
      </c>
      <c r="O236" s="4">
        <v>8334944</v>
      </c>
      <c r="P236" s="4">
        <v>8334944</v>
      </c>
      <c r="Q236" s="4">
        <v>8334944</v>
      </c>
      <c r="R236" s="4">
        <v>8334944</v>
      </c>
      <c r="S236" s="4">
        <v>8334944</v>
      </c>
      <c r="T236" s="4">
        <v>8334944</v>
      </c>
      <c r="U236" s="4">
        <v>8334944</v>
      </c>
      <c r="V236" s="4">
        <v>8334944</v>
      </c>
      <c r="W236" s="4">
        <v>8334944</v>
      </c>
      <c r="X236" s="4">
        <v>8334944</v>
      </c>
      <c r="Y236" s="4">
        <v>8334944</v>
      </c>
    </row>
    <row r="237" spans="1:25" ht="19.5" customHeight="1" x14ac:dyDescent="0.25">
      <c r="A237" s="2" t="s">
        <v>476</v>
      </c>
      <c r="B237" s="2" t="s">
        <v>54</v>
      </c>
      <c r="C237" s="2" t="s">
        <v>54</v>
      </c>
      <c r="D237" s="2" t="s">
        <v>619</v>
      </c>
      <c r="E237" s="2" t="s">
        <v>620</v>
      </c>
      <c r="F237" s="3">
        <v>5741453</v>
      </c>
      <c r="G237" s="3">
        <v>5888670</v>
      </c>
      <c r="H237" s="3">
        <v>5654890</v>
      </c>
      <c r="I237" s="3">
        <v>5888670</v>
      </c>
      <c r="J237" s="3">
        <v>5654890</v>
      </c>
      <c r="K237" s="3">
        <v>5888670</v>
      </c>
      <c r="L237" s="4">
        <v>5654890</v>
      </c>
      <c r="M237" s="4">
        <v>5888670</v>
      </c>
      <c r="N237" s="4">
        <v>5654890</v>
      </c>
      <c r="O237" s="4">
        <v>5888670</v>
      </c>
      <c r="P237" s="4">
        <v>5888670</v>
      </c>
      <c r="Q237" s="4">
        <v>5888670</v>
      </c>
      <c r="R237" s="4">
        <v>5888670</v>
      </c>
      <c r="S237" s="4">
        <v>5888670</v>
      </c>
      <c r="T237" s="4">
        <v>5888670</v>
      </c>
      <c r="U237" s="4">
        <v>5888670</v>
      </c>
      <c r="V237" s="4">
        <v>5888670</v>
      </c>
      <c r="W237" s="4">
        <v>5888670</v>
      </c>
      <c r="X237" s="4">
        <v>5888670</v>
      </c>
      <c r="Y237" s="4">
        <v>5888670</v>
      </c>
    </row>
    <row r="238" spans="1:25" ht="19.5" customHeight="1" x14ac:dyDescent="0.25">
      <c r="A238" s="2" t="s">
        <v>476</v>
      </c>
      <c r="B238" s="2" t="s">
        <v>54</v>
      </c>
      <c r="C238" s="2" t="s">
        <v>54</v>
      </c>
      <c r="D238" s="2" t="s">
        <v>621</v>
      </c>
      <c r="E238" s="2" t="s">
        <v>622</v>
      </c>
      <c r="F238" s="4">
        <v>2789309</v>
      </c>
      <c r="G238" s="3">
        <v>2860830</v>
      </c>
      <c r="H238" s="3">
        <v>2747255</v>
      </c>
      <c r="I238" s="3">
        <v>2860830</v>
      </c>
      <c r="J238" s="3">
        <v>2747255</v>
      </c>
      <c r="K238" s="3">
        <v>2860830</v>
      </c>
      <c r="L238" s="4">
        <v>2747255</v>
      </c>
      <c r="M238" s="4">
        <v>2860830</v>
      </c>
      <c r="N238" s="4">
        <v>2747255</v>
      </c>
      <c r="O238" s="4">
        <v>2860830</v>
      </c>
      <c r="P238" s="4">
        <v>0</v>
      </c>
      <c r="Q238" s="4">
        <v>0</v>
      </c>
      <c r="R238" s="4">
        <v>2860830</v>
      </c>
      <c r="S238" s="4">
        <v>2860830</v>
      </c>
      <c r="T238" s="4">
        <v>2860830</v>
      </c>
      <c r="U238" s="4">
        <v>2860830</v>
      </c>
      <c r="V238" s="4">
        <v>2860830</v>
      </c>
      <c r="W238" s="4">
        <v>2860830</v>
      </c>
      <c r="X238" s="4">
        <v>2860830</v>
      </c>
      <c r="Y238" s="4">
        <v>2860830</v>
      </c>
    </row>
    <row r="239" spans="1:25" ht="19.5" customHeight="1" x14ac:dyDescent="0.25">
      <c r="A239" s="2" t="s">
        <v>476</v>
      </c>
      <c r="B239" s="2" t="s">
        <v>54</v>
      </c>
      <c r="C239" s="2" t="s">
        <v>54</v>
      </c>
      <c r="D239" s="2" t="s">
        <v>623</v>
      </c>
      <c r="E239" s="2" t="s">
        <v>624</v>
      </c>
      <c r="F239" s="3">
        <v>2696510</v>
      </c>
      <c r="G239" s="4">
        <v>2765651</v>
      </c>
      <c r="H239" s="4">
        <v>2655855</v>
      </c>
      <c r="I239" s="4">
        <v>2765651</v>
      </c>
      <c r="J239" s="4">
        <v>2655855</v>
      </c>
      <c r="K239" s="4">
        <v>2765651</v>
      </c>
      <c r="L239" s="4">
        <v>2655855</v>
      </c>
      <c r="M239" s="4">
        <v>2765651</v>
      </c>
      <c r="N239" s="4">
        <v>2655855</v>
      </c>
      <c r="O239" s="4">
        <v>2765651</v>
      </c>
      <c r="P239" s="4">
        <v>2765651</v>
      </c>
      <c r="Q239" s="4">
        <v>2765651</v>
      </c>
      <c r="R239" s="4">
        <v>2765651</v>
      </c>
      <c r="S239" s="4">
        <v>2765651</v>
      </c>
      <c r="T239" s="4">
        <v>2765651</v>
      </c>
      <c r="U239" s="4">
        <v>2765651</v>
      </c>
      <c r="V239" s="4">
        <v>2765651</v>
      </c>
      <c r="W239" s="4">
        <v>2765651</v>
      </c>
      <c r="X239" s="4">
        <v>2765651</v>
      </c>
      <c r="Y239" s="4">
        <v>2765651</v>
      </c>
    </row>
    <row r="240" spans="1:25" ht="19.5" customHeight="1" x14ac:dyDescent="0.25">
      <c r="A240" s="2" t="s">
        <v>476</v>
      </c>
      <c r="B240" s="2" t="s">
        <v>54</v>
      </c>
      <c r="C240" s="2" t="s">
        <v>54</v>
      </c>
      <c r="D240" s="2" t="s">
        <v>625</v>
      </c>
      <c r="E240" s="2" t="s">
        <v>626</v>
      </c>
      <c r="F240" s="3">
        <v>2773357</v>
      </c>
      <c r="G240" s="3">
        <v>2844469</v>
      </c>
      <c r="H240" s="3">
        <v>2731544</v>
      </c>
      <c r="I240" s="3">
        <v>2844469</v>
      </c>
      <c r="J240" s="3">
        <v>2731544</v>
      </c>
      <c r="K240" s="3">
        <v>2844469</v>
      </c>
      <c r="L240" s="4">
        <v>2731544</v>
      </c>
      <c r="M240" s="4">
        <v>2844469</v>
      </c>
      <c r="N240" s="4">
        <v>2731544</v>
      </c>
      <c r="O240" s="4">
        <v>2844469</v>
      </c>
      <c r="P240" s="4">
        <v>2844469</v>
      </c>
      <c r="Q240" s="4">
        <v>2844469</v>
      </c>
      <c r="R240" s="4">
        <v>2844469</v>
      </c>
      <c r="S240" s="4">
        <v>2844469</v>
      </c>
      <c r="T240" s="4">
        <v>2844469</v>
      </c>
      <c r="U240" s="4">
        <v>2844469</v>
      </c>
      <c r="V240" s="4">
        <v>2844469</v>
      </c>
      <c r="W240" s="4">
        <v>2844469</v>
      </c>
      <c r="X240" s="4">
        <v>2844469</v>
      </c>
      <c r="Y240" s="4">
        <v>2844469</v>
      </c>
    </row>
    <row r="241" spans="1:25" ht="19.5" customHeight="1" x14ac:dyDescent="0.25">
      <c r="A241" s="2" t="s">
        <v>476</v>
      </c>
      <c r="B241" s="2" t="s">
        <v>54</v>
      </c>
      <c r="C241" s="2" t="s">
        <v>54</v>
      </c>
      <c r="D241" s="2" t="s">
        <v>627</v>
      </c>
      <c r="E241" s="2" t="s">
        <v>628</v>
      </c>
      <c r="F241" s="3">
        <v>375000</v>
      </c>
      <c r="G241" s="3">
        <v>500000</v>
      </c>
      <c r="H241" s="3">
        <v>450000</v>
      </c>
      <c r="I241" s="3">
        <v>500000</v>
      </c>
      <c r="J241" s="3">
        <v>450000</v>
      </c>
      <c r="K241" s="3">
        <v>500000</v>
      </c>
      <c r="L241" s="4">
        <v>450000</v>
      </c>
      <c r="M241" s="4">
        <v>500000</v>
      </c>
      <c r="N241" s="4">
        <v>450000</v>
      </c>
      <c r="O241" s="4">
        <v>500000</v>
      </c>
      <c r="P241" s="4">
        <v>450000</v>
      </c>
      <c r="Q241" s="4">
        <v>500000</v>
      </c>
      <c r="R241" s="4">
        <v>450000</v>
      </c>
      <c r="S241" s="4">
        <v>500000</v>
      </c>
      <c r="T241" s="4">
        <v>450000</v>
      </c>
      <c r="U241" s="4">
        <v>500000</v>
      </c>
      <c r="V241" s="4">
        <v>450000</v>
      </c>
      <c r="W241" s="4">
        <v>500000</v>
      </c>
      <c r="X241" s="4">
        <v>450000</v>
      </c>
      <c r="Y241" s="4">
        <v>500000</v>
      </c>
    </row>
    <row r="242" spans="1:25" ht="19.5" customHeight="1" x14ac:dyDescent="0.25">
      <c r="A242" s="2" t="s">
        <v>476</v>
      </c>
      <c r="B242" s="2" t="s">
        <v>54</v>
      </c>
      <c r="C242" s="2" t="s">
        <v>54</v>
      </c>
      <c r="D242" s="2" t="s">
        <v>629</v>
      </c>
      <c r="E242" s="2" t="s">
        <v>630</v>
      </c>
      <c r="F242" s="3">
        <v>0</v>
      </c>
      <c r="G242" s="3">
        <v>400000</v>
      </c>
      <c r="H242" s="3">
        <v>0</v>
      </c>
      <c r="I242" s="3">
        <v>0</v>
      </c>
      <c r="J242" s="3">
        <v>0</v>
      </c>
      <c r="K242" s="3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</row>
    <row r="243" spans="1:25" ht="19.5" customHeight="1" x14ac:dyDescent="0.25">
      <c r="A243" s="2" t="s">
        <v>476</v>
      </c>
      <c r="B243" s="2" t="s">
        <v>54</v>
      </c>
      <c r="C243" s="2" t="s">
        <v>54</v>
      </c>
      <c r="D243" s="2" t="s">
        <v>631</v>
      </c>
      <c r="E243" s="2" t="s">
        <v>632</v>
      </c>
      <c r="F243" s="3">
        <v>3734153.6</v>
      </c>
      <c r="G243" s="3">
        <v>3317860</v>
      </c>
      <c r="H243" s="3">
        <v>3782130</v>
      </c>
      <c r="I243" s="3">
        <v>3782130</v>
      </c>
      <c r="J243" s="3">
        <v>3782130</v>
      </c>
      <c r="K243" s="3">
        <v>3782130</v>
      </c>
      <c r="L243" s="4">
        <v>3782130</v>
      </c>
      <c r="M243" s="4">
        <v>3782130</v>
      </c>
      <c r="N243" s="4">
        <v>3782130</v>
      </c>
      <c r="O243" s="4">
        <v>3782130</v>
      </c>
      <c r="P243" s="4">
        <v>4482130</v>
      </c>
      <c r="Q243" s="4">
        <v>4482130</v>
      </c>
      <c r="R243" s="4">
        <v>4883340</v>
      </c>
      <c r="S243" s="4">
        <v>4883340</v>
      </c>
      <c r="T243" s="4">
        <v>4883340</v>
      </c>
      <c r="U243" s="4">
        <v>4883340</v>
      </c>
      <c r="V243" s="4">
        <v>4883340</v>
      </c>
      <c r="W243" s="4">
        <v>4883340</v>
      </c>
      <c r="X243" s="4">
        <v>4883340</v>
      </c>
      <c r="Y243" s="4">
        <v>4883340</v>
      </c>
    </row>
    <row r="244" spans="1:25" ht="19.5" customHeight="1" x14ac:dyDescent="0.25">
      <c r="A244" s="2" t="s">
        <v>476</v>
      </c>
      <c r="B244" s="2" t="s">
        <v>54</v>
      </c>
      <c r="C244" s="2" t="s">
        <v>54</v>
      </c>
      <c r="D244" s="2" t="s">
        <v>633</v>
      </c>
      <c r="E244" s="2" t="s">
        <v>634</v>
      </c>
      <c r="F244" s="3">
        <v>3163970.23</v>
      </c>
      <c r="G244" s="3">
        <v>2854148</v>
      </c>
      <c r="H244" s="3">
        <v>3744568</v>
      </c>
      <c r="I244" s="3">
        <v>3744568</v>
      </c>
      <c r="J244" s="3">
        <v>3744568</v>
      </c>
      <c r="K244" s="3">
        <v>3744568</v>
      </c>
      <c r="L244" s="4">
        <v>3744568</v>
      </c>
      <c r="M244" s="4">
        <v>3744568</v>
      </c>
      <c r="N244" s="4">
        <v>3744568</v>
      </c>
      <c r="O244" s="4">
        <v>3744568</v>
      </c>
      <c r="P244" s="4">
        <v>4544568</v>
      </c>
      <c r="Q244" s="4">
        <v>4544568</v>
      </c>
      <c r="R244" s="4">
        <v>5084568</v>
      </c>
      <c r="S244" s="4">
        <v>5084568</v>
      </c>
      <c r="T244" s="4">
        <v>5084568</v>
      </c>
      <c r="U244" s="4">
        <v>5084568</v>
      </c>
      <c r="V244" s="4">
        <v>5084568</v>
      </c>
      <c r="W244" s="4">
        <v>5084568</v>
      </c>
      <c r="X244" s="4">
        <v>5084568</v>
      </c>
      <c r="Y244" s="4">
        <v>5084568</v>
      </c>
    </row>
    <row r="245" spans="1:25" ht="19.5" customHeight="1" x14ac:dyDescent="0.25">
      <c r="A245" s="2" t="s">
        <v>476</v>
      </c>
      <c r="B245" s="2" t="s">
        <v>54</v>
      </c>
      <c r="C245" s="2" t="s">
        <v>54</v>
      </c>
      <c r="D245" s="2" t="s">
        <v>635</v>
      </c>
      <c r="E245" s="2" t="s">
        <v>636</v>
      </c>
      <c r="F245" s="3">
        <v>3448582.2</v>
      </c>
      <c r="G245" s="3">
        <v>3630087</v>
      </c>
      <c r="H245" s="3">
        <v>1584491</v>
      </c>
      <c r="I245" s="3">
        <v>1584491</v>
      </c>
      <c r="J245" s="3">
        <v>1584491</v>
      </c>
      <c r="K245" s="3">
        <v>1584491</v>
      </c>
      <c r="L245" s="4">
        <v>1584491</v>
      </c>
      <c r="M245" s="4">
        <v>1584491</v>
      </c>
      <c r="N245" s="4">
        <v>1584491</v>
      </c>
      <c r="O245" s="4">
        <v>1584491</v>
      </c>
      <c r="P245" s="4">
        <v>1584491</v>
      </c>
      <c r="Q245" s="4">
        <v>1584491</v>
      </c>
      <c r="R245" s="4">
        <v>1584491</v>
      </c>
      <c r="S245" s="4">
        <v>1584491</v>
      </c>
      <c r="T245" s="4">
        <v>1584491</v>
      </c>
      <c r="U245" s="4">
        <v>1584491</v>
      </c>
      <c r="V245" s="4">
        <v>1584491</v>
      </c>
      <c r="W245" s="4">
        <v>1584491</v>
      </c>
      <c r="X245" s="4">
        <v>1584491</v>
      </c>
      <c r="Y245" s="4">
        <v>1584491</v>
      </c>
    </row>
    <row r="246" spans="1:25" ht="19.5" customHeight="1" x14ac:dyDescent="0.25">
      <c r="A246" s="2" t="s">
        <v>476</v>
      </c>
      <c r="B246" s="2" t="s">
        <v>54</v>
      </c>
      <c r="C246" s="2" t="s">
        <v>54</v>
      </c>
      <c r="D246" s="2" t="s">
        <v>637</v>
      </c>
      <c r="E246" s="2" t="s">
        <v>638</v>
      </c>
      <c r="F246" s="3">
        <v>1326762.3999999999</v>
      </c>
      <c r="G246" s="3">
        <v>1326762</v>
      </c>
      <c r="H246" s="3">
        <v>1310702</v>
      </c>
      <c r="I246" s="3">
        <v>1326762</v>
      </c>
      <c r="J246" s="3">
        <v>1310702</v>
      </c>
      <c r="K246" s="3">
        <v>1326762</v>
      </c>
      <c r="L246" s="4">
        <v>1310702</v>
      </c>
      <c r="M246" s="4">
        <v>1326762</v>
      </c>
      <c r="N246" s="4">
        <v>1310702</v>
      </c>
      <c r="O246" s="4">
        <v>1326762</v>
      </c>
      <c r="P246" s="4">
        <v>1310702</v>
      </c>
      <c r="Q246" s="4">
        <v>1326762</v>
      </c>
      <c r="R246" s="4">
        <v>1310702</v>
      </c>
      <c r="S246" s="4">
        <v>1326762</v>
      </c>
      <c r="T246" s="4">
        <v>1310702</v>
      </c>
      <c r="U246" s="4">
        <v>1326762</v>
      </c>
      <c r="V246" s="4">
        <v>1310702</v>
      </c>
      <c r="W246" s="4">
        <v>1326762</v>
      </c>
      <c r="X246" s="4">
        <v>1310702</v>
      </c>
      <c r="Y246" s="4">
        <v>1326762</v>
      </c>
    </row>
    <row r="247" spans="1:25" ht="19.5" customHeight="1" x14ac:dyDescent="0.25">
      <c r="A247" s="2" t="s">
        <v>476</v>
      </c>
      <c r="B247" s="2" t="s">
        <v>54</v>
      </c>
      <c r="C247" s="2" t="s">
        <v>54</v>
      </c>
      <c r="D247" s="2" t="s">
        <v>639</v>
      </c>
      <c r="E247" s="2" t="s">
        <v>640</v>
      </c>
      <c r="F247" s="3">
        <v>2923475.4</v>
      </c>
      <c r="G247" s="3">
        <v>2978512</v>
      </c>
      <c r="H247" s="3">
        <v>2915605</v>
      </c>
      <c r="I247" s="3">
        <v>2978512</v>
      </c>
      <c r="J247" s="3">
        <v>2915605</v>
      </c>
      <c r="K247" s="3">
        <v>2978512</v>
      </c>
      <c r="L247" s="4">
        <v>2915605</v>
      </c>
      <c r="M247" s="4">
        <v>2978512</v>
      </c>
      <c r="N247" s="4">
        <v>2915605</v>
      </c>
      <c r="O247" s="4">
        <v>2978512</v>
      </c>
      <c r="P247" s="4">
        <v>2915605</v>
      </c>
      <c r="Q247" s="4">
        <v>2978512</v>
      </c>
      <c r="R247" s="4">
        <v>2915605</v>
      </c>
      <c r="S247" s="4">
        <v>2978512</v>
      </c>
      <c r="T247" s="4">
        <v>2915605</v>
      </c>
      <c r="U247" s="4">
        <v>2978512</v>
      </c>
      <c r="V247" s="4">
        <v>2915605</v>
      </c>
      <c r="W247" s="4">
        <v>2978512</v>
      </c>
      <c r="X247" s="4">
        <v>2915605</v>
      </c>
      <c r="Y247" s="4">
        <v>2978512</v>
      </c>
    </row>
    <row r="248" spans="1:25" ht="19.5" customHeight="1" x14ac:dyDescent="0.25">
      <c r="A248" s="2" t="s">
        <v>476</v>
      </c>
      <c r="B248" s="2" t="s">
        <v>54</v>
      </c>
      <c r="C248" s="2" t="s">
        <v>54</v>
      </c>
      <c r="D248" s="2" t="s">
        <v>641</v>
      </c>
      <c r="E248" s="2" t="s">
        <v>642</v>
      </c>
      <c r="F248" s="3">
        <v>293583.40000000002</v>
      </c>
      <c r="G248" s="3">
        <v>309035</v>
      </c>
      <c r="H248" s="3">
        <v>296767</v>
      </c>
      <c r="I248" s="3">
        <v>309035</v>
      </c>
      <c r="J248" s="3">
        <v>296767</v>
      </c>
      <c r="K248" s="3">
        <v>309035</v>
      </c>
      <c r="L248" s="4">
        <v>296767</v>
      </c>
      <c r="M248" s="4">
        <v>309035</v>
      </c>
      <c r="N248" s="4">
        <v>296767</v>
      </c>
      <c r="O248" s="4">
        <v>309035</v>
      </c>
      <c r="P248" s="4">
        <v>309035</v>
      </c>
      <c r="Q248" s="4">
        <v>309035</v>
      </c>
      <c r="R248" s="4">
        <v>309035</v>
      </c>
      <c r="S248" s="4">
        <v>309035</v>
      </c>
      <c r="T248" s="4">
        <v>309035</v>
      </c>
      <c r="U248" s="4">
        <v>309035</v>
      </c>
      <c r="V248" s="4">
        <v>309035</v>
      </c>
      <c r="W248" s="4">
        <v>309035</v>
      </c>
      <c r="X248" s="4">
        <v>309035</v>
      </c>
      <c r="Y248" s="4">
        <v>309035</v>
      </c>
    </row>
    <row r="249" spans="1:25" ht="19.5" customHeight="1" x14ac:dyDescent="0.25">
      <c r="A249" s="2" t="s">
        <v>476</v>
      </c>
      <c r="B249" s="2" t="s">
        <v>54</v>
      </c>
      <c r="C249" s="2" t="s">
        <v>54</v>
      </c>
      <c r="D249" s="2" t="s">
        <v>643</v>
      </c>
      <c r="E249" s="2" t="s">
        <v>644</v>
      </c>
      <c r="F249" s="3">
        <v>108670997.73</v>
      </c>
      <c r="G249" s="3">
        <v>101800000</v>
      </c>
      <c r="H249" s="3">
        <v>102756352</v>
      </c>
      <c r="I249" s="3">
        <v>108500000</v>
      </c>
      <c r="J249" s="3">
        <v>102756352</v>
      </c>
      <c r="K249" s="3">
        <v>108500000</v>
      </c>
      <c r="L249" s="4">
        <v>102756352</v>
      </c>
      <c r="M249" s="4">
        <v>108500000</v>
      </c>
      <c r="N249" s="4">
        <v>102756352</v>
      </c>
      <c r="O249" s="4">
        <v>108500000</v>
      </c>
      <c r="P249" s="4">
        <v>105256352</v>
      </c>
      <c r="Q249" s="4">
        <v>111000000</v>
      </c>
      <c r="R249" s="4">
        <v>105256352</v>
      </c>
      <c r="S249" s="4">
        <v>111000000</v>
      </c>
      <c r="T249" s="4">
        <v>105256352</v>
      </c>
      <c r="U249" s="4">
        <v>111000000</v>
      </c>
      <c r="V249" s="4">
        <v>106756352</v>
      </c>
      <c r="W249" s="4">
        <v>112500000</v>
      </c>
      <c r="X249" s="4">
        <v>106756352</v>
      </c>
      <c r="Y249" s="4">
        <v>112500000</v>
      </c>
    </row>
    <row r="250" spans="1:25" ht="19.5" customHeight="1" x14ac:dyDescent="0.25">
      <c r="A250" s="2" t="s">
        <v>476</v>
      </c>
      <c r="B250" s="2" t="s">
        <v>54</v>
      </c>
      <c r="C250" s="2" t="s">
        <v>54</v>
      </c>
      <c r="D250" s="2" t="s">
        <v>645</v>
      </c>
      <c r="E250" s="2" t="s">
        <v>646</v>
      </c>
      <c r="F250" s="3">
        <v>0</v>
      </c>
      <c r="G250" s="3">
        <v>0</v>
      </c>
      <c r="H250" s="3">
        <v>4000000</v>
      </c>
      <c r="I250" s="3">
        <v>5000000</v>
      </c>
      <c r="J250" s="3">
        <v>4000000</v>
      </c>
      <c r="K250" s="3">
        <v>5000000</v>
      </c>
      <c r="L250" s="4">
        <v>4000000</v>
      </c>
      <c r="M250" s="4">
        <v>5000000</v>
      </c>
      <c r="N250" s="4">
        <v>4000000</v>
      </c>
      <c r="O250" s="4">
        <v>5000000</v>
      </c>
      <c r="P250" s="4">
        <v>4000000</v>
      </c>
      <c r="Q250" s="4">
        <v>5000000</v>
      </c>
      <c r="R250" s="4">
        <v>4000000</v>
      </c>
      <c r="S250" s="4">
        <v>5000000</v>
      </c>
      <c r="T250" s="4">
        <v>4000000</v>
      </c>
      <c r="U250" s="4">
        <v>5000000</v>
      </c>
      <c r="V250" s="4">
        <v>4000000</v>
      </c>
      <c r="W250" s="4">
        <v>5000000</v>
      </c>
      <c r="X250" s="4">
        <v>4000000</v>
      </c>
      <c r="Y250" s="4">
        <v>5000000</v>
      </c>
    </row>
    <row r="251" spans="1:25" ht="19.5" customHeight="1" x14ac:dyDescent="0.25">
      <c r="A251" s="2" t="s">
        <v>476</v>
      </c>
      <c r="B251" s="2" t="s">
        <v>54</v>
      </c>
      <c r="C251" s="2" t="s">
        <v>54</v>
      </c>
      <c r="D251" s="2" t="s">
        <v>647</v>
      </c>
      <c r="E251" s="2" t="s">
        <v>648</v>
      </c>
      <c r="F251" s="3">
        <v>710001</v>
      </c>
      <c r="G251" s="3">
        <v>728206</v>
      </c>
      <c r="H251" s="3">
        <v>699296</v>
      </c>
      <c r="I251" s="3">
        <v>728206</v>
      </c>
      <c r="J251" s="3">
        <v>699296</v>
      </c>
      <c r="K251" s="3">
        <v>728206</v>
      </c>
      <c r="L251" s="4">
        <v>699296</v>
      </c>
      <c r="M251" s="4">
        <v>728206</v>
      </c>
      <c r="N251" s="4">
        <v>699296</v>
      </c>
      <c r="O251" s="4">
        <v>728206</v>
      </c>
      <c r="P251" s="4">
        <v>728206</v>
      </c>
      <c r="Q251" s="4">
        <v>728206</v>
      </c>
      <c r="R251" s="4">
        <v>728206</v>
      </c>
      <c r="S251" s="4">
        <v>728206</v>
      </c>
      <c r="T251" s="4">
        <v>728206</v>
      </c>
      <c r="U251" s="4">
        <v>728206</v>
      </c>
      <c r="V251" s="4">
        <v>728206</v>
      </c>
      <c r="W251" s="4">
        <v>728206</v>
      </c>
      <c r="X251" s="4">
        <v>728206</v>
      </c>
      <c r="Y251" s="4">
        <v>728206</v>
      </c>
    </row>
    <row r="252" spans="1:25" ht="19.5" customHeight="1" x14ac:dyDescent="0.25">
      <c r="A252" s="2" t="s">
        <v>476</v>
      </c>
      <c r="B252" s="2" t="s">
        <v>54</v>
      </c>
      <c r="C252" s="2" t="s">
        <v>54</v>
      </c>
      <c r="D252" s="2" t="s">
        <v>649</v>
      </c>
      <c r="E252" s="2" t="s">
        <v>511</v>
      </c>
      <c r="F252" s="4">
        <v>0</v>
      </c>
      <c r="G252" s="3">
        <v>0</v>
      </c>
      <c r="H252" s="3">
        <v>4950000</v>
      </c>
      <c r="I252" s="3">
        <v>4950000</v>
      </c>
      <c r="J252" s="3">
        <v>4950000</v>
      </c>
      <c r="K252" s="3">
        <v>4950000</v>
      </c>
      <c r="L252" s="4">
        <v>4950000</v>
      </c>
      <c r="M252" s="4">
        <v>4950000</v>
      </c>
      <c r="N252" s="4">
        <v>4950000</v>
      </c>
      <c r="O252" s="4">
        <v>4950000</v>
      </c>
      <c r="P252" s="4">
        <v>4950000</v>
      </c>
      <c r="Q252" s="4">
        <v>4950000</v>
      </c>
      <c r="R252" s="4">
        <v>4950000</v>
      </c>
      <c r="S252" s="4">
        <v>4950000</v>
      </c>
      <c r="T252" s="4">
        <v>4950000</v>
      </c>
      <c r="U252" s="4">
        <v>4950000</v>
      </c>
      <c r="V252" s="4">
        <v>4950000</v>
      </c>
      <c r="W252" s="4">
        <v>4950000</v>
      </c>
      <c r="X252" s="4">
        <v>4950000</v>
      </c>
      <c r="Y252" s="4">
        <v>4950000</v>
      </c>
    </row>
    <row r="253" spans="1:25" ht="19.5" customHeight="1" x14ac:dyDescent="0.25">
      <c r="A253" s="6" t="s">
        <v>476</v>
      </c>
      <c r="B253" s="6" t="s">
        <v>54</v>
      </c>
      <c r="C253" s="6" t="s">
        <v>54</v>
      </c>
      <c r="D253" s="7" t="s">
        <v>650</v>
      </c>
      <c r="E253" s="6" t="s">
        <v>651</v>
      </c>
      <c r="F253" s="4">
        <v>0</v>
      </c>
      <c r="G253" s="4">
        <v>0</v>
      </c>
      <c r="H253" s="4">
        <v>0</v>
      </c>
      <c r="I253" s="4">
        <v>0</v>
      </c>
      <c r="J253" s="4">
        <v>474064305</v>
      </c>
      <c r="K253" s="4">
        <v>478463002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</row>
    <row r="254" spans="1:25" ht="19.5" customHeight="1" x14ac:dyDescent="0.25">
      <c r="A254" s="2" t="s">
        <v>476</v>
      </c>
      <c r="B254" s="2" t="s">
        <v>54</v>
      </c>
      <c r="C254" s="2" t="s">
        <v>54</v>
      </c>
      <c r="D254" s="2" t="s">
        <v>652</v>
      </c>
      <c r="E254" s="2" t="s">
        <v>653</v>
      </c>
      <c r="F254" s="3">
        <v>1352700</v>
      </c>
      <c r="G254" s="3">
        <v>1170000</v>
      </c>
      <c r="H254" s="3">
        <v>0</v>
      </c>
      <c r="I254" s="3">
        <v>0</v>
      </c>
      <c r="J254" s="3">
        <v>1375000</v>
      </c>
      <c r="K254" s="3">
        <v>1375000</v>
      </c>
      <c r="L254" s="4">
        <v>1375000</v>
      </c>
      <c r="M254" s="4">
        <v>1375000</v>
      </c>
      <c r="N254" s="4">
        <v>1375000</v>
      </c>
      <c r="O254" s="4">
        <v>1375000</v>
      </c>
      <c r="P254" s="4">
        <v>815000</v>
      </c>
      <c r="Q254" s="4">
        <v>815000</v>
      </c>
      <c r="R254" s="4">
        <v>815000</v>
      </c>
      <c r="S254" s="4">
        <v>815000</v>
      </c>
      <c r="T254" s="4">
        <v>815000</v>
      </c>
      <c r="U254" s="4">
        <v>815000</v>
      </c>
      <c r="V254" s="4">
        <v>890000</v>
      </c>
      <c r="W254" s="4">
        <v>890000</v>
      </c>
      <c r="X254" s="4">
        <v>890000</v>
      </c>
      <c r="Y254" s="4">
        <v>890000</v>
      </c>
    </row>
    <row r="255" spans="1:25" ht="19.5" customHeight="1" x14ac:dyDescent="0.25">
      <c r="A255" s="6" t="s">
        <v>476</v>
      </c>
      <c r="B255" s="6" t="s">
        <v>54</v>
      </c>
      <c r="C255" s="6" t="s">
        <v>54</v>
      </c>
      <c r="D255" s="7" t="s">
        <v>654</v>
      </c>
      <c r="E255" s="6" t="s">
        <v>655</v>
      </c>
      <c r="F255" s="4">
        <v>0</v>
      </c>
      <c r="G255" s="4">
        <v>0</v>
      </c>
      <c r="H255" s="4">
        <v>0</v>
      </c>
      <c r="I255" s="4">
        <v>0</v>
      </c>
      <c r="J255" s="4">
        <v>2500000</v>
      </c>
      <c r="K255" s="4">
        <v>2500000</v>
      </c>
      <c r="L255" s="4">
        <v>2500000</v>
      </c>
      <c r="M255" s="4">
        <v>2500000</v>
      </c>
      <c r="N255" s="4">
        <v>2500000</v>
      </c>
      <c r="O255" s="4">
        <v>2500000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2500000</v>
      </c>
      <c r="W255" s="4">
        <v>2500000</v>
      </c>
      <c r="X255" s="4">
        <v>2500000</v>
      </c>
      <c r="Y255" s="4">
        <v>2500000</v>
      </c>
    </row>
    <row r="256" spans="1:25" ht="19.5" customHeight="1" x14ac:dyDescent="0.25">
      <c r="A256" s="2" t="s">
        <v>476</v>
      </c>
      <c r="B256" s="2" t="s">
        <v>54</v>
      </c>
      <c r="C256" s="2" t="s">
        <v>54</v>
      </c>
      <c r="D256" s="2" t="s">
        <v>656</v>
      </c>
      <c r="E256" s="2" t="s">
        <v>657</v>
      </c>
      <c r="F256" s="3">
        <v>1000000</v>
      </c>
      <c r="G256" s="3">
        <v>900000</v>
      </c>
      <c r="H256" s="3">
        <v>0</v>
      </c>
      <c r="I256" s="3">
        <v>0</v>
      </c>
      <c r="J256" s="3">
        <v>0</v>
      </c>
      <c r="K256" s="3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</row>
    <row r="257" spans="1:25" ht="19.5" customHeight="1" x14ac:dyDescent="0.25">
      <c r="A257" s="2" t="s">
        <v>476</v>
      </c>
      <c r="B257" s="2" t="s">
        <v>54</v>
      </c>
      <c r="C257" s="2" t="s">
        <v>54</v>
      </c>
      <c r="D257" s="2" t="s">
        <v>658</v>
      </c>
      <c r="E257" s="2" t="s">
        <v>659</v>
      </c>
      <c r="F257" s="3">
        <v>500000</v>
      </c>
      <c r="G257" s="4">
        <v>400000</v>
      </c>
      <c r="H257" s="4">
        <v>400000</v>
      </c>
      <c r="I257" s="4">
        <v>400000</v>
      </c>
      <c r="J257" s="4">
        <v>400000</v>
      </c>
      <c r="K257" s="4">
        <v>400000</v>
      </c>
      <c r="L257" s="4">
        <v>400000</v>
      </c>
      <c r="M257" s="4">
        <v>400000</v>
      </c>
      <c r="N257" s="4">
        <v>400000</v>
      </c>
      <c r="O257" s="4">
        <v>400000</v>
      </c>
      <c r="P257" s="4">
        <v>400000</v>
      </c>
      <c r="Q257" s="4">
        <v>400000</v>
      </c>
      <c r="R257" s="4">
        <v>400000</v>
      </c>
      <c r="S257" s="4">
        <v>400000</v>
      </c>
      <c r="T257" s="4">
        <v>400000</v>
      </c>
      <c r="U257" s="4">
        <v>400000</v>
      </c>
      <c r="V257" s="4">
        <v>400000</v>
      </c>
      <c r="W257" s="4">
        <v>400000</v>
      </c>
      <c r="X257" s="4">
        <v>400000</v>
      </c>
      <c r="Y257" s="4">
        <v>400000</v>
      </c>
    </row>
    <row r="258" spans="1:25" ht="19.5" customHeight="1" x14ac:dyDescent="0.25">
      <c r="A258" s="2" t="s">
        <v>476</v>
      </c>
      <c r="B258" s="2" t="s">
        <v>54</v>
      </c>
      <c r="C258" s="2" t="s">
        <v>54</v>
      </c>
      <c r="D258" s="2" t="s">
        <v>660</v>
      </c>
      <c r="E258" s="2" t="s">
        <v>661</v>
      </c>
      <c r="F258" s="3">
        <v>16424224.060000001</v>
      </c>
      <c r="G258" s="4">
        <v>18800000</v>
      </c>
      <c r="H258" s="4">
        <v>19000000</v>
      </c>
      <c r="I258" s="4">
        <v>19000000</v>
      </c>
      <c r="J258" s="4">
        <v>19000000</v>
      </c>
      <c r="K258" s="4">
        <v>19000000</v>
      </c>
      <c r="L258" s="4">
        <v>19000000</v>
      </c>
      <c r="M258" s="4">
        <v>19000000</v>
      </c>
      <c r="N258" s="4">
        <v>19000000</v>
      </c>
      <c r="O258" s="4">
        <v>19000000</v>
      </c>
      <c r="P258" s="4">
        <v>19000000</v>
      </c>
      <c r="Q258" s="4">
        <v>19000000</v>
      </c>
      <c r="R258" s="4">
        <v>19000000</v>
      </c>
      <c r="S258" s="4">
        <v>19000000</v>
      </c>
      <c r="T258" s="4">
        <v>19000000</v>
      </c>
      <c r="U258" s="4">
        <v>19000000</v>
      </c>
      <c r="V258" s="4">
        <v>19000000</v>
      </c>
      <c r="W258" s="4">
        <v>19000000</v>
      </c>
      <c r="X258" s="4">
        <v>19000000</v>
      </c>
      <c r="Y258" s="4">
        <v>19000000</v>
      </c>
    </row>
    <row r="259" spans="1:25" ht="19.5" customHeight="1" x14ac:dyDescent="0.25">
      <c r="A259" s="2" t="s">
        <v>476</v>
      </c>
      <c r="B259" s="2" t="s">
        <v>54</v>
      </c>
      <c r="C259" s="2" t="s">
        <v>54</v>
      </c>
      <c r="D259" s="2" t="s">
        <v>662</v>
      </c>
      <c r="E259" s="2" t="s">
        <v>663</v>
      </c>
      <c r="F259" s="3">
        <v>323841676.06999999</v>
      </c>
      <c r="G259" s="3">
        <v>204048136</v>
      </c>
      <c r="H259" s="3">
        <v>331000000</v>
      </c>
      <c r="I259" s="3">
        <v>301000000</v>
      </c>
      <c r="J259" s="3">
        <v>331000000</v>
      </c>
      <c r="K259" s="3">
        <v>301000000</v>
      </c>
      <c r="L259" s="4">
        <v>331000000</v>
      </c>
      <c r="M259" s="4">
        <v>301000000</v>
      </c>
      <c r="N259" s="4">
        <v>331000000</v>
      </c>
      <c r="O259" s="4">
        <v>301000000</v>
      </c>
      <c r="P259" s="4">
        <v>331000000</v>
      </c>
      <c r="Q259" s="4">
        <v>301000000</v>
      </c>
      <c r="R259" s="4">
        <v>331000000</v>
      </c>
      <c r="S259" s="4">
        <v>301000000</v>
      </c>
      <c r="T259" s="4">
        <v>331000000</v>
      </c>
      <c r="U259" s="4">
        <v>301000000</v>
      </c>
      <c r="V259" s="4">
        <v>331000000</v>
      </c>
      <c r="W259" s="4">
        <v>301000000</v>
      </c>
      <c r="X259" s="4">
        <v>331000000</v>
      </c>
      <c r="Y259" s="4">
        <v>301000000</v>
      </c>
    </row>
    <row r="260" spans="1:25" ht="19.5" customHeight="1" x14ac:dyDescent="0.25">
      <c r="A260" s="2" t="s">
        <v>664</v>
      </c>
      <c r="B260" s="2" t="s">
        <v>54</v>
      </c>
      <c r="C260" s="2" t="s">
        <v>54</v>
      </c>
      <c r="D260" s="2" t="s">
        <v>665</v>
      </c>
      <c r="E260" s="2" t="s">
        <v>22</v>
      </c>
      <c r="F260" s="3">
        <v>1593805.64</v>
      </c>
      <c r="G260" s="3">
        <v>1727708</v>
      </c>
      <c r="H260" s="3">
        <v>1753243</v>
      </c>
      <c r="I260" s="3">
        <v>1803160</v>
      </c>
      <c r="J260" s="3">
        <v>1753243</v>
      </c>
      <c r="K260" s="3">
        <v>1803160</v>
      </c>
      <c r="L260" s="4">
        <v>1753243</v>
      </c>
      <c r="M260" s="4">
        <v>1803160</v>
      </c>
      <c r="N260" s="4">
        <v>1753243</v>
      </c>
      <c r="O260" s="4">
        <v>1803160</v>
      </c>
      <c r="P260" s="4">
        <v>1753243</v>
      </c>
      <c r="Q260" s="4">
        <v>1803160</v>
      </c>
      <c r="R260" s="4">
        <v>1753243</v>
      </c>
      <c r="S260" s="4">
        <v>1803160</v>
      </c>
      <c r="T260" s="4">
        <v>1753243</v>
      </c>
      <c r="U260" s="4">
        <v>1803160</v>
      </c>
      <c r="V260" s="4">
        <v>1753243</v>
      </c>
      <c r="W260" s="4">
        <v>1803160</v>
      </c>
      <c r="X260" s="4">
        <v>1753243</v>
      </c>
      <c r="Y260" s="4">
        <v>1803160</v>
      </c>
    </row>
    <row r="261" spans="1:25" ht="19.5" customHeight="1" x14ac:dyDescent="0.25">
      <c r="A261" s="2" t="s">
        <v>666</v>
      </c>
      <c r="B261" s="2" t="s">
        <v>16</v>
      </c>
      <c r="C261" s="2" t="s">
        <v>667</v>
      </c>
      <c r="D261" s="2" t="s">
        <v>668</v>
      </c>
      <c r="E261" s="2" t="s">
        <v>22</v>
      </c>
      <c r="F261" s="3">
        <v>12448244.5</v>
      </c>
      <c r="G261" s="3">
        <v>13130000</v>
      </c>
      <c r="H261" s="3">
        <v>13401718</v>
      </c>
      <c r="I261" s="3">
        <v>13492672</v>
      </c>
      <c r="J261" s="3">
        <v>13401718</v>
      </c>
      <c r="K261" s="3">
        <v>13492672</v>
      </c>
      <c r="L261" s="4">
        <v>13401718</v>
      </c>
      <c r="M261" s="4">
        <v>13492672</v>
      </c>
      <c r="N261" s="4">
        <v>13401718</v>
      </c>
      <c r="O261" s="4">
        <v>13492672</v>
      </c>
      <c r="P261" s="4">
        <v>13401718</v>
      </c>
      <c r="Q261" s="4">
        <v>13492672</v>
      </c>
      <c r="R261" s="4">
        <v>13401718</v>
      </c>
      <c r="S261" s="4">
        <v>13492672</v>
      </c>
      <c r="T261" s="4">
        <v>13401718</v>
      </c>
      <c r="U261" s="4">
        <v>13492672</v>
      </c>
      <c r="V261" s="4">
        <v>13401718</v>
      </c>
      <c r="W261" s="4">
        <v>13492672</v>
      </c>
      <c r="X261" s="4">
        <v>13401718</v>
      </c>
      <c r="Y261" s="4">
        <v>13492672</v>
      </c>
    </row>
    <row r="262" spans="1:25" ht="19.5" customHeight="1" x14ac:dyDescent="0.25">
      <c r="A262" s="2" t="s">
        <v>666</v>
      </c>
      <c r="B262" s="2" t="s">
        <v>16</v>
      </c>
      <c r="C262" s="2" t="s">
        <v>669</v>
      </c>
      <c r="D262" s="2" t="s">
        <v>670</v>
      </c>
      <c r="E262" s="2" t="s">
        <v>671</v>
      </c>
      <c r="F262" s="3">
        <v>93927.96</v>
      </c>
      <c r="G262" s="3">
        <v>200000</v>
      </c>
      <c r="H262" s="3">
        <v>250000</v>
      </c>
      <c r="I262" s="3">
        <v>250000</v>
      </c>
      <c r="J262" s="3">
        <v>250000</v>
      </c>
      <c r="K262" s="3">
        <v>250000</v>
      </c>
      <c r="L262" s="4">
        <v>250000</v>
      </c>
      <c r="M262" s="4">
        <v>250000</v>
      </c>
      <c r="N262" s="4">
        <v>250000</v>
      </c>
      <c r="O262" s="4">
        <v>250000</v>
      </c>
      <c r="P262" s="4">
        <v>250000</v>
      </c>
      <c r="Q262" s="4">
        <v>250000</v>
      </c>
      <c r="R262" s="4">
        <v>250000</v>
      </c>
      <c r="S262" s="4">
        <v>250000</v>
      </c>
      <c r="T262" s="4">
        <v>250000</v>
      </c>
      <c r="U262" s="4">
        <v>250000</v>
      </c>
      <c r="V262" s="4">
        <v>250000</v>
      </c>
      <c r="W262" s="4">
        <v>250000</v>
      </c>
      <c r="X262" s="4">
        <v>250000</v>
      </c>
      <c r="Y262" s="4">
        <v>250000</v>
      </c>
    </row>
    <row r="263" spans="1:25" ht="19.5" customHeight="1" x14ac:dyDescent="0.25">
      <c r="A263" s="2" t="s">
        <v>672</v>
      </c>
      <c r="B263" s="2" t="s">
        <v>16</v>
      </c>
      <c r="C263" s="2" t="s">
        <v>20</v>
      </c>
      <c r="D263" s="2" t="s">
        <v>673</v>
      </c>
      <c r="E263" s="2" t="s">
        <v>22</v>
      </c>
      <c r="F263" s="3">
        <v>624236.84</v>
      </c>
      <c r="G263" s="3">
        <v>664212</v>
      </c>
      <c r="H263" s="3">
        <v>833131</v>
      </c>
      <c r="I263" s="3">
        <v>850305</v>
      </c>
      <c r="J263" s="3">
        <v>833131</v>
      </c>
      <c r="K263" s="3">
        <v>850305</v>
      </c>
      <c r="L263" s="4">
        <v>833131</v>
      </c>
      <c r="M263" s="4">
        <v>850305</v>
      </c>
      <c r="N263" s="4">
        <v>833131</v>
      </c>
      <c r="O263" s="4">
        <v>850305</v>
      </c>
      <c r="P263" s="4">
        <v>833131</v>
      </c>
      <c r="Q263" s="4">
        <v>850305</v>
      </c>
      <c r="R263" s="4">
        <v>833131</v>
      </c>
      <c r="S263" s="4">
        <v>850305</v>
      </c>
      <c r="T263" s="4">
        <v>833131</v>
      </c>
      <c r="U263" s="4">
        <v>850305</v>
      </c>
      <c r="V263" s="4">
        <v>833131</v>
      </c>
      <c r="W263" s="4">
        <v>850305</v>
      </c>
      <c r="X263" s="4">
        <v>833131</v>
      </c>
      <c r="Y263" s="4">
        <v>850305</v>
      </c>
    </row>
    <row r="264" spans="1:25" ht="19.5" customHeight="1" x14ac:dyDescent="0.25">
      <c r="A264" s="2" t="s">
        <v>674</v>
      </c>
      <c r="B264" s="2" t="s">
        <v>243</v>
      </c>
      <c r="C264" s="2" t="s">
        <v>675</v>
      </c>
      <c r="D264" s="2" t="s">
        <v>676</v>
      </c>
      <c r="E264" s="2" t="s">
        <v>677</v>
      </c>
      <c r="F264" s="3">
        <v>0</v>
      </c>
      <c r="G264" s="3">
        <v>0</v>
      </c>
      <c r="H264" s="3">
        <v>7500000</v>
      </c>
      <c r="I264" s="3">
        <v>7500000</v>
      </c>
      <c r="J264" s="3">
        <v>7500000</v>
      </c>
      <c r="K264" s="3">
        <v>7500000</v>
      </c>
      <c r="L264" s="4">
        <v>7500000</v>
      </c>
      <c r="M264" s="4">
        <v>7500000</v>
      </c>
      <c r="N264" s="4">
        <v>7500000</v>
      </c>
      <c r="O264" s="4">
        <v>7500000</v>
      </c>
      <c r="P264" s="4">
        <v>7500000</v>
      </c>
      <c r="Q264" s="4">
        <v>7500000</v>
      </c>
      <c r="R264" s="4">
        <v>7500000</v>
      </c>
      <c r="S264" s="4">
        <v>7500000</v>
      </c>
      <c r="T264" s="4">
        <v>7500000</v>
      </c>
      <c r="U264" s="4">
        <v>7500000</v>
      </c>
      <c r="V264" s="4">
        <v>7500000</v>
      </c>
      <c r="W264" s="4">
        <v>7500000</v>
      </c>
      <c r="X264" s="4">
        <v>7500000</v>
      </c>
      <c r="Y264" s="4">
        <v>7500000</v>
      </c>
    </row>
    <row r="265" spans="1:25" ht="19.5" customHeight="1" x14ac:dyDescent="0.25">
      <c r="A265" s="2" t="s">
        <v>678</v>
      </c>
      <c r="B265" s="2" t="s">
        <v>16</v>
      </c>
      <c r="C265" s="2" t="s">
        <v>20</v>
      </c>
      <c r="D265" s="2" t="s">
        <v>679</v>
      </c>
      <c r="E265" s="2" t="s">
        <v>22</v>
      </c>
      <c r="F265" s="3">
        <v>552133.36</v>
      </c>
      <c r="G265" s="3">
        <v>622000</v>
      </c>
      <c r="H265" s="3">
        <v>622000</v>
      </c>
      <c r="I265" s="3">
        <v>622000</v>
      </c>
      <c r="J265" s="3">
        <v>622000</v>
      </c>
      <c r="K265" s="3">
        <v>622000</v>
      </c>
      <c r="L265" s="4">
        <v>622000</v>
      </c>
      <c r="M265" s="4">
        <v>622000</v>
      </c>
      <c r="N265" s="4">
        <v>622000</v>
      </c>
      <c r="O265" s="4">
        <v>622000</v>
      </c>
      <c r="P265" s="4">
        <v>622000</v>
      </c>
      <c r="Q265" s="4">
        <v>622000</v>
      </c>
      <c r="R265" s="4">
        <v>622000</v>
      </c>
      <c r="S265" s="4">
        <v>622000</v>
      </c>
      <c r="T265" s="4">
        <v>622000</v>
      </c>
      <c r="U265" s="4">
        <v>622000</v>
      </c>
      <c r="V265" s="4">
        <v>622000</v>
      </c>
      <c r="W265" s="4">
        <v>622000</v>
      </c>
      <c r="X265" s="4">
        <v>622000</v>
      </c>
      <c r="Y265" s="4">
        <v>622000</v>
      </c>
    </row>
    <row r="266" spans="1:25" ht="19.5" customHeight="1" x14ac:dyDescent="0.25">
      <c r="A266" s="2" t="s">
        <v>680</v>
      </c>
      <c r="B266" s="2" t="s">
        <v>16</v>
      </c>
      <c r="C266" s="2" t="s">
        <v>681</v>
      </c>
      <c r="D266" s="2" t="s">
        <v>682</v>
      </c>
      <c r="E266" s="2" t="s">
        <v>683</v>
      </c>
      <c r="F266" s="3">
        <v>0</v>
      </c>
      <c r="G266" s="3">
        <v>3000</v>
      </c>
      <c r="H266" s="3">
        <v>3000</v>
      </c>
      <c r="I266" s="3">
        <v>3000</v>
      </c>
      <c r="J266" s="3">
        <v>3000</v>
      </c>
      <c r="K266" s="3">
        <v>3000</v>
      </c>
      <c r="L266" s="4">
        <v>3000</v>
      </c>
      <c r="M266" s="4">
        <v>3000</v>
      </c>
      <c r="N266" s="4">
        <v>3000</v>
      </c>
      <c r="O266" s="4">
        <v>3000</v>
      </c>
      <c r="P266" s="4">
        <v>3000</v>
      </c>
      <c r="Q266" s="4">
        <v>3000</v>
      </c>
      <c r="R266" s="4">
        <v>3000</v>
      </c>
      <c r="S266" s="4">
        <v>3000</v>
      </c>
      <c r="T266" s="4">
        <v>3000</v>
      </c>
      <c r="U266" s="4">
        <v>3000</v>
      </c>
      <c r="V266" s="4">
        <v>3000</v>
      </c>
      <c r="W266" s="4">
        <v>3000</v>
      </c>
      <c r="X266" s="4">
        <v>3000</v>
      </c>
      <c r="Y266" s="4">
        <v>3000</v>
      </c>
    </row>
    <row r="267" spans="1:25" ht="19.5" customHeight="1" x14ac:dyDescent="0.25">
      <c r="A267" s="2" t="s">
        <v>680</v>
      </c>
      <c r="B267" s="2" t="s">
        <v>44</v>
      </c>
      <c r="C267" s="2" t="s">
        <v>684</v>
      </c>
      <c r="D267" s="2" t="s">
        <v>685</v>
      </c>
      <c r="E267" s="2" t="s">
        <v>686</v>
      </c>
      <c r="F267" s="3">
        <v>2682844.9500000002</v>
      </c>
      <c r="G267" s="3">
        <v>3313792</v>
      </c>
      <c r="H267" s="3">
        <v>3300000</v>
      </c>
      <c r="I267" s="3">
        <v>3036884</v>
      </c>
      <c r="J267" s="3">
        <v>3300000</v>
      </c>
      <c r="K267" s="3">
        <v>3036884</v>
      </c>
      <c r="L267" s="4">
        <v>3300000</v>
      </c>
      <c r="M267" s="4">
        <v>3036884</v>
      </c>
      <c r="N267" s="4">
        <v>3300000</v>
      </c>
      <c r="O267" s="4">
        <v>3036884</v>
      </c>
      <c r="P267" s="4">
        <v>3300000</v>
      </c>
      <c r="Q267" s="4">
        <v>3036884</v>
      </c>
      <c r="R267" s="4">
        <v>3300000</v>
      </c>
      <c r="S267" s="4">
        <v>3036884</v>
      </c>
      <c r="T267" s="4">
        <v>3300000</v>
      </c>
      <c r="U267" s="4">
        <v>3036884</v>
      </c>
      <c r="V267" s="4">
        <v>3300000</v>
      </c>
      <c r="W267" s="4">
        <v>3036884</v>
      </c>
      <c r="X267" s="4">
        <v>3300000</v>
      </c>
      <c r="Y267" s="4">
        <v>3036884</v>
      </c>
    </row>
    <row r="268" spans="1:25" ht="19.5" customHeight="1" x14ac:dyDescent="0.25">
      <c r="A268" s="2" t="s">
        <v>680</v>
      </c>
      <c r="B268" s="2" t="s">
        <v>54</v>
      </c>
      <c r="C268" s="2" t="s">
        <v>54</v>
      </c>
      <c r="D268" s="2" t="s">
        <v>687</v>
      </c>
      <c r="E268" s="2" t="s">
        <v>22</v>
      </c>
      <c r="F268" s="3">
        <v>5909890.6299999999</v>
      </c>
      <c r="G268" s="3">
        <v>5452740</v>
      </c>
      <c r="H268" s="3">
        <v>6118897</v>
      </c>
      <c r="I268" s="3">
        <v>6538548</v>
      </c>
      <c r="J268" s="3">
        <v>6118897</v>
      </c>
      <c r="K268" s="3">
        <v>6538548</v>
      </c>
      <c r="L268" s="4">
        <v>6118897</v>
      </c>
      <c r="M268" s="4">
        <v>6538548</v>
      </c>
      <c r="N268" s="4">
        <v>6118897</v>
      </c>
      <c r="O268" s="4">
        <v>6538548</v>
      </c>
      <c r="P268" s="4">
        <v>6118897</v>
      </c>
      <c r="Q268" s="4">
        <v>6538548</v>
      </c>
      <c r="R268" s="4">
        <v>6118897</v>
      </c>
      <c r="S268" s="4">
        <v>6538548</v>
      </c>
      <c r="T268" s="4">
        <v>6118897</v>
      </c>
      <c r="U268" s="4">
        <v>6538548</v>
      </c>
      <c r="V268" s="4">
        <v>6118897</v>
      </c>
      <c r="W268" s="4">
        <v>6538548</v>
      </c>
      <c r="X268" s="4">
        <v>6118897</v>
      </c>
      <c r="Y268" s="4">
        <v>6538548</v>
      </c>
    </row>
    <row r="269" spans="1:25" ht="19.5" customHeight="1" x14ac:dyDescent="0.25">
      <c r="A269" s="2" t="s">
        <v>688</v>
      </c>
      <c r="B269" s="2" t="s">
        <v>16</v>
      </c>
      <c r="C269" s="2" t="s">
        <v>689</v>
      </c>
      <c r="D269" s="2" t="s">
        <v>690</v>
      </c>
      <c r="E269" s="2" t="s">
        <v>691</v>
      </c>
      <c r="F269" s="3">
        <v>494373.01</v>
      </c>
      <c r="G269" s="3">
        <v>533532</v>
      </c>
      <c r="H269" s="3">
        <v>507867</v>
      </c>
      <c r="I269" s="3">
        <v>521755</v>
      </c>
      <c r="J269" s="3">
        <v>507867</v>
      </c>
      <c r="K269" s="3">
        <v>521755</v>
      </c>
      <c r="L269" s="4">
        <v>507867</v>
      </c>
      <c r="M269" s="4">
        <v>521755</v>
      </c>
      <c r="N269" s="4">
        <v>507867</v>
      </c>
      <c r="O269" s="4">
        <v>521755</v>
      </c>
      <c r="P269" s="4">
        <v>507867</v>
      </c>
      <c r="Q269" s="4">
        <v>521755</v>
      </c>
      <c r="R269" s="4">
        <v>507867</v>
      </c>
      <c r="S269" s="4">
        <v>521755</v>
      </c>
      <c r="T269" s="4">
        <v>507867</v>
      </c>
      <c r="U269" s="4">
        <v>521755</v>
      </c>
      <c r="V269" s="4">
        <v>507867</v>
      </c>
      <c r="W269" s="4">
        <v>521755</v>
      </c>
      <c r="X269" s="4">
        <v>507867</v>
      </c>
      <c r="Y269" s="4">
        <v>521755</v>
      </c>
    </row>
    <row r="270" spans="1:25" ht="19.5" customHeight="1" x14ac:dyDescent="0.25">
      <c r="A270" s="2" t="s">
        <v>688</v>
      </c>
      <c r="B270" s="2" t="s">
        <v>16</v>
      </c>
      <c r="C270" s="2" t="s">
        <v>692</v>
      </c>
      <c r="D270" s="2" t="s">
        <v>693</v>
      </c>
      <c r="E270" s="2" t="s">
        <v>694</v>
      </c>
      <c r="F270" s="3">
        <v>0</v>
      </c>
      <c r="G270" s="3">
        <v>8000</v>
      </c>
      <c r="H270" s="3">
        <v>1200</v>
      </c>
      <c r="I270" s="3">
        <v>1200</v>
      </c>
      <c r="J270" s="3">
        <v>1200</v>
      </c>
      <c r="K270" s="3">
        <v>1200</v>
      </c>
      <c r="L270" s="4">
        <v>1200</v>
      </c>
      <c r="M270" s="4">
        <v>1200</v>
      </c>
      <c r="N270" s="4">
        <v>1200</v>
      </c>
      <c r="O270" s="4">
        <v>1200</v>
      </c>
      <c r="P270" s="4">
        <v>1200</v>
      </c>
      <c r="Q270" s="4">
        <v>1200</v>
      </c>
      <c r="R270" s="4">
        <v>1200</v>
      </c>
      <c r="S270" s="4">
        <v>1200</v>
      </c>
      <c r="T270" s="4">
        <v>1200</v>
      </c>
      <c r="U270" s="4">
        <v>1200</v>
      </c>
      <c r="V270" s="4">
        <v>1200</v>
      </c>
      <c r="W270" s="4">
        <v>1200</v>
      </c>
      <c r="X270" s="4">
        <v>1200</v>
      </c>
      <c r="Y270" s="4">
        <v>1200</v>
      </c>
    </row>
    <row r="271" spans="1:25" ht="19.5" customHeight="1" x14ac:dyDescent="0.25">
      <c r="A271" s="2" t="s">
        <v>688</v>
      </c>
      <c r="B271" s="2" t="s">
        <v>54</v>
      </c>
      <c r="C271" s="2" t="s">
        <v>54</v>
      </c>
      <c r="D271" s="2" t="s">
        <v>695</v>
      </c>
      <c r="E271" s="2" t="s">
        <v>22</v>
      </c>
      <c r="F271" s="3">
        <v>2436780.89</v>
      </c>
      <c r="G271" s="3">
        <v>2692946</v>
      </c>
      <c r="H271" s="3">
        <v>2668140</v>
      </c>
      <c r="I271" s="3">
        <v>2730329</v>
      </c>
      <c r="J271" s="3">
        <v>2668140</v>
      </c>
      <c r="K271" s="3">
        <v>2730329</v>
      </c>
      <c r="L271" s="4">
        <v>2668140</v>
      </c>
      <c r="M271" s="4">
        <v>2730329</v>
      </c>
      <c r="N271" s="4">
        <v>2668140</v>
      </c>
      <c r="O271" s="4">
        <v>2730329</v>
      </c>
      <c r="P271" s="4">
        <v>2668140</v>
      </c>
      <c r="Q271" s="4">
        <v>2730329</v>
      </c>
      <c r="R271" s="4">
        <v>2668140</v>
      </c>
      <c r="S271" s="4">
        <v>2730329</v>
      </c>
      <c r="T271" s="4">
        <v>2668140</v>
      </c>
      <c r="U271" s="4">
        <v>2730329</v>
      </c>
      <c r="V271" s="4">
        <v>2668140</v>
      </c>
      <c r="W271" s="4">
        <v>2730329</v>
      </c>
      <c r="X271" s="4">
        <v>2668140</v>
      </c>
      <c r="Y271" s="4">
        <v>2730329</v>
      </c>
    </row>
    <row r="272" spans="1:25" ht="19.5" customHeight="1" x14ac:dyDescent="0.25">
      <c r="A272" s="2" t="s">
        <v>688</v>
      </c>
      <c r="B272" s="2" t="s">
        <v>54</v>
      </c>
      <c r="C272" s="2" t="s">
        <v>54</v>
      </c>
      <c r="D272" s="2" t="s">
        <v>696</v>
      </c>
      <c r="E272" s="2" t="s">
        <v>697</v>
      </c>
      <c r="F272" s="3">
        <v>825000</v>
      </c>
      <c r="G272" s="3">
        <v>3206652</v>
      </c>
      <c r="H272" s="3">
        <v>0</v>
      </c>
      <c r="I272" s="3">
        <v>0</v>
      </c>
      <c r="J272" s="3">
        <v>0</v>
      </c>
      <c r="K272" s="3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</row>
    <row r="273" spans="1:25" ht="19.5" customHeight="1" x14ac:dyDescent="0.25">
      <c r="A273" s="2" t="s">
        <v>688</v>
      </c>
      <c r="B273" s="2" t="s">
        <v>54</v>
      </c>
      <c r="C273" s="2" t="s">
        <v>54</v>
      </c>
      <c r="D273" s="2" t="s">
        <v>698</v>
      </c>
      <c r="E273" s="2" t="s">
        <v>699</v>
      </c>
      <c r="F273" s="3">
        <v>825393.3</v>
      </c>
      <c r="G273" s="4">
        <v>886527</v>
      </c>
      <c r="H273" s="4">
        <v>931645</v>
      </c>
      <c r="I273" s="4">
        <v>957137</v>
      </c>
      <c r="J273" s="4">
        <v>931645</v>
      </c>
      <c r="K273" s="4">
        <v>957137</v>
      </c>
      <c r="L273" s="4">
        <v>931645</v>
      </c>
      <c r="M273" s="4">
        <v>957137</v>
      </c>
      <c r="N273" s="4">
        <v>931645</v>
      </c>
      <c r="O273" s="4">
        <v>957137</v>
      </c>
      <c r="P273" s="4">
        <v>931645</v>
      </c>
      <c r="Q273" s="4">
        <v>957137</v>
      </c>
      <c r="R273" s="4">
        <v>931645</v>
      </c>
      <c r="S273" s="4">
        <v>957137</v>
      </c>
      <c r="T273" s="4">
        <v>931645</v>
      </c>
      <c r="U273" s="4">
        <v>957137</v>
      </c>
      <c r="V273" s="4">
        <v>931645</v>
      </c>
      <c r="W273" s="4">
        <v>957137</v>
      </c>
      <c r="X273" s="4">
        <v>931645</v>
      </c>
      <c r="Y273" s="4">
        <v>957137</v>
      </c>
    </row>
    <row r="274" spans="1:25" ht="19.5" customHeight="1" x14ac:dyDescent="0.25">
      <c r="A274" s="2" t="s">
        <v>700</v>
      </c>
      <c r="B274" s="2" t="s">
        <v>16</v>
      </c>
      <c r="C274" s="2" t="s">
        <v>701</v>
      </c>
      <c r="D274" s="2" t="s">
        <v>702</v>
      </c>
      <c r="E274" s="2" t="s">
        <v>703</v>
      </c>
      <c r="F274" s="3">
        <v>0</v>
      </c>
      <c r="G274" s="3">
        <v>35000</v>
      </c>
      <c r="H274" s="3">
        <v>35000</v>
      </c>
      <c r="I274" s="3">
        <v>35000</v>
      </c>
      <c r="J274" s="3">
        <v>35000</v>
      </c>
      <c r="K274" s="3">
        <v>35000</v>
      </c>
      <c r="L274" s="4">
        <v>35000</v>
      </c>
      <c r="M274" s="4">
        <v>35000</v>
      </c>
      <c r="N274" s="4">
        <v>35000</v>
      </c>
      <c r="O274" s="4">
        <v>35000</v>
      </c>
      <c r="P274" s="4">
        <v>35000</v>
      </c>
      <c r="Q274" s="4">
        <v>35000</v>
      </c>
      <c r="R274" s="4">
        <v>35000</v>
      </c>
      <c r="S274" s="4">
        <v>35000</v>
      </c>
      <c r="T274" s="4">
        <v>35000</v>
      </c>
      <c r="U274" s="4">
        <v>35000</v>
      </c>
      <c r="V274" s="4">
        <v>35000</v>
      </c>
      <c r="W274" s="4">
        <v>35000</v>
      </c>
      <c r="X274" s="4">
        <v>35000</v>
      </c>
      <c r="Y274" s="4">
        <v>35000</v>
      </c>
    </row>
    <row r="275" spans="1:25" ht="19.5" customHeight="1" x14ac:dyDescent="0.25">
      <c r="A275" s="2" t="s">
        <v>700</v>
      </c>
      <c r="B275" s="2" t="s">
        <v>16</v>
      </c>
      <c r="C275" s="2" t="s">
        <v>704</v>
      </c>
      <c r="D275" s="2" t="s">
        <v>705</v>
      </c>
      <c r="E275" s="2" t="s">
        <v>706</v>
      </c>
      <c r="F275" s="3">
        <v>275024.92</v>
      </c>
      <c r="G275" s="3">
        <v>313466</v>
      </c>
      <c r="H275" s="3">
        <v>313466</v>
      </c>
      <c r="I275" s="3">
        <v>313466</v>
      </c>
      <c r="J275" s="3">
        <v>313466</v>
      </c>
      <c r="K275" s="3">
        <v>313466</v>
      </c>
      <c r="L275" s="4">
        <v>313466</v>
      </c>
      <c r="M275" s="4">
        <v>313466</v>
      </c>
      <c r="N275" s="4">
        <v>313466</v>
      </c>
      <c r="O275" s="4">
        <v>313466</v>
      </c>
      <c r="P275" s="4">
        <v>313466</v>
      </c>
      <c r="Q275" s="4">
        <v>313466</v>
      </c>
      <c r="R275" s="4">
        <v>313466</v>
      </c>
      <c r="S275" s="4">
        <v>313466</v>
      </c>
      <c r="T275" s="4">
        <v>313466</v>
      </c>
      <c r="U275" s="4">
        <v>313466</v>
      </c>
      <c r="V275" s="4">
        <v>313466</v>
      </c>
      <c r="W275" s="4">
        <v>313466</v>
      </c>
      <c r="X275" s="4">
        <v>313466</v>
      </c>
      <c r="Y275" s="4">
        <v>313466</v>
      </c>
    </row>
    <row r="276" spans="1:25" ht="19.5" customHeight="1" x14ac:dyDescent="0.25">
      <c r="A276" s="2" t="s">
        <v>700</v>
      </c>
      <c r="B276" s="2" t="s">
        <v>16</v>
      </c>
      <c r="C276" s="2" t="s">
        <v>707</v>
      </c>
      <c r="D276" s="2" t="s">
        <v>708</v>
      </c>
      <c r="E276" s="2" t="s">
        <v>709</v>
      </c>
      <c r="F276" s="3">
        <v>1716644</v>
      </c>
      <c r="G276" s="3">
        <v>1980213</v>
      </c>
      <c r="H276" s="3">
        <v>2080213</v>
      </c>
      <c r="I276" s="3">
        <v>2080213</v>
      </c>
      <c r="J276" s="3">
        <v>2080213</v>
      </c>
      <c r="K276" s="3">
        <v>2080213</v>
      </c>
      <c r="L276" s="4">
        <v>2080213</v>
      </c>
      <c r="M276" s="4">
        <v>2080213</v>
      </c>
      <c r="N276" s="4">
        <v>2080213</v>
      </c>
      <c r="O276" s="4">
        <v>2080213</v>
      </c>
      <c r="P276" s="4">
        <v>2080213</v>
      </c>
      <c r="Q276" s="4">
        <v>2080213</v>
      </c>
      <c r="R276" s="4">
        <v>2080213</v>
      </c>
      <c r="S276" s="4">
        <v>2080213</v>
      </c>
      <c r="T276" s="4">
        <v>2080213</v>
      </c>
      <c r="U276" s="4">
        <v>2080213</v>
      </c>
      <c r="V276" s="4">
        <v>2080213</v>
      </c>
      <c r="W276" s="4">
        <v>2080213</v>
      </c>
      <c r="X276" s="4">
        <v>2080213</v>
      </c>
      <c r="Y276" s="4">
        <v>2080213</v>
      </c>
    </row>
    <row r="277" spans="1:25" ht="19.5" customHeight="1" x14ac:dyDescent="0.25">
      <c r="A277" s="2" t="s">
        <v>700</v>
      </c>
      <c r="B277" s="2" t="s">
        <v>16</v>
      </c>
      <c r="C277" s="2" t="s">
        <v>710</v>
      </c>
      <c r="D277" s="2" t="s">
        <v>711</v>
      </c>
      <c r="E277" s="2" t="s">
        <v>712</v>
      </c>
      <c r="F277" s="4">
        <v>11690540.34</v>
      </c>
      <c r="G277" s="3">
        <v>10465295</v>
      </c>
      <c r="H277" s="3">
        <v>11491192</v>
      </c>
      <c r="I277" s="3">
        <v>11489073</v>
      </c>
      <c r="J277" s="3">
        <v>11491192</v>
      </c>
      <c r="K277" s="3">
        <v>11489073</v>
      </c>
      <c r="L277" s="4">
        <v>11491192</v>
      </c>
      <c r="M277" s="4">
        <v>11489073</v>
      </c>
      <c r="N277" s="4">
        <v>11491192</v>
      </c>
      <c r="O277" s="4">
        <v>11489073</v>
      </c>
      <c r="P277" s="4">
        <v>11491192</v>
      </c>
      <c r="Q277" s="4">
        <v>11489073</v>
      </c>
      <c r="R277" s="4">
        <v>11491192</v>
      </c>
      <c r="S277" s="4">
        <v>11489073</v>
      </c>
      <c r="T277" s="4">
        <v>11491192</v>
      </c>
      <c r="U277" s="4">
        <v>11489073</v>
      </c>
      <c r="V277" s="4">
        <v>11491192</v>
      </c>
      <c r="W277" s="4">
        <v>11489073</v>
      </c>
      <c r="X277" s="4">
        <v>11491192</v>
      </c>
      <c r="Y277" s="4">
        <v>11489073</v>
      </c>
    </row>
    <row r="278" spans="1:25" ht="19.5" customHeight="1" x14ac:dyDescent="0.25">
      <c r="A278" s="2" t="s">
        <v>700</v>
      </c>
      <c r="B278" s="2" t="s">
        <v>16</v>
      </c>
      <c r="C278" s="2" t="s">
        <v>710</v>
      </c>
      <c r="D278" s="2" t="s">
        <v>713</v>
      </c>
      <c r="E278" s="2" t="s">
        <v>714</v>
      </c>
      <c r="F278" s="3">
        <v>91719455.689999998</v>
      </c>
      <c r="G278" s="3">
        <v>70000000</v>
      </c>
      <c r="H278" s="3">
        <v>70000000</v>
      </c>
      <c r="I278" s="3">
        <v>70000000</v>
      </c>
      <c r="J278" s="3">
        <v>70000000</v>
      </c>
      <c r="K278" s="3">
        <v>70000000</v>
      </c>
      <c r="L278" s="4">
        <v>70000000</v>
      </c>
      <c r="M278" s="4">
        <v>70000000</v>
      </c>
      <c r="N278" s="4">
        <v>70000000</v>
      </c>
      <c r="O278" s="4">
        <v>70000000</v>
      </c>
      <c r="P278" s="4">
        <v>70000000</v>
      </c>
      <c r="Q278" s="4">
        <v>70000000</v>
      </c>
      <c r="R278" s="4">
        <v>70000000</v>
      </c>
      <c r="S278" s="4">
        <v>70000000</v>
      </c>
      <c r="T278" s="4">
        <v>70000000</v>
      </c>
      <c r="U278" s="4">
        <v>70000000</v>
      </c>
      <c r="V278" s="4">
        <v>70000000</v>
      </c>
      <c r="W278" s="4">
        <v>70000000</v>
      </c>
      <c r="X278" s="4">
        <v>70000000</v>
      </c>
      <c r="Y278" s="4">
        <v>70000000</v>
      </c>
    </row>
    <row r="279" spans="1:25" ht="19.5" customHeight="1" x14ac:dyDescent="0.25">
      <c r="A279" s="2" t="s">
        <v>700</v>
      </c>
      <c r="B279" s="2" t="s">
        <v>16</v>
      </c>
      <c r="C279" s="2" t="s">
        <v>715</v>
      </c>
      <c r="D279" s="2" t="s">
        <v>716</v>
      </c>
      <c r="E279" s="2" t="s">
        <v>717</v>
      </c>
      <c r="F279" s="3">
        <v>8429643.2799999993</v>
      </c>
      <c r="G279" s="4">
        <v>10138048</v>
      </c>
      <c r="H279" s="4">
        <v>10138048</v>
      </c>
      <c r="I279" s="4">
        <v>10138048</v>
      </c>
      <c r="J279" s="4">
        <v>10138048</v>
      </c>
      <c r="K279" s="4">
        <v>10138048</v>
      </c>
      <c r="L279" s="4">
        <v>10138048</v>
      </c>
      <c r="M279" s="4">
        <v>10138048</v>
      </c>
      <c r="N279" s="4">
        <v>10138048</v>
      </c>
      <c r="O279" s="4">
        <v>10138048</v>
      </c>
      <c r="P279" s="4">
        <v>10138048</v>
      </c>
      <c r="Q279" s="4">
        <v>10138048</v>
      </c>
      <c r="R279" s="4">
        <v>10138048</v>
      </c>
      <c r="S279" s="4">
        <v>10138048</v>
      </c>
      <c r="T279" s="4">
        <v>10138048</v>
      </c>
      <c r="U279" s="4">
        <v>10138048</v>
      </c>
      <c r="V279" s="4">
        <v>10138048</v>
      </c>
      <c r="W279" s="4">
        <v>10138048</v>
      </c>
      <c r="X279" s="4">
        <v>10138048</v>
      </c>
      <c r="Y279" s="4">
        <v>10138048</v>
      </c>
    </row>
    <row r="280" spans="1:25" ht="19.5" customHeight="1" x14ac:dyDescent="0.25">
      <c r="A280" s="2" t="s">
        <v>700</v>
      </c>
      <c r="B280" s="2" t="s">
        <v>16</v>
      </c>
      <c r="C280" s="2" t="s">
        <v>718</v>
      </c>
      <c r="D280" s="2" t="s">
        <v>719</v>
      </c>
      <c r="E280" s="2" t="s">
        <v>720</v>
      </c>
      <c r="F280" s="3">
        <v>18411099.289999999</v>
      </c>
      <c r="G280" s="4">
        <v>21688598</v>
      </c>
      <c r="H280" s="4">
        <v>23166255</v>
      </c>
      <c r="I280" s="4">
        <v>23451914</v>
      </c>
      <c r="J280" s="4">
        <v>23166255</v>
      </c>
      <c r="K280" s="4">
        <v>23451914</v>
      </c>
      <c r="L280" s="4">
        <v>23166255</v>
      </c>
      <c r="M280" s="4">
        <v>23451914</v>
      </c>
      <c r="N280" s="4">
        <v>23166255</v>
      </c>
      <c r="O280" s="4">
        <v>23451914</v>
      </c>
      <c r="P280" s="4">
        <v>23166255</v>
      </c>
      <c r="Q280" s="4">
        <v>23451914</v>
      </c>
      <c r="R280" s="4">
        <v>23166255</v>
      </c>
      <c r="S280" s="4">
        <v>23451914</v>
      </c>
      <c r="T280" s="4">
        <v>23166255</v>
      </c>
      <c r="U280" s="4">
        <v>23451914</v>
      </c>
      <c r="V280" s="4">
        <v>23166255</v>
      </c>
      <c r="W280" s="4">
        <v>23451914</v>
      </c>
      <c r="X280" s="4">
        <v>23166255</v>
      </c>
      <c r="Y280" s="4">
        <v>23451914</v>
      </c>
    </row>
    <row r="281" spans="1:25" ht="19.5" customHeight="1" x14ac:dyDescent="0.25">
      <c r="A281" s="2" t="s">
        <v>700</v>
      </c>
      <c r="B281" s="2" t="s">
        <v>16</v>
      </c>
      <c r="C281" s="2" t="s">
        <v>718</v>
      </c>
      <c r="D281" s="2" t="s">
        <v>721</v>
      </c>
      <c r="E281" s="2" t="s">
        <v>722</v>
      </c>
      <c r="F281" s="3">
        <v>5112864.51</v>
      </c>
      <c r="G281" s="3">
        <v>5200000</v>
      </c>
      <c r="H281" s="3">
        <v>5900000</v>
      </c>
      <c r="I281" s="3">
        <v>5900000</v>
      </c>
      <c r="J281" s="3">
        <v>6100000</v>
      </c>
      <c r="K281" s="3">
        <v>6100000</v>
      </c>
      <c r="L281" s="4">
        <v>6100000</v>
      </c>
      <c r="M281" s="4">
        <v>6100000</v>
      </c>
      <c r="N281" s="4">
        <v>6100000</v>
      </c>
      <c r="O281" s="4">
        <v>6100000</v>
      </c>
      <c r="P281" s="4">
        <v>6425000</v>
      </c>
      <c r="Q281" s="4">
        <v>6275000</v>
      </c>
      <c r="R281" s="4">
        <v>6675000</v>
      </c>
      <c r="S281" s="4">
        <v>6275000</v>
      </c>
      <c r="T281" s="4">
        <v>6675000</v>
      </c>
      <c r="U281" s="4">
        <v>6275000</v>
      </c>
      <c r="V281" s="4">
        <v>6675000</v>
      </c>
      <c r="W281" s="4">
        <v>6275000</v>
      </c>
      <c r="X281" s="4">
        <v>6675000</v>
      </c>
      <c r="Y281" s="4">
        <v>6275000</v>
      </c>
    </row>
    <row r="282" spans="1:25" ht="19.5" customHeight="1" x14ac:dyDescent="0.25">
      <c r="A282" s="2" t="s">
        <v>700</v>
      </c>
      <c r="B282" s="2" t="s">
        <v>16</v>
      </c>
      <c r="C282" s="2" t="s">
        <v>723</v>
      </c>
      <c r="D282" s="2" t="s">
        <v>724</v>
      </c>
      <c r="E282" s="2" t="s">
        <v>725</v>
      </c>
      <c r="F282" s="3">
        <v>6843</v>
      </c>
      <c r="G282" s="3">
        <v>69655</v>
      </c>
      <c r="H282" s="3">
        <v>69655</v>
      </c>
      <c r="I282" s="3">
        <v>69655</v>
      </c>
      <c r="J282" s="3">
        <v>69655</v>
      </c>
      <c r="K282" s="3">
        <v>69655</v>
      </c>
      <c r="L282" s="4">
        <v>69655</v>
      </c>
      <c r="M282" s="4">
        <v>69655</v>
      </c>
      <c r="N282" s="4">
        <v>69655</v>
      </c>
      <c r="O282" s="4">
        <v>69655</v>
      </c>
      <c r="P282" s="4">
        <v>69655</v>
      </c>
      <c r="Q282" s="4">
        <v>69655</v>
      </c>
      <c r="R282" s="4">
        <v>69655</v>
      </c>
      <c r="S282" s="4">
        <v>69655</v>
      </c>
      <c r="T282" s="4">
        <v>69655</v>
      </c>
      <c r="U282" s="4">
        <v>69655</v>
      </c>
      <c r="V282" s="4">
        <v>69655</v>
      </c>
      <c r="W282" s="4">
        <v>69655</v>
      </c>
      <c r="X282" s="4">
        <v>69655</v>
      </c>
      <c r="Y282" s="4">
        <v>69655</v>
      </c>
    </row>
    <row r="283" spans="1:25" ht="19.5" customHeight="1" x14ac:dyDescent="0.25">
      <c r="A283" s="2" t="s">
        <v>700</v>
      </c>
      <c r="B283" s="2" t="s">
        <v>16</v>
      </c>
      <c r="C283" s="2" t="s">
        <v>726</v>
      </c>
      <c r="D283" s="2" t="s">
        <v>727</v>
      </c>
      <c r="E283" s="2" t="s">
        <v>728</v>
      </c>
      <c r="F283" s="3">
        <v>0</v>
      </c>
      <c r="G283" s="3">
        <v>50000</v>
      </c>
      <c r="H283" s="3">
        <v>50000</v>
      </c>
      <c r="I283" s="3">
        <v>50000</v>
      </c>
      <c r="J283" s="3">
        <v>50000</v>
      </c>
      <c r="K283" s="3">
        <v>50000</v>
      </c>
      <c r="L283" s="4">
        <v>50000</v>
      </c>
      <c r="M283" s="4">
        <v>50000</v>
      </c>
      <c r="N283" s="4">
        <v>50000</v>
      </c>
      <c r="O283" s="4">
        <v>50000</v>
      </c>
      <c r="P283" s="4">
        <v>50000</v>
      </c>
      <c r="Q283" s="4">
        <v>50000</v>
      </c>
      <c r="R283" s="4">
        <v>50000</v>
      </c>
      <c r="S283" s="4">
        <v>50000</v>
      </c>
      <c r="T283" s="4">
        <v>50000</v>
      </c>
      <c r="U283" s="4">
        <v>50000</v>
      </c>
      <c r="V283" s="4">
        <v>50000</v>
      </c>
      <c r="W283" s="4">
        <v>50000</v>
      </c>
      <c r="X283" s="4">
        <v>50000</v>
      </c>
      <c r="Y283" s="4">
        <v>50000</v>
      </c>
    </row>
    <row r="284" spans="1:25" ht="19.5" customHeight="1" x14ac:dyDescent="0.25">
      <c r="A284" s="2" t="s">
        <v>700</v>
      </c>
      <c r="B284" s="2" t="s">
        <v>16</v>
      </c>
      <c r="C284" s="2" t="s">
        <v>729</v>
      </c>
      <c r="D284" s="2" t="s">
        <v>730</v>
      </c>
      <c r="E284" s="2" t="s">
        <v>731</v>
      </c>
      <c r="F284" s="3">
        <v>3670206.04</v>
      </c>
      <c r="G284" s="3">
        <v>4067513</v>
      </c>
      <c r="H284" s="3">
        <v>4155513</v>
      </c>
      <c r="I284" s="3">
        <v>4227780</v>
      </c>
      <c r="J284" s="3">
        <v>4155513</v>
      </c>
      <c r="K284" s="3">
        <v>4227780</v>
      </c>
      <c r="L284" s="4">
        <v>4155513</v>
      </c>
      <c r="M284" s="4">
        <v>4227780</v>
      </c>
      <c r="N284" s="4">
        <v>4155513</v>
      </c>
      <c r="O284" s="4">
        <v>4227780</v>
      </c>
      <c r="P284" s="4">
        <v>4155513</v>
      </c>
      <c r="Q284" s="4">
        <v>4227780</v>
      </c>
      <c r="R284" s="4">
        <v>4155513</v>
      </c>
      <c r="S284" s="4">
        <v>4227780</v>
      </c>
      <c r="T284" s="4">
        <v>4155513</v>
      </c>
      <c r="U284" s="4">
        <v>4227780</v>
      </c>
      <c r="V284" s="4">
        <v>4155513</v>
      </c>
      <c r="W284" s="4">
        <v>4227780</v>
      </c>
      <c r="X284" s="4">
        <v>4155513</v>
      </c>
      <c r="Y284" s="4">
        <v>4227780</v>
      </c>
    </row>
    <row r="285" spans="1:25" ht="19.5" customHeight="1" x14ac:dyDescent="0.25">
      <c r="A285" s="2" t="s">
        <v>700</v>
      </c>
      <c r="B285" s="2" t="s">
        <v>16</v>
      </c>
      <c r="C285" s="2" t="s">
        <v>732</v>
      </c>
      <c r="D285" s="2" t="s">
        <v>733</v>
      </c>
      <c r="E285" s="2" t="s">
        <v>734</v>
      </c>
      <c r="F285" s="3">
        <v>6010437.0599999996</v>
      </c>
      <c r="G285" s="3">
        <v>6363135</v>
      </c>
      <c r="H285" s="3">
        <v>7234782</v>
      </c>
      <c r="I285" s="3">
        <v>7387595</v>
      </c>
      <c r="J285" s="3">
        <v>7234782</v>
      </c>
      <c r="K285" s="3">
        <v>7387595</v>
      </c>
      <c r="L285" s="4">
        <v>7234782</v>
      </c>
      <c r="M285" s="4">
        <v>7387595</v>
      </c>
      <c r="N285" s="4">
        <v>7234782</v>
      </c>
      <c r="O285" s="4">
        <v>7387595</v>
      </c>
      <c r="P285" s="4">
        <v>7234782</v>
      </c>
      <c r="Q285" s="4">
        <v>7387595</v>
      </c>
      <c r="R285" s="4">
        <v>7234782</v>
      </c>
      <c r="S285" s="4">
        <v>7387595</v>
      </c>
      <c r="T285" s="4">
        <v>7234782</v>
      </c>
      <c r="U285" s="4">
        <v>7387595</v>
      </c>
      <c r="V285" s="4">
        <v>7234782</v>
      </c>
      <c r="W285" s="4">
        <v>7387595</v>
      </c>
      <c r="X285" s="4">
        <v>7234782</v>
      </c>
      <c r="Y285" s="4">
        <v>7387595</v>
      </c>
    </row>
    <row r="286" spans="1:25" ht="19.5" customHeight="1" x14ac:dyDescent="0.25">
      <c r="A286" s="2" t="s">
        <v>700</v>
      </c>
      <c r="B286" s="2" t="s">
        <v>16</v>
      </c>
      <c r="C286" s="2" t="s">
        <v>735</v>
      </c>
      <c r="D286" s="2" t="s">
        <v>736</v>
      </c>
      <c r="E286" s="2" t="s">
        <v>737</v>
      </c>
      <c r="F286" s="3">
        <v>3621256.67</v>
      </c>
      <c r="G286" s="3">
        <v>3807712</v>
      </c>
      <c r="H286" s="3">
        <v>3807712</v>
      </c>
      <c r="I286" s="3">
        <v>3807712</v>
      </c>
      <c r="J286" s="3">
        <v>3807712</v>
      </c>
      <c r="K286" s="3">
        <v>3807712</v>
      </c>
      <c r="L286" s="4">
        <v>3807712</v>
      </c>
      <c r="M286" s="4">
        <v>3807712</v>
      </c>
      <c r="N286" s="4">
        <v>3807712</v>
      </c>
      <c r="O286" s="4">
        <v>3807712</v>
      </c>
      <c r="P286" s="4">
        <v>3807712</v>
      </c>
      <c r="Q286" s="4">
        <v>3807712</v>
      </c>
      <c r="R286" s="4">
        <v>3807712</v>
      </c>
      <c r="S286" s="4">
        <v>3807712</v>
      </c>
      <c r="T286" s="4">
        <v>3807712</v>
      </c>
      <c r="U286" s="4">
        <v>3807712</v>
      </c>
      <c r="V286" s="4">
        <v>3807712</v>
      </c>
      <c r="W286" s="4">
        <v>3807712</v>
      </c>
      <c r="X286" s="4">
        <v>3807712</v>
      </c>
      <c r="Y286" s="4">
        <v>3807712</v>
      </c>
    </row>
    <row r="287" spans="1:25" ht="19.5" customHeight="1" x14ac:dyDescent="0.25">
      <c r="A287" s="2" t="s">
        <v>700</v>
      </c>
      <c r="B287" s="2" t="s">
        <v>16</v>
      </c>
      <c r="C287" s="2" t="s">
        <v>738</v>
      </c>
      <c r="D287" s="2" t="s">
        <v>739</v>
      </c>
      <c r="E287" s="2" t="s">
        <v>740</v>
      </c>
      <c r="F287" s="3">
        <v>4118301.09</v>
      </c>
      <c r="G287" s="3">
        <v>5777988</v>
      </c>
      <c r="H287" s="3">
        <v>5517185</v>
      </c>
      <c r="I287" s="3">
        <v>5510095</v>
      </c>
      <c r="J287" s="3">
        <v>5517185</v>
      </c>
      <c r="K287" s="3">
        <v>5510095</v>
      </c>
      <c r="L287" s="4">
        <v>5517185</v>
      </c>
      <c r="M287" s="4">
        <v>5510095</v>
      </c>
      <c r="N287" s="4">
        <v>5517185</v>
      </c>
      <c r="O287" s="4">
        <v>5510095</v>
      </c>
      <c r="P287" s="4">
        <v>5517185</v>
      </c>
      <c r="Q287" s="4">
        <v>5510095</v>
      </c>
      <c r="R287" s="4">
        <v>5517185</v>
      </c>
      <c r="S287" s="4">
        <v>5510095</v>
      </c>
      <c r="T287" s="4">
        <v>5517185</v>
      </c>
      <c r="U287" s="4">
        <v>5510095</v>
      </c>
      <c r="V287" s="4">
        <v>5517185</v>
      </c>
      <c r="W287" s="4">
        <v>5510095</v>
      </c>
      <c r="X287" s="4">
        <v>5517185</v>
      </c>
      <c r="Y287" s="4">
        <v>5510095</v>
      </c>
    </row>
    <row r="288" spans="1:25" ht="19.5" customHeight="1" x14ac:dyDescent="0.25">
      <c r="A288" s="2" t="s">
        <v>700</v>
      </c>
      <c r="B288" s="2" t="s">
        <v>16</v>
      </c>
      <c r="C288" s="2" t="s">
        <v>741</v>
      </c>
      <c r="D288" s="2" t="s">
        <v>742</v>
      </c>
      <c r="E288" s="2" t="s">
        <v>743</v>
      </c>
      <c r="F288" s="3">
        <v>27287042.77</v>
      </c>
      <c r="G288" s="3">
        <v>30929000</v>
      </c>
      <c r="H288" s="3">
        <v>30929000</v>
      </c>
      <c r="I288" s="3">
        <v>30929000</v>
      </c>
      <c r="J288" s="3">
        <v>30929000</v>
      </c>
      <c r="K288" s="3">
        <v>30929000</v>
      </c>
      <c r="L288" s="4">
        <v>30929000</v>
      </c>
      <c r="M288" s="4">
        <v>30929000</v>
      </c>
      <c r="N288" s="4">
        <v>30929000</v>
      </c>
      <c r="O288" s="4">
        <v>30929000</v>
      </c>
      <c r="P288" s="4">
        <v>30929000</v>
      </c>
      <c r="Q288" s="4">
        <v>30929000</v>
      </c>
      <c r="R288" s="4">
        <v>30929000</v>
      </c>
      <c r="S288" s="4">
        <v>30929000</v>
      </c>
      <c r="T288" s="4">
        <v>30929000</v>
      </c>
      <c r="U288" s="4">
        <v>30929000</v>
      </c>
      <c r="V288" s="4">
        <v>30929000</v>
      </c>
      <c r="W288" s="4">
        <v>30929000</v>
      </c>
      <c r="X288" s="4">
        <v>30929000</v>
      </c>
      <c r="Y288" s="4">
        <v>30929000</v>
      </c>
    </row>
    <row r="289" spans="1:25" ht="19.5" customHeight="1" x14ac:dyDescent="0.25">
      <c r="A289" s="2" t="s">
        <v>700</v>
      </c>
      <c r="B289" s="2" t="s">
        <v>16</v>
      </c>
      <c r="C289" s="2" t="s">
        <v>744</v>
      </c>
      <c r="D289" s="2" t="s">
        <v>745</v>
      </c>
      <c r="E289" s="2" t="s">
        <v>746</v>
      </c>
      <c r="F289" s="3">
        <v>300000</v>
      </c>
      <c r="G289" s="3">
        <v>300000</v>
      </c>
      <c r="H289" s="3">
        <v>600000</v>
      </c>
      <c r="I289" s="3">
        <v>600000</v>
      </c>
      <c r="J289" s="3">
        <v>600000</v>
      </c>
      <c r="K289" s="3">
        <v>600000</v>
      </c>
      <c r="L289" s="4">
        <v>600000</v>
      </c>
      <c r="M289" s="4">
        <v>600000</v>
      </c>
      <c r="N289" s="4">
        <v>600000</v>
      </c>
      <c r="O289" s="4">
        <v>600000</v>
      </c>
      <c r="P289" s="4">
        <v>600000</v>
      </c>
      <c r="Q289" s="4">
        <v>600000</v>
      </c>
      <c r="R289" s="4">
        <v>600000</v>
      </c>
      <c r="S289" s="4">
        <v>600000</v>
      </c>
      <c r="T289" s="4">
        <v>600000</v>
      </c>
      <c r="U289" s="4">
        <v>600000</v>
      </c>
      <c r="V289" s="4">
        <v>600000</v>
      </c>
      <c r="W289" s="4">
        <v>600000</v>
      </c>
      <c r="X289" s="4">
        <v>600000</v>
      </c>
      <c r="Y289" s="4">
        <v>600000</v>
      </c>
    </row>
    <row r="290" spans="1:25" ht="19.5" customHeight="1" x14ac:dyDescent="0.25">
      <c r="A290" s="2" t="s">
        <v>700</v>
      </c>
      <c r="B290" s="2" t="s">
        <v>16</v>
      </c>
      <c r="C290" s="2" t="s">
        <v>747</v>
      </c>
      <c r="D290" s="2" t="s">
        <v>748</v>
      </c>
      <c r="E290" s="2" t="s">
        <v>749</v>
      </c>
      <c r="F290" s="3">
        <v>61907</v>
      </c>
      <c r="G290" s="3">
        <v>150000</v>
      </c>
      <c r="H290" s="3">
        <v>150000</v>
      </c>
      <c r="I290" s="3">
        <v>150000</v>
      </c>
      <c r="J290" s="3">
        <v>150000</v>
      </c>
      <c r="K290" s="3">
        <v>150000</v>
      </c>
      <c r="L290" s="4">
        <v>150000</v>
      </c>
      <c r="M290" s="4">
        <v>150000</v>
      </c>
      <c r="N290" s="4">
        <v>150000</v>
      </c>
      <c r="O290" s="4">
        <v>150000</v>
      </c>
      <c r="P290" s="4">
        <v>150000</v>
      </c>
      <c r="Q290" s="4">
        <v>150000</v>
      </c>
      <c r="R290" s="4">
        <v>150000</v>
      </c>
      <c r="S290" s="4">
        <v>150000</v>
      </c>
      <c r="T290" s="4">
        <v>150000</v>
      </c>
      <c r="U290" s="4">
        <v>150000</v>
      </c>
      <c r="V290" s="4">
        <v>150000</v>
      </c>
      <c r="W290" s="4">
        <v>150000</v>
      </c>
      <c r="X290" s="4">
        <v>150000</v>
      </c>
      <c r="Y290" s="4">
        <v>150000</v>
      </c>
    </row>
    <row r="291" spans="1:25" ht="19.5" customHeight="1" x14ac:dyDescent="0.25">
      <c r="A291" s="2" t="s">
        <v>700</v>
      </c>
      <c r="B291" s="2" t="s">
        <v>16</v>
      </c>
      <c r="C291" s="2" t="s">
        <v>750</v>
      </c>
      <c r="D291" s="2" t="s">
        <v>751</v>
      </c>
      <c r="E291" s="2" t="s">
        <v>752</v>
      </c>
      <c r="F291" s="3">
        <v>268274.02</v>
      </c>
      <c r="G291" s="3">
        <v>682150</v>
      </c>
      <c r="H291" s="3">
        <v>2182150</v>
      </c>
      <c r="I291" s="3">
        <v>2182150</v>
      </c>
      <c r="J291" s="3">
        <v>2182150</v>
      </c>
      <c r="K291" s="3">
        <v>2182150</v>
      </c>
      <c r="L291" s="4">
        <v>2182150</v>
      </c>
      <c r="M291" s="4">
        <v>2182150</v>
      </c>
      <c r="N291" s="4">
        <v>2182150</v>
      </c>
      <c r="O291" s="4">
        <v>2182150</v>
      </c>
      <c r="P291" s="4">
        <v>2182150</v>
      </c>
      <c r="Q291" s="4">
        <v>2182150</v>
      </c>
      <c r="R291" s="4">
        <v>2182150</v>
      </c>
      <c r="S291" s="4">
        <v>2182150</v>
      </c>
      <c r="T291" s="4">
        <v>2182150</v>
      </c>
      <c r="U291" s="4">
        <v>2182150</v>
      </c>
      <c r="V291" s="4">
        <v>2182150</v>
      </c>
      <c r="W291" s="4">
        <v>2182150</v>
      </c>
      <c r="X291" s="4">
        <v>2182150</v>
      </c>
      <c r="Y291" s="4">
        <v>2182150</v>
      </c>
    </row>
    <row r="292" spans="1:25" ht="19.5" customHeight="1" x14ac:dyDescent="0.25">
      <c r="A292" s="2" t="s">
        <v>700</v>
      </c>
      <c r="B292" s="2" t="s">
        <v>16</v>
      </c>
      <c r="C292" s="2" t="s">
        <v>753</v>
      </c>
      <c r="D292" s="2" t="s">
        <v>754</v>
      </c>
      <c r="E292" s="2" t="s">
        <v>755</v>
      </c>
      <c r="F292" s="3">
        <v>0</v>
      </c>
      <c r="G292" s="4">
        <v>27324</v>
      </c>
      <c r="H292" s="4">
        <v>27324</v>
      </c>
      <c r="I292" s="4">
        <v>27324</v>
      </c>
      <c r="J292" s="4">
        <v>27324</v>
      </c>
      <c r="K292" s="4">
        <v>27324</v>
      </c>
      <c r="L292" s="4">
        <v>27324</v>
      </c>
      <c r="M292" s="4">
        <v>27324</v>
      </c>
      <c r="N292" s="4">
        <v>27324</v>
      </c>
      <c r="O292" s="4">
        <v>27324</v>
      </c>
      <c r="P292" s="4">
        <v>27324</v>
      </c>
      <c r="Q292" s="4">
        <v>27324</v>
      </c>
      <c r="R292" s="4">
        <v>27324</v>
      </c>
      <c r="S292" s="4">
        <v>27324</v>
      </c>
      <c r="T292" s="4">
        <v>27324</v>
      </c>
      <c r="U292" s="4">
        <v>27324</v>
      </c>
      <c r="V292" s="4">
        <v>27324</v>
      </c>
      <c r="W292" s="4">
        <v>27324</v>
      </c>
      <c r="X292" s="4">
        <v>27324</v>
      </c>
      <c r="Y292" s="4">
        <v>27324</v>
      </c>
    </row>
    <row r="293" spans="1:25" ht="19.5" customHeight="1" x14ac:dyDescent="0.25">
      <c r="A293" s="2" t="s">
        <v>700</v>
      </c>
      <c r="B293" s="2" t="s">
        <v>16</v>
      </c>
      <c r="C293" s="2" t="s">
        <v>756</v>
      </c>
      <c r="D293" s="2" t="s">
        <v>757</v>
      </c>
      <c r="E293" s="2" t="s">
        <v>758</v>
      </c>
      <c r="F293" s="3">
        <v>0</v>
      </c>
      <c r="G293" s="4">
        <v>788204</v>
      </c>
      <c r="H293" s="4">
        <v>327470</v>
      </c>
      <c r="I293" s="4">
        <v>396154</v>
      </c>
      <c r="J293" s="4">
        <v>327470</v>
      </c>
      <c r="K293" s="4">
        <v>396154</v>
      </c>
      <c r="L293" s="4">
        <v>327470</v>
      </c>
      <c r="M293" s="4">
        <v>396154</v>
      </c>
      <c r="N293" s="4">
        <v>327470</v>
      </c>
      <c r="O293" s="4">
        <v>396154</v>
      </c>
      <c r="P293" s="4">
        <v>327470</v>
      </c>
      <c r="Q293" s="4">
        <v>396154</v>
      </c>
      <c r="R293" s="4">
        <v>327470</v>
      </c>
      <c r="S293" s="4">
        <v>396154</v>
      </c>
      <c r="T293" s="4">
        <v>327470</v>
      </c>
      <c r="U293" s="4">
        <v>396154</v>
      </c>
      <c r="V293" s="4">
        <v>327470</v>
      </c>
      <c r="W293" s="4">
        <v>396154</v>
      </c>
      <c r="X293" s="4">
        <v>327470</v>
      </c>
      <c r="Y293" s="4">
        <v>396154</v>
      </c>
    </row>
    <row r="294" spans="1:25" ht="19.5" customHeight="1" x14ac:dyDescent="0.25">
      <c r="A294" s="2" t="s">
        <v>700</v>
      </c>
      <c r="B294" s="2" t="s">
        <v>16</v>
      </c>
      <c r="C294" s="2" t="s">
        <v>759</v>
      </c>
      <c r="D294" s="2" t="s">
        <v>760</v>
      </c>
      <c r="E294" s="2" t="s">
        <v>761</v>
      </c>
      <c r="F294" s="3">
        <v>14511882.9</v>
      </c>
      <c r="G294" s="3">
        <v>19705103</v>
      </c>
      <c r="H294" s="3">
        <v>23532000</v>
      </c>
      <c r="I294" s="3">
        <v>25395000</v>
      </c>
      <c r="J294" s="3">
        <v>23532000</v>
      </c>
      <c r="K294" s="3">
        <v>25395000</v>
      </c>
      <c r="L294" s="4">
        <v>23532000</v>
      </c>
      <c r="M294" s="4">
        <v>25395000</v>
      </c>
      <c r="N294" s="4">
        <v>23532000</v>
      </c>
      <c r="O294" s="4">
        <v>25395000</v>
      </c>
      <c r="P294" s="4">
        <v>23532000</v>
      </c>
      <c r="Q294" s="4">
        <v>25395000</v>
      </c>
      <c r="R294" s="4">
        <v>23532000</v>
      </c>
      <c r="S294" s="4">
        <v>25395000</v>
      </c>
      <c r="T294" s="4">
        <v>23532000</v>
      </c>
      <c r="U294" s="4">
        <v>25395000</v>
      </c>
      <c r="V294" s="4">
        <v>23532000</v>
      </c>
      <c r="W294" s="4">
        <v>25395000</v>
      </c>
      <c r="X294" s="4">
        <v>23532000</v>
      </c>
      <c r="Y294" s="4">
        <v>25395000</v>
      </c>
    </row>
    <row r="295" spans="1:25" ht="19.5" customHeight="1" x14ac:dyDescent="0.25">
      <c r="A295" s="2" t="s">
        <v>700</v>
      </c>
      <c r="B295" s="2" t="s">
        <v>16</v>
      </c>
      <c r="C295" s="2" t="s">
        <v>762</v>
      </c>
      <c r="D295" s="2" t="s">
        <v>763</v>
      </c>
      <c r="E295" s="2" t="s">
        <v>764</v>
      </c>
      <c r="F295" s="3">
        <v>11228180.699999999</v>
      </c>
      <c r="G295" s="3">
        <v>14787281</v>
      </c>
      <c r="H295" s="3">
        <v>16829784</v>
      </c>
      <c r="I295" s="3">
        <v>15584778</v>
      </c>
      <c r="J295" s="3">
        <v>16829784</v>
      </c>
      <c r="K295" s="3">
        <v>15584778</v>
      </c>
      <c r="L295" s="4">
        <v>16829784</v>
      </c>
      <c r="M295" s="4">
        <v>15584778</v>
      </c>
      <c r="N295" s="4">
        <v>16829784</v>
      </c>
      <c r="O295" s="4">
        <v>15584778</v>
      </c>
      <c r="P295" s="4">
        <v>16829784</v>
      </c>
      <c r="Q295" s="4">
        <v>15584778</v>
      </c>
      <c r="R295" s="4">
        <v>16829784</v>
      </c>
      <c r="S295" s="4">
        <v>15584778</v>
      </c>
      <c r="T295" s="4">
        <v>16829784</v>
      </c>
      <c r="U295" s="4">
        <v>15584778</v>
      </c>
      <c r="V295" s="4">
        <v>16829784</v>
      </c>
      <c r="W295" s="4">
        <v>15584778</v>
      </c>
      <c r="X295" s="4">
        <v>16829784</v>
      </c>
      <c r="Y295" s="4">
        <v>15584778</v>
      </c>
    </row>
    <row r="296" spans="1:25" ht="19.5" customHeight="1" x14ac:dyDescent="0.25">
      <c r="A296" s="2" t="s">
        <v>700</v>
      </c>
      <c r="B296" s="2" t="s">
        <v>16</v>
      </c>
      <c r="C296" s="2" t="s">
        <v>765</v>
      </c>
      <c r="D296" s="2" t="s">
        <v>766</v>
      </c>
      <c r="E296" s="2" t="s">
        <v>767</v>
      </c>
      <c r="F296" s="3">
        <v>91034.7</v>
      </c>
      <c r="G296" s="3">
        <v>100000</v>
      </c>
      <c r="H296" s="3">
        <v>130000</v>
      </c>
      <c r="I296" s="3">
        <v>130000</v>
      </c>
      <c r="J296" s="3">
        <v>130000</v>
      </c>
      <c r="K296" s="3">
        <v>130000</v>
      </c>
      <c r="L296" s="4">
        <v>130000</v>
      </c>
      <c r="M296" s="4">
        <v>130000</v>
      </c>
      <c r="N296" s="4">
        <v>130000</v>
      </c>
      <c r="O296" s="4">
        <v>130000</v>
      </c>
      <c r="P296" s="4">
        <v>130000</v>
      </c>
      <c r="Q296" s="4">
        <v>130000</v>
      </c>
      <c r="R296" s="4">
        <v>130000</v>
      </c>
      <c r="S296" s="4">
        <v>130000</v>
      </c>
      <c r="T296" s="4">
        <v>130000</v>
      </c>
      <c r="U296" s="4">
        <v>130000</v>
      </c>
      <c r="V296" s="4">
        <v>130000</v>
      </c>
      <c r="W296" s="4">
        <v>130000</v>
      </c>
      <c r="X296" s="4">
        <v>130000</v>
      </c>
      <c r="Y296" s="4">
        <v>130000</v>
      </c>
    </row>
    <row r="297" spans="1:25" ht="19.5" customHeight="1" x14ac:dyDescent="0.25">
      <c r="A297" s="2" t="s">
        <v>700</v>
      </c>
      <c r="B297" s="2" t="s">
        <v>16</v>
      </c>
      <c r="C297" s="2" t="s">
        <v>768</v>
      </c>
      <c r="D297" s="2" t="s">
        <v>769</v>
      </c>
      <c r="E297" s="2" t="s">
        <v>770</v>
      </c>
      <c r="F297" s="3">
        <v>0</v>
      </c>
      <c r="G297" s="3">
        <v>50000</v>
      </c>
      <c r="H297" s="3">
        <v>50000</v>
      </c>
      <c r="I297" s="3">
        <v>50000</v>
      </c>
      <c r="J297" s="3">
        <v>50000</v>
      </c>
      <c r="K297" s="3">
        <v>50000</v>
      </c>
      <c r="L297" s="4">
        <v>50000</v>
      </c>
      <c r="M297" s="4">
        <v>50000</v>
      </c>
      <c r="N297" s="4">
        <v>50000</v>
      </c>
      <c r="O297" s="4">
        <v>50000</v>
      </c>
      <c r="P297" s="4">
        <v>50000</v>
      </c>
      <c r="Q297" s="4">
        <v>50000</v>
      </c>
      <c r="R297" s="4">
        <v>50000</v>
      </c>
      <c r="S297" s="4">
        <v>50000</v>
      </c>
      <c r="T297" s="4">
        <v>50000</v>
      </c>
      <c r="U297" s="4">
        <v>50000</v>
      </c>
      <c r="V297" s="4">
        <v>50000</v>
      </c>
      <c r="W297" s="4">
        <v>50000</v>
      </c>
      <c r="X297" s="4">
        <v>50000</v>
      </c>
      <c r="Y297" s="4">
        <v>50000</v>
      </c>
    </row>
    <row r="298" spans="1:25" ht="19.5" customHeight="1" x14ac:dyDescent="0.25">
      <c r="A298" s="2" t="s">
        <v>700</v>
      </c>
      <c r="B298" s="2" t="s">
        <v>16</v>
      </c>
      <c r="C298" s="2" t="s">
        <v>771</v>
      </c>
      <c r="D298" s="2" t="s">
        <v>772</v>
      </c>
      <c r="E298" s="2" t="s">
        <v>773</v>
      </c>
      <c r="F298" s="3">
        <v>189462.27</v>
      </c>
      <c r="G298" s="3">
        <v>270478</v>
      </c>
      <c r="H298" s="3">
        <v>331281</v>
      </c>
      <c r="I298" s="3">
        <v>340357</v>
      </c>
      <c r="J298" s="3">
        <v>331281</v>
      </c>
      <c r="K298" s="3">
        <v>340357</v>
      </c>
      <c r="L298" s="4">
        <v>331281</v>
      </c>
      <c r="M298" s="4">
        <v>340357</v>
      </c>
      <c r="N298" s="4">
        <v>331281</v>
      </c>
      <c r="O298" s="4">
        <v>340357</v>
      </c>
      <c r="P298" s="4">
        <v>331281</v>
      </c>
      <c r="Q298" s="4">
        <v>340357</v>
      </c>
      <c r="R298" s="4">
        <v>331281</v>
      </c>
      <c r="S298" s="4">
        <v>340357</v>
      </c>
      <c r="T298" s="4">
        <v>331281</v>
      </c>
      <c r="U298" s="4">
        <v>340357</v>
      </c>
      <c r="V298" s="4">
        <v>331281</v>
      </c>
      <c r="W298" s="4">
        <v>340357</v>
      </c>
      <c r="X298" s="4">
        <v>331281</v>
      </c>
      <c r="Y298" s="4">
        <v>340357</v>
      </c>
    </row>
    <row r="299" spans="1:25" ht="19.5" customHeight="1" x14ac:dyDescent="0.25">
      <c r="A299" s="2" t="s">
        <v>700</v>
      </c>
      <c r="B299" s="2" t="s">
        <v>16</v>
      </c>
      <c r="C299" s="2" t="s">
        <v>774</v>
      </c>
      <c r="D299" s="2" t="s">
        <v>775</v>
      </c>
      <c r="E299" s="2" t="s">
        <v>776</v>
      </c>
      <c r="F299" s="3">
        <v>3953129.71</v>
      </c>
      <c r="G299" s="3">
        <v>5121000</v>
      </c>
      <c r="H299" s="3">
        <v>5121000</v>
      </c>
      <c r="I299" s="3">
        <v>5121000</v>
      </c>
      <c r="J299" s="3">
        <v>5121000</v>
      </c>
      <c r="K299" s="3">
        <v>5121000</v>
      </c>
      <c r="L299" s="4">
        <v>5121000</v>
      </c>
      <c r="M299" s="4">
        <v>5121000</v>
      </c>
      <c r="N299" s="4">
        <v>5121000</v>
      </c>
      <c r="O299" s="4">
        <v>5121000</v>
      </c>
      <c r="P299" s="4">
        <v>5121000</v>
      </c>
      <c r="Q299" s="4">
        <v>5121000</v>
      </c>
      <c r="R299" s="4">
        <v>5121000</v>
      </c>
      <c r="S299" s="4">
        <v>5121000</v>
      </c>
      <c r="T299" s="4">
        <v>5121000</v>
      </c>
      <c r="U299" s="4">
        <v>5121000</v>
      </c>
      <c r="V299" s="4">
        <v>5121000</v>
      </c>
      <c r="W299" s="4">
        <v>5121000</v>
      </c>
      <c r="X299" s="4">
        <v>5121000</v>
      </c>
      <c r="Y299" s="4">
        <v>5121000</v>
      </c>
    </row>
    <row r="300" spans="1:25" ht="19.5" customHeight="1" x14ac:dyDescent="0.25">
      <c r="A300" s="2" t="s">
        <v>700</v>
      </c>
      <c r="B300" s="2" t="s">
        <v>16</v>
      </c>
      <c r="C300" s="2" t="s">
        <v>777</v>
      </c>
      <c r="D300" s="2" t="s">
        <v>778</v>
      </c>
      <c r="E300" s="2" t="s">
        <v>779</v>
      </c>
      <c r="F300" s="3">
        <v>3423.76</v>
      </c>
      <c r="G300" s="4">
        <v>96320</v>
      </c>
      <c r="H300" s="4">
        <v>96320</v>
      </c>
      <c r="I300" s="4">
        <v>100813</v>
      </c>
      <c r="J300" s="4">
        <v>96320</v>
      </c>
      <c r="K300" s="4">
        <v>100813</v>
      </c>
      <c r="L300" s="4">
        <v>96320</v>
      </c>
      <c r="M300" s="4">
        <v>100813</v>
      </c>
      <c r="N300" s="4">
        <v>96320</v>
      </c>
      <c r="O300" s="4">
        <v>100813</v>
      </c>
      <c r="P300" s="4">
        <v>96320</v>
      </c>
      <c r="Q300" s="4">
        <v>100813</v>
      </c>
      <c r="R300" s="4">
        <v>96320</v>
      </c>
      <c r="S300" s="4">
        <v>100813</v>
      </c>
      <c r="T300" s="4">
        <v>96320</v>
      </c>
      <c r="U300" s="4">
        <v>100813</v>
      </c>
      <c r="V300" s="4">
        <v>96320</v>
      </c>
      <c r="W300" s="4">
        <v>100813</v>
      </c>
      <c r="X300" s="4">
        <v>96320</v>
      </c>
      <c r="Y300" s="4">
        <v>100813</v>
      </c>
    </row>
    <row r="301" spans="1:25" ht="19.5" customHeight="1" x14ac:dyDescent="0.25">
      <c r="A301" s="2" t="s">
        <v>700</v>
      </c>
      <c r="B301" s="2" t="s">
        <v>16</v>
      </c>
      <c r="C301" s="2" t="s">
        <v>780</v>
      </c>
      <c r="D301" s="2" t="s">
        <v>781</v>
      </c>
      <c r="E301" s="2" t="s">
        <v>782</v>
      </c>
      <c r="F301" s="3">
        <v>0</v>
      </c>
      <c r="G301" s="3">
        <v>10000</v>
      </c>
      <c r="H301" s="3">
        <v>10000</v>
      </c>
      <c r="I301" s="3">
        <v>10000</v>
      </c>
      <c r="J301" s="3">
        <v>10000</v>
      </c>
      <c r="K301" s="3">
        <v>10000</v>
      </c>
      <c r="L301" s="4">
        <v>10000</v>
      </c>
      <c r="M301" s="4">
        <v>10000</v>
      </c>
      <c r="N301" s="4">
        <v>10000</v>
      </c>
      <c r="O301" s="4">
        <v>10000</v>
      </c>
      <c r="P301" s="4">
        <v>10000</v>
      </c>
      <c r="Q301" s="4">
        <v>10000</v>
      </c>
      <c r="R301" s="4">
        <v>10000</v>
      </c>
      <c r="S301" s="4">
        <v>10000</v>
      </c>
      <c r="T301" s="4">
        <v>10000</v>
      </c>
      <c r="U301" s="4">
        <v>10000</v>
      </c>
      <c r="V301" s="4">
        <v>10000</v>
      </c>
      <c r="W301" s="4">
        <v>10000</v>
      </c>
      <c r="X301" s="4">
        <v>10000</v>
      </c>
      <c r="Y301" s="4">
        <v>10000</v>
      </c>
    </row>
    <row r="302" spans="1:25" ht="19.5" customHeight="1" x14ac:dyDescent="0.25">
      <c r="A302" s="2" t="s">
        <v>700</v>
      </c>
      <c r="B302" s="2" t="s">
        <v>16</v>
      </c>
      <c r="C302" s="2" t="s">
        <v>783</v>
      </c>
      <c r="D302" s="2" t="s">
        <v>784</v>
      </c>
      <c r="E302" s="2" t="s">
        <v>785</v>
      </c>
      <c r="F302" s="3">
        <v>351557.22</v>
      </c>
      <c r="G302" s="3">
        <v>412693</v>
      </c>
      <c r="H302" s="3">
        <v>437693</v>
      </c>
      <c r="I302" s="3">
        <v>437693</v>
      </c>
      <c r="J302" s="3">
        <v>437693</v>
      </c>
      <c r="K302" s="3">
        <v>437693</v>
      </c>
      <c r="L302" s="4">
        <v>437693</v>
      </c>
      <c r="M302" s="4">
        <v>437693</v>
      </c>
      <c r="N302" s="4">
        <v>437693</v>
      </c>
      <c r="O302" s="4">
        <v>437693</v>
      </c>
      <c r="P302" s="4">
        <v>437693</v>
      </c>
      <c r="Q302" s="4">
        <v>437693</v>
      </c>
      <c r="R302" s="4">
        <v>437693</v>
      </c>
      <c r="S302" s="4">
        <v>437693</v>
      </c>
      <c r="T302" s="4">
        <v>437693</v>
      </c>
      <c r="U302" s="4">
        <v>437693</v>
      </c>
      <c r="V302" s="4">
        <v>437693</v>
      </c>
      <c r="W302" s="4">
        <v>437693</v>
      </c>
      <c r="X302" s="4">
        <v>437693</v>
      </c>
      <c r="Y302" s="4">
        <v>437693</v>
      </c>
    </row>
    <row r="303" spans="1:25" ht="19.5" customHeight="1" x14ac:dyDescent="0.25">
      <c r="A303" s="2" t="s">
        <v>700</v>
      </c>
      <c r="B303" s="2" t="s">
        <v>16</v>
      </c>
      <c r="C303" s="2" t="s">
        <v>786</v>
      </c>
      <c r="D303" s="2" t="s">
        <v>787</v>
      </c>
      <c r="E303" s="2" t="s">
        <v>788</v>
      </c>
      <c r="F303" s="3">
        <v>0</v>
      </c>
      <c r="G303" s="3">
        <v>0</v>
      </c>
      <c r="H303" s="3">
        <v>2500000</v>
      </c>
      <c r="I303" s="3">
        <v>2500000</v>
      </c>
      <c r="J303" s="3">
        <v>2500000</v>
      </c>
      <c r="K303" s="3">
        <v>2500000</v>
      </c>
      <c r="L303" s="4">
        <v>2500000</v>
      </c>
      <c r="M303" s="4">
        <v>2500000</v>
      </c>
      <c r="N303" s="4">
        <v>2500000</v>
      </c>
      <c r="O303" s="4">
        <v>2500000</v>
      </c>
      <c r="P303" s="4">
        <v>2500000</v>
      </c>
      <c r="Q303" s="4">
        <v>2500000</v>
      </c>
      <c r="R303" s="4">
        <v>2500000</v>
      </c>
      <c r="S303" s="4">
        <v>2500000</v>
      </c>
      <c r="T303" s="4">
        <v>2500000</v>
      </c>
      <c r="U303" s="4">
        <v>2500000</v>
      </c>
      <c r="V303" s="4">
        <v>2500000</v>
      </c>
      <c r="W303" s="4">
        <v>2500000</v>
      </c>
      <c r="X303" s="4">
        <v>2500000</v>
      </c>
      <c r="Y303" s="4">
        <v>2500000</v>
      </c>
    </row>
    <row r="304" spans="1:25" ht="19.5" customHeight="1" x14ac:dyDescent="0.25">
      <c r="A304" s="2" t="s">
        <v>700</v>
      </c>
      <c r="B304" s="2" t="s">
        <v>16</v>
      </c>
      <c r="C304" s="2" t="s">
        <v>789</v>
      </c>
      <c r="D304" s="2" t="s">
        <v>790</v>
      </c>
      <c r="E304" s="2" t="s">
        <v>791</v>
      </c>
      <c r="F304" s="3">
        <v>2413125.52</v>
      </c>
      <c r="G304" s="3">
        <v>2301714</v>
      </c>
      <c r="H304" s="3">
        <v>2481714</v>
      </c>
      <c r="I304" s="3">
        <v>2501714</v>
      </c>
      <c r="J304" s="3">
        <v>2481714</v>
      </c>
      <c r="K304" s="3">
        <v>2501714</v>
      </c>
      <c r="L304" s="4">
        <v>2481714</v>
      </c>
      <c r="M304" s="4">
        <v>2501714</v>
      </c>
      <c r="N304" s="4">
        <v>2481714</v>
      </c>
      <c r="O304" s="4">
        <v>2501714</v>
      </c>
      <c r="P304" s="4">
        <v>2481714</v>
      </c>
      <c r="Q304" s="4">
        <v>2501714</v>
      </c>
      <c r="R304" s="4">
        <v>2481714</v>
      </c>
      <c r="S304" s="4">
        <v>2501714</v>
      </c>
      <c r="T304" s="4">
        <v>2481714</v>
      </c>
      <c r="U304" s="4">
        <v>2501714</v>
      </c>
      <c r="V304" s="4">
        <v>2481714</v>
      </c>
      <c r="W304" s="4">
        <v>2501714</v>
      </c>
      <c r="X304" s="4">
        <v>2481714</v>
      </c>
      <c r="Y304" s="4">
        <v>2501714</v>
      </c>
    </row>
    <row r="305" spans="1:25" ht="19.5" customHeight="1" x14ac:dyDescent="0.25">
      <c r="A305" s="2" t="s">
        <v>700</v>
      </c>
      <c r="B305" s="2" t="s">
        <v>16</v>
      </c>
      <c r="C305" s="2" t="s">
        <v>792</v>
      </c>
      <c r="D305" s="2" t="s">
        <v>793</v>
      </c>
      <c r="E305" s="2" t="s">
        <v>794</v>
      </c>
      <c r="F305" s="3">
        <v>672784.03</v>
      </c>
      <c r="G305" s="3">
        <v>1095546</v>
      </c>
      <c r="H305" s="3">
        <v>1095546</v>
      </c>
      <c r="I305" s="3">
        <v>1108310</v>
      </c>
      <c r="J305" s="3">
        <v>1095546</v>
      </c>
      <c r="K305" s="3">
        <v>1108310</v>
      </c>
      <c r="L305" s="4">
        <v>1095546</v>
      </c>
      <c r="M305" s="4">
        <v>1108310</v>
      </c>
      <c r="N305" s="4">
        <v>1095546</v>
      </c>
      <c r="O305" s="4">
        <v>1108310</v>
      </c>
      <c r="P305" s="4">
        <v>1095546</v>
      </c>
      <c r="Q305" s="4">
        <v>1108310</v>
      </c>
      <c r="R305" s="4">
        <v>1095546</v>
      </c>
      <c r="S305" s="4">
        <v>1108310</v>
      </c>
      <c r="T305" s="4">
        <v>1095546</v>
      </c>
      <c r="U305" s="4">
        <v>1108310</v>
      </c>
      <c r="V305" s="4">
        <v>1095546</v>
      </c>
      <c r="W305" s="4">
        <v>1108310</v>
      </c>
      <c r="X305" s="4">
        <v>1095546</v>
      </c>
      <c r="Y305" s="4">
        <v>1108310</v>
      </c>
    </row>
    <row r="306" spans="1:25" ht="19.5" customHeight="1" x14ac:dyDescent="0.25">
      <c r="A306" s="2" t="s">
        <v>700</v>
      </c>
      <c r="B306" s="2" t="s">
        <v>44</v>
      </c>
      <c r="C306" s="2" t="s">
        <v>795</v>
      </c>
      <c r="D306" s="2" t="s">
        <v>796</v>
      </c>
      <c r="E306" s="2" t="s">
        <v>797</v>
      </c>
      <c r="F306" s="3">
        <v>789405.7</v>
      </c>
      <c r="G306" s="3">
        <v>805112</v>
      </c>
      <c r="H306" s="3">
        <v>805112</v>
      </c>
      <c r="I306" s="3">
        <v>805112</v>
      </c>
      <c r="J306" s="3">
        <v>805112</v>
      </c>
      <c r="K306" s="3">
        <v>805112</v>
      </c>
      <c r="L306" s="4">
        <v>805112</v>
      </c>
      <c r="M306" s="4">
        <v>805112</v>
      </c>
      <c r="N306" s="4">
        <v>805112</v>
      </c>
      <c r="O306" s="4">
        <v>805112</v>
      </c>
      <c r="P306" s="4">
        <v>805112</v>
      </c>
      <c r="Q306" s="4">
        <v>805112</v>
      </c>
      <c r="R306" s="4">
        <v>805112</v>
      </c>
      <c r="S306" s="4">
        <v>805112</v>
      </c>
      <c r="T306" s="4">
        <v>805112</v>
      </c>
      <c r="U306" s="4">
        <v>805112</v>
      </c>
      <c r="V306" s="4">
        <v>805112</v>
      </c>
      <c r="W306" s="4">
        <v>805112</v>
      </c>
      <c r="X306" s="4">
        <v>805112</v>
      </c>
      <c r="Y306" s="4">
        <v>805112</v>
      </c>
    </row>
    <row r="307" spans="1:25" ht="19.5" customHeight="1" x14ac:dyDescent="0.25">
      <c r="A307" s="2" t="s">
        <v>700</v>
      </c>
      <c r="B307" s="2" t="s">
        <v>44</v>
      </c>
      <c r="C307" s="2" t="s">
        <v>795</v>
      </c>
      <c r="D307" s="2" t="s">
        <v>798</v>
      </c>
      <c r="E307" s="2" t="s">
        <v>799</v>
      </c>
      <c r="F307" s="3">
        <v>1952978.17</v>
      </c>
      <c r="G307" s="4">
        <v>1949887</v>
      </c>
      <c r="H307" s="4">
        <v>2000000</v>
      </c>
      <c r="I307" s="4">
        <v>2000000</v>
      </c>
      <c r="J307" s="4">
        <v>2000000</v>
      </c>
      <c r="K307" s="4">
        <v>2000000</v>
      </c>
      <c r="L307" s="4">
        <v>2000000</v>
      </c>
      <c r="M307" s="4">
        <v>2000000</v>
      </c>
      <c r="N307" s="4">
        <v>2000000</v>
      </c>
      <c r="O307" s="4">
        <v>2000000</v>
      </c>
      <c r="P307" s="4">
        <v>2000000</v>
      </c>
      <c r="Q307" s="4">
        <v>2000000</v>
      </c>
      <c r="R307" s="4">
        <v>2000000</v>
      </c>
      <c r="S307" s="4">
        <v>2000000</v>
      </c>
      <c r="T307" s="4">
        <v>2000000</v>
      </c>
      <c r="U307" s="4">
        <v>2000000</v>
      </c>
      <c r="V307" s="4">
        <v>2000000</v>
      </c>
      <c r="W307" s="4">
        <v>2000000</v>
      </c>
      <c r="X307" s="4">
        <v>2000000</v>
      </c>
      <c r="Y307" s="4">
        <v>2000000</v>
      </c>
    </row>
    <row r="308" spans="1:25" ht="19.5" customHeight="1" x14ac:dyDescent="0.25">
      <c r="A308" s="2" t="s">
        <v>700</v>
      </c>
      <c r="B308" s="2" t="s">
        <v>44</v>
      </c>
      <c r="C308" s="2" t="s">
        <v>800</v>
      </c>
      <c r="D308" s="2" t="s">
        <v>801</v>
      </c>
      <c r="E308" s="2" t="s">
        <v>802</v>
      </c>
      <c r="F308" s="3">
        <v>0</v>
      </c>
      <c r="G308" s="4">
        <v>3302976</v>
      </c>
      <c r="H308" s="4">
        <v>3302976</v>
      </c>
      <c r="I308" s="4">
        <v>0</v>
      </c>
      <c r="J308" s="4">
        <v>3302976</v>
      </c>
      <c r="K308" s="4">
        <v>0</v>
      </c>
      <c r="L308" s="4">
        <v>3302976</v>
      </c>
      <c r="M308" s="4">
        <v>0</v>
      </c>
      <c r="N308" s="4">
        <v>3302976</v>
      </c>
      <c r="O308" s="4">
        <v>0</v>
      </c>
      <c r="P308" s="4">
        <v>3302976</v>
      </c>
      <c r="Q308" s="4">
        <v>0</v>
      </c>
      <c r="R308" s="4">
        <v>3302976</v>
      </c>
      <c r="S308" s="4">
        <v>0</v>
      </c>
      <c r="T308" s="4">
        <v>3302976</v>
      </c>
      <c r="U308" s="4">
        <v>0</v>
      </c>
      <c r="V308" s="4">
        <v>3302976</v>
      </c>
      <c r="W308" s="4">
        <v>0</v>
      </c>
      <c r="X308" s="4">
        <v>3302976</v>
      </c>
      <c r="Y308" s="4">
        <v>0</v>
      </c>
    </row>
    <row r="309" spans="1:25" ht="19.5" customHeight="1" x14ac:dyDescent="0.25">
      <c r="A309" s="2" t="s">
        <v>700</v>
      </c>
      <c r="B309" s="2" t="s">
        <v>243</v>
      </c>
      <c r="C309" s="2" t="s">
        <v>803</v>
      </c>
      <c r="D309" s="2" t="s">
        <v>804</v>
      </c>
      <c r="E309" s="2" t="s">
        <v>805</v>
      </c>
      <c r="F309" s="3">
        <v>7787230.9900000002</v>
      </c>
      <c r="G309" s="3">
        <v>8364140</v>
      </c>
      <c r="H309" s="3">
        <v>9481409</v>
      </c>
      <c r="I309" s="3">
        <v>9296249</v>
      </c>
      <c r="J309" s="3">
        <v>9481409</v>
      </c>
      <c r="K309" s="3">
        <v>9296249</v>
      </c>
      <c r="L309" s="4">
        <v>9481409</v>
      </c>
      <c r="M309" s="4">
        <v>9296249</v>
      </c>
      <c r="N309" s="4">
        <v>9481409</v>
      </c>
      <c r="O309" s="4">
        <v>9296249</v>
      </c>
      <c r="P309" s="4">
        <v>9481409</v>
      </c>
      <c r="Q309" s="4">
        <v>9296249</v>
      </c>
      <c r="R309" s="4">
        <v>9481409</v>
      </c>
      <c r="S309" s="4">
        <v>9296249</v>
      </c>
      <c r="T309" s="4">
        <v>9481409</v>
      </c>
      <c r="U309" s="4">
        <v>9296249</v>
      </c>
      <c r="V309" s="4">
        <v>9481409</v>
      </c>
      <c r="W309" s="4">
        <v>9296249</v>
      </c>
      <c r="X309" s="4">
        <v>9481409</v>
      </c>
      <c r="Y309" s="4">
        <v>9296249</v>
      </c>
    </row>
    <row r="310" spans="1:25" ht="19.5" customHeight="1" x14ac:dyDescent="0.25">
      <c r="A310" s="2" t="s">
        <v>700</v>
      </c>
      <c r="B310" s="2" t="s">
        <v>243</v>
      </c>
      <c r="C310" s="2" t="s">
        <v>803</v>
      </c>
      <c r="D310" s="2" t="s">
        <v>806</v>
      </c>
      <c r="E310" s="2" t="s">
        <v>807</v>
      </c>
      <c r="F310" s="3">
        <v>7576125.5099999998</v>
      </c>
      <c r="G310" s="3">
        <v>10185860</v>
      </c>
      <c r="H310" s="3">
        <v>10990749</v>
      </c>
      <c r="I310" s="3">
        <v>10677029</v>
      </c>
      <c r="J310" s="3">
        <v>10990749</v>
      </c>
      <c r="K310" s="3">
        <v>10677029</v>
      </c>
      <c r="L310" s="4">
        <v>10990749</v>
      </c>
      <c r="M310" s="4">
        <v>10677029</v>
      </c>
      <c r="N310" s="4">
        <v>10990749</v>
      </c>
      <c r="O310" s="4">
        <v>10677029</v>
      </c>
      <c r="P310" s="4">
        <v>10990749</v>
      </c>
      <c r="Q310" s="4">
        <v>10677029</v>
      </c>
      <c r="R310" s="4">
        <v>10990749</v>
      </c>
      <c r="S310" s="4">
        <v>10677029</v>
      </c>
      <c r="T310" s="4">
        <v>10990749</v>
      </c>
      <c r="U310" s="4">
        <v>10677029</v>
      </c>
      <c r="V310" s="4">
        <v>10990749</v>
      </c>
      <c r="W310" s="4">
        <v>10677029</v>
      </c>
      <c r="X310" s="4">
        <v>10990749</v>
      </c>
      <c r="Y310" s="4">
        <v>10677029</v>
      </c>
    </row>
    <row r="311" spans="1:25" ht="19.5" customHeight="1" x14ac:dyDescent="0.25">
      <c r="A311" s="2" t="s">
        <v>808</v>
      </c>
      <c r="B311" s="2" t="s">
        <v>16</v>
      </c>
      <c r="C311" s="2" t="s">
        <v>20</v>
      </c>
      <c r="D311" s="2" t="s">
        <v>809</v>
      </c>
      <c r="E311" s="2" t="s">
        <v>22</v>
      </c>
      <c r="F311" s="3">
        <v>4943759.09</v>
      </c>
      <c r="G311" s="3">
        <v>5626944</v>
      </c>
      <c r="H311" s="3">
        <v>5416852</v>
      </c>
      <c r="I311" s="3">
        <v>5716944</v>
      </c>
      <c r="J311" s="3">
        <v>5416852</v>
      </c>
      <c r="K311" s="3">
        <v>5716944</v>
      </c>
      <c r="L311" s="4">
        <v>5416852</v>
      </c>
      <c r="M311" s="4">
        <v>5716944</v>
      </c>
      <c r="N311" s="4">
        <v>5416852</v>
      </c>
      <c r="O311" s="4">
        <v>5716944</v>
      </c>
      <c r="P311" s="4">
        <v>5416852</v>
      </c>
      <c r="Q311" s="4">
        <v>5716944</v>
      </c>
      <c r="R311" s="4">
        <v>5416852</v>
      </c>
      <c r="S311" s="4">
        <v>5716944</v>
      </c>
      <c r="T311" s="4">
        <v>5416852</v>
      </c>
      <c r="U311" s="4">
        <v>5716944</v>
      </c>
      <c r="V311" s="4">
        <v>5416852</v>
      </c>
      <c r="W311" s="4">
        <v>5716944</v>
      </c>
      <c r="X311" s="4">
        <v>5416852</v>
      </c>
      <c r="Y311" s="4">
        <v>5716944</v>
      </c>
    </row>
    <row r="312" spans="1:25" ht="19.5" customHeight="1" x14ac:dyDescent="0.25">
      <c r="A312" s="2" t="s">
        <v>810</v>
      </c>
      <c r="B312" s="2" t="s">
        <v>16</v>
      </c>
      <c r="C312" s="2" t="s">
        <v>20</v>
      </c>
      <c r="D312" s="2" t="s">
        <v>811</v>
      </c>
      <c r="E312" s="2" t="s">
        <v>22</v>
      </c>
      <c r="F312" s="3">
        <v>605211.56999999995</v>
      </c>
      <c r="G312" s="3">
        <v>636389</v>
      </c>
      <c r="H312" s="3">
        <v>636389</v>
      </c>
      <c r="I312" s="3">
        <v>636389</v>
      </c>
      <c r="J312" s="3">
        <v>636389</v>
      </c>
      <c r="K312" s="3">
        <v>636389</v>
      </c>
      <c r="L312" s="4">
        <v>636389</v>
      </c>
      <c r="M312" s="4">
        <v>636389</v>
      </c>
      <c r="N312" s="4">
        <v>636389</v>
      </c>
      <c r="O312" s="4">
        <v>636389</v>
      </c>
      <c r="P312" s="4">
        <v>636389</v>
      </c>
      <c r="Q312" s="4">
        <v>636389</v>
      </c>
      <c r="R312" s="4">
        <v>636389</v>
      </c>
      <c r="S312" s="4">
        <v>636389</v>
      </c>
      <c r="T312" s="4">
        <v>636389</v>
      </c>
      <c r="U312" s="4">
        <v>636389</v>
      </c>
      <c r="V312" s="4">
        <v>636389</v>
      </c>
      <c r="W312" s="4">
        <v>636389</v>
      </c>
      <c r="X312" s="4">
        <v>636389</v>
      </c>
      <c r="Y312" s="4">
        <v>636389</v>
      </c>
    </row>
    <row r="313" spans="1:25" ht="19.5" customHeight="1" x14ac:dyDescent="0.25">
      <c r="A313" s="2" t="s">
        <v>812</v>
      </c>
      <c r="B313" s="2" t="s">
        <v>813</v>
      </c>
      <c r="C313" s="2" t="s">
        <v>814</v>
      </c>
      <c r="D313" s="2" t="s">
        <v>815</v>
      </c>
      <c r="E313" s="2" t="s">
        <v>816</v>
      </c>
      <c r="F313" s="3">
        <v>81410672.200000003</v>
      </c>
      <c r="G313" s="3">
        <v>87403000</v>
      </c>
      <c r="H313" s="3">
        <v>69000000</v>
      </c>
      <c r="I313" s="3">
        <v>76000000</v>
      </c>
      <c r="J313" s="3">
        <v>69000000</v>
      </c>
      <c r="K313" s="3">
        <v>76000000</v>
      </c>
      <c r="L313" s="4">
        <v>69000000</v>
      </c>
      <c r="M313" s="4">
        <v>76000000</v>
      </c>
      <c r="N313" s="4">
        <v>69000000</v>
      </c>
      <c r="O313" s="4">
        <v>76000000</v>
      </c>
      <c r="P313" s="4">
        <v>69000000</v>
      </c>
      <c r="Q313" s="4">
        <v>76000000</v>
      </c>
      <c r="R313" s="4">
        <v>69000000</v>
      </c>
      <c r="S313" s="4">
        <v>76000000</v>
      </c>
      <c r="T313" s="4">
        <v>69000000</v>
      </c>
      <c r="U313" s="4">
        <v>76000000</v>
      </c>
      <c r="V313" s="4">
        <v>69000000</v>
      </c>
      <c r="W313" s="4">
        <v>76000000</v>
      </c>
      <c r="X313" s="4">
        <v>69000000</v>
      </c>
      <c r="Y313" s="4">
        <v>76000000</v>
      </c>
    </row>
    <row r="314" spans="1:25" ht="19.5" customHeight="1" x14ac:dyDescent="0.25">
      <c r="A314" s="2" t="s">
        <v>812</v>
      </c>
      <c r="B314" s="2" t="s">
        <v>813</v>
      </c>
      <c r="C314" s="2" t="s">
        <v>817</v>
      </c>
      <c r="D314" s="2" t="s">
        <v>818</v>
      </c>
      <c r="E314" s="2" t="s">
        <v>819</v>
      </c>
      <c r="F314" s="3">
        <v>152717637.36000001</v>
      </c>
      <c r="G314" s="3">
        <v>164693700</v>
      </c>
      <c r="H314" s="3">
        <v>164700000</v>
      </c>
      <c r="I314" s="3">
        <v>164700000</v>
      </c>
      <c r="J314" s="3">
        <v>164700000</v>
      </c>
      <c r="K314" s="3">
        <v>164700000</v>
      </c>
      <c r="L314" s="4">
        <v>164700000</v>
      </c>
      <c r="M314" s="4">
        <v>164700000</v>
      </c>
      <c r="N314" s="4">
        <v>164700000</v>
      </c>
      <c r="O314" s="4">
        <v>164700000</v>
      </c>
      <c r="P314" s="4">
        <v>164700000</v>
      </c>
      <c r="Q314" s="4">
        <v>164700000</v>
      </c>
      <c r="R314" s="4">
        <v>164700000</v>
      </c>
      <c r="S314" s="4">
        <v>164700000</v>
      </c>
      <c r="T314" s="4">
        <v>164700000</v>
      </c>
      <c r="U314" s="4">
        <v>164700000</v>
      </c>
      <c r="V314" s="4">
        <v>164700000</v>
      </c>
      <c r="W314" s="4">
        <v>164700000</v>
      </c>
      <c r="X314" s="4">
        <v>164700000</v>
      </c>
      <c r="Y314" s="4">
        <v>164700000</v>
      </c>
    </row>
    <row r="315" spans="1:25" ht="19.5" customHeight="1" x14ac:dyDescent="0.25">
      <c r="A315" s="2" t="s">
        <v>812</v>
      </c>
      <c r="B315" s="2" t="s">
        <v>813</v>
      </c>
      <c r="C315" s="2" t="s">
        <v>820</v>
      </c>
      <c r="D315" s="2" t="s">
        <v>821</v>
      </c>
      <c r="E315" s="2" t="s">
        <v>822</v>
      </c>
      <c r="F315" s="3">
        <v>19606277.960000001</v>
      </c>
      <c r="G315" s="3">
        <v>20420700</v>
      </c>
      <c r="H315" s="3">
        <v>20600000</v>
      </c>
      <c r="I315" s="3">
        <v>23000000</v>
      </c>
      <c r="J315" s="3">
        <v>20600000</v>
      </c>
      <c r="K315" s="3">
        <v>23000000</v>
      </c>
      <c r="L315" s="4">
        <v>20600000</v>
      </c>
      <c r="M315" s="4">
        <v>23000000</v>
      </c>
      <c r="N315" s="4">
        <v>20600000</v>
      </c>
      <c r="O315" s="4">
        <v>23000000</v>
      </c>
      <c r="P315" s="4">
        <v>20600000</v>
      </c>
      <c r="Q315" s="4">
        <v>23000000</v>
      </c>
      <c r="R315" s="4">
        <v>20600000</v>
      </c>
      <c r="S315" s="4">
        <v>23000000</v>
      </c>
      <c r="T315" s="4">
        <v>20600000</v>
      </c>
      <c r="U315" s="4">
        <v>23000000</v>
      </c>
      <c r="V315" s="4">
        <v>20600000</v>
      </c>
      <c r="W315" s="4">
        <v>23000000</v>
      </c>
      <c r="X315" s="4">
        <v>20600000</v>
      </c>
      <c r="Y315" s="4">
        <v>23000000</v>
      </c>
    </row>
    <row r="316" spans="1:25" ht="19.5" customHeight="1" x14ac:dyDescent="0.25">
      <c r="A316" s="2" t="s">
        <v>812</v>
      </c>
      <c r="B316" s="2" t="s">
        <v>813</v>
      </c>
      <c r="C316" s="2" t="s">
        <v>823</v>
      </c>
      <c r="D316" s="2" t="s">
        <v>824</v>
      </c>
      <c r="E316" s="2" t="s">
        <v>825</v>
      </c>
      <c r="F316" s="3">
        <v>43701923.200000003</v>
      </c>
      <c r="G316" s="3">
        <v>44394800</v>
      </c>
      <c r="H316" s="3">
        <v>50500000</v>
      </c>
      <c r="I316" s="3">
        <v>53500000</v>
      </c>
      <c r="J316" s="3">
        <v>50500000</v>
      </c>
      <c r="K316" s="3">
        <v>53500000</v>
      </c>
      <c r="L316" s="4">
        <v>50500000</v>
      </c>
      <c r="M316" s="4">
        <v>53500000</v>
      </c>
      <c r="N316" s="4">
        <v>50500000</v>
      </c>
      <c r="O316" s="4">
        <v>53500000</v>
      </c>
      <c r="P316" s="4">
        <v>50500000</v>
      </c>
      <c r="Q316" s="4">
        <v>53500000</v>
      </c>
      <c r="R316" s="4">
        <v>50500000</v>
      </c>
      <c r="S316" s="4">
        <v>53500000</v>
      </c>
      <c r="T316" s="4">
        <v>50500000</v>
      </c>
      <c r="U316" s="4">
        <v>53500000</v>
      </c>
      <c r="V316" s="4">
        <v>50500000</v>
      </c>
      <c r="W316" s="4">
        <v>53500000</v>
      </c>
      <c r="X316" s="4">
        <v>50500000</v>
      </c>
      <c r="Y316" s="4">
        <v>53500000</v>
      </c>
    </row>
    <row r="317" spans="1:25" ht="19.5" customHeight="1" x14ac:dyDescent="0.25">
      <c r="A317" s="2" t="s">
        <v>812</v>
      </c>
      <c r="B317" s="2" t="s">
        <v>813</v>
      </c>
      <c r="C317" s="2" t="s">
        <v>826</v>
      </c>
      <c r="D317" s="2" t="s">
        <v>827</v>
      </c>
      <c r="E317" s="2" t="s">
        <v>828</v>
      </c>
      <c r="F317" s="3">
        <v>7819605</v>
      </c>
      <c r="G317" s="3">
        <v>7682600</v>
      </c>
      <c r="H317" s="3">
        <v>7300000</v>
      </c>
      <c r="I317" s="3">
        <v>8500000</v>
      </c>
      <c r="J317" s="3">
        <v>7300000</v>
      </c>
      <c r="K317" s="3">
        <v>8500000</v>
      </c>
      <c r="L317" s="4">
        <v>7300000</v>
      </c>
      <c r="M317" s="4">
        <v>8500000</v>
      </c>
      <c r="N317" s="4">
        <v>7300000</v>
      </c>
      <c r="O317" s="4">
        <v>8500000</v>
      </c>
      <c r="P317" s="4">
        <v>7300000</v>
      </c>
      <c r="Q317" s="4">
        <v>8500000</v>
      </c>
      <c r="R317" s="4">
        <v>7300000</v>
      </c>
      <c r="S317" s="4">
        <v>8500000</v>
      </c>
      <c r="T317" s="4">
        <v>7300000</v>
      </c>
      <c r="U317" s="4">
        <v>8500000</v>
      </c>
      <c r="V317" s="4">
        <v>7300000</v>
      </c>
      <c r="W317" s="4">
        <v>8500000</v>
      </c>
      <c r="X317" s="4">
        <v>7300000</v>
      </c>
      <c r="Y317" s="4">
        <v>8500000</v>
      </c>
    </row>
    <row r="318" spans="1:25" ht="19.5" customHeight="1" x14ac:dyDescent="0.25">
      <c r="A318" s="2" t="s">
        <v>812</v>
      </c>
      <c r="B318" s="2" t="s">
        <v>813</v>
      </c>
      <c r="C318" s="2" t="s">
        <v>829</v>
      </c>
      <c r="D318" s="2" t="s">
        <v>830</v>
      </c>
      <c r="E318" s="2" t="s">
        <v>831</v>
      </c>
      <c r="F318" s="3">
        <v>226801901.88999999</v>
      </c>
      <c r="G318" s="3">
        <v>231754500</v>
      </c>
      <c r="H318" s="3">
        <v>246500000</v>
      </c>
      <c r="I318" s="3">
        <v>237000000</v>
      </c>
      <c r="J318" s="3">
        <v>246500000</v>
      </c>
      <c r="K318" s="3">
        <v>237000000</v>
      </c>
      <c r="L318" s="4">
        <v>246500000</v>
      </c>
      <c r="M318" s="4">
        <v>237000000</v>
      </c>
      <c r="N318" s="4">
        <v>246500000</v>
      </c>
      <c r="O318" s="4">
        <v>237000000</v>
      </c>
      <c r="P318" s="4">
        <v>246500000</v>
      </c>
      <c r="Q318" s="4">
        <v>237000000</v>
      </c>
      <c r="R318" s="4">
        <v>246500000</v>
      </c>
      <c r="S318" s="4">
        <v>237000000</v>
      </c>
      <c r="T318" s="4">
        <v>246500000</v>
      </c>
      <c r="U318" s="4">
        <v>237000000</v>
      </c>
      <c r="V318" s="4">
        <v>246500000</v>
      </c>
      <c r="W318" s="4">
        <v>237000000</v>
      </c>
      <c r="X318" s="4">
        <v>246500000</v>
      </c>
      <c r="Y318" s="4">
        <v>237000000</v>
      </c>
    </row>
    <row r="319" spans="1:25" ht="19.5" customHeight="1" x14ac:dyDescent="0.25">
      <c r="A319" s="2" t="s">
        <v>812</v>
      </c>
      <c r="B319" s="2" t="s">
        <v>813</v>
      </c>
      <c r="C319" s="2" t="s">
        <v>832</v>
      </c>
      <c r="D319" s="2" t="s">
        <v>833</v>
      </c>
      <c r="E319" s="2" t="s">
        <v>834</v>
      </c>
      <c r="F319" s="3">
        <v>412203709.74000001</v>
      </c>
      <c r="G319" s="3">
        <v>424825900</v>
      </c>
      <c r="H319" s="3">
        <v>427000000</v>
      </c>
      <c r="I319" s="3">
        <v>390000000</v>
      </c>
      <c r="J319" s="3">
        <v>427000000</v>
      </c>
      <c r="K319" s="3">
        <v>390000000</v>
      </c>
      <c r="L319" s="4">
        <v>427000000</v>
      </c>
      <c r="M319" s="4">
        <v>390000000</v>
      </c>
      <c r="N319" s="4">
        <v>427000000</v>
      </c>
      <c r="O319" s="4">
        <v>390000000</v>
      </c>
      <c r="P319" s="4">
        <v>427000000</v>
      </c>
      <c r="Q319" s="4">
        <v>390000000</v>
      </c>
      <c r="R319" s="4">
        <v>427000000</v>
      </c>
      <c r="S319" s="4">
        <v>390000000</v>
      </c>
      <c r="T319" s="4">
        <v>427000000</v>
      </c>
      <c r="U319" s="4">
        <v>390000000</v>
      </c>
      <c r="V319" s="4">
        <v>427000000</v>
      </c>
      <c r="W319" s="4">
        <v>390000000</v>
      </c>
      <c r="X319" s="4">
        <v>427000000</v>
      </c>
      <c r="Y319" s="4">
        <v>390000000</v>
      </c>
    </row>
    <row r="320" spans="1:25" ht="19.5" customHeight="1" x14ac:dyDescent="0.25">
      <c r="A320" s="2" t="s">
        <v>812</v>
      </c>
      <c r="B320" s="2" t="s">
        <v>813</v>
      </c>
      <c r="C320" s="2" t="s">
        <v>835</v>
      </c>
      <c r="D320" s="2" t="s">
        <v>836</v>
      </c>
      <c r="E320" s="2" t="s">
        <v>837</v>
      </c>
      <c r="F320" s="3">
        <v>323935906.45999998</v>
      </c>
      <c r="G320" s="3">
        <v>348550200</v>
      </c>
      <c r="H320" s="3">
        <v>331000000</v>
      </c>
      <c r="I320" s="3">
        <v>301000000</v>
      </c>
      <c r="J320" s="3">
        <v>331000000</v>
      </c>
      <c r="K320" s="3">
        <v>301000000</v>
      </c>
      <c r="L320" s="4">
        <v>331000000</v>
      </c>
      <c r="M320" s="4">
        <v>301000000</v>
      </c>
      <c r="N320" s="4">
        <v>331000000</v>
      </c>
      <c r="O320" s="4">
        <v>301000000</v>
      </c>
      <c r="P320" s="4">
        <v>331000000</v>
      </c>
      <c r="Q320" s="4">
        <v>301000000</v>
      </c>
      <c r="R320" s="4">
        <v>331000000</v>
      </c>
      <c r="S320" s="4">
        <v>301000000</v>
      </c>
      <c r="T320" s="4">
        <v>331000000</v>
      </c>
      <c r="U320" s="4">
        <v>301000000</v>
      </c>
      <c r="V320" s="4">
        <v>331000000</v>
      </c>
      <c r="W320" s="4">
        <v>301000000</v>
      </c>
      <c r="X320" s="4">
        <v>331000000</v>
      </c>
      <c r="Y320" s="4">
        <v>301000000</v>
      </c>
    </row>
    <row r="321" spans="1:25" ht="19.5" customHeight="1" x14ac:dyDescent="0.25">
      <c r="A321" s="2" t="s">
        <v>812</v>
      </c>
      <c r="B321" s="2" t="s">
        <v>813</v>
      </c>
      <c r="C321" s="2" t="s">
        <v>838</v>
      </c>
      <c r="D321" s="2" t="s">
        <v>839</v>
      </c>
      <c r="E321" s="2" t="s">
        <v>840</v>
      </c>
      <c r="F321" s="3">
        <v>4973458.76</v>
      </c>
      <c r="G321" s="3">
        <v>5586600</v>
      </c>
      <c r="H321" s="3">
        <v>5375000</v>
      </c>
      <c r="I321" s="3">
        <v>5000000</v>
      </c>
      <c r="J321" s="3">
        <v>5375000</v>
      </c>
      <c r="K321" s="3">
        <v>5000000</v>
      </c>
      <c r="L321" s="4">
        <v>5375000</v>
      </c>
      <c r="M321" s="4">
        <v>5000000</v>
      </c>
      <c r="N321" s="4">
        <v>5375000</v>
      </c>
      <c r="O321" s="4">
        <v>5000000</v>
      </c>
      <c r="P321" s="4">
        <v>5375000</v>
      </c>
      <c r="Q321" s="4">
        <v>5000000</v>
      </c>
      <c r="R321" s="4">
        <v>5375000</v>
      </c>
      <c r="S321" s="4">
        <v>5000000</v>
      </c>
      <c r="T321" s="4">
        <v>5375000</v>
      </c>
      <c r="U321" s="4">
        <v>5000000</v>
      </c>
      <c r="V321" s="4">
        <v>5375000</v>
      </c>
      <c r="W321" s="4">
        <v>5000000</v>
      </c>
      <c r="X321" s="4">
        <v>5375000</v>
      </c>
      <c r="Y321" s="4">
        <v>5000000</v>
      </c>
    </row>
    <row r="322" spans="1:25" ht="19.5" customHeight="1" x14ac:dyDescent="0.25">
      <c r="A322" s="2" t="s">
        <v>812</v>
      </c>
      <c r="B322" s="2" t="s">
        <v>813</v>
      </c>
      <c r="C322" s="2" t="s">
        <v>841</v>
      </c>
      <c r="D322" s="2" t="s">
        <v>842</v>
      </c>
      <c r="E322" s="2" t="s">
        <v>843</v>
      </c>
      <c r="F322" s="3">
        <v>15514246.75</v>
      </c>
      <c r="G322" s="3">
        <v>9879900</v>
      </c>
      <c r="H322" s="3">
        <v>4605000</v>
      </c>
      <c r="I322" s="3">
        <v>4605000</v>
      </c>
      <c r="J322" s="3">
        <v>4605000</v>
      </c>
      <c r="K322" s="3">
        <v>4605000</v>
      </c>
      <c r="L322" s="4">
        <v>4605000</v>
      </c>
      <c r="M322" s="4">
        <v>4605000</v>
      </c>
      <c r="N322" s="4">
        <v>4605000</v>
      </c>
      <c r="O322" s="4">
        <v>4605000</v>
      </c>
      <c r="P322" s="4">
        <v>4605000</v>
      </c>
      <c r="Q322" s="4">
        <v>4605000</v>
      </c>
      <c r="R322" s="4">
        <v>4605000</v>
      </c>
      <c r="S322" s="4">
        <v>4605000</v>
      </c>
      <c r="T322" s="4">
        <v>4605000</v>
      </c>
      <c r="U322" s="4">
        <v>4605000</v>
      </c>
      <c r="V322" s="4">
        <v>4605000</v>
      </c>
      <c r="W322" s="4">
        <v>4605000</v>
      </c>
      <c r="X322" s="4">
        <v>4605000</v>
      </c>
      <c r="Y322" s="4">
        <v>4605000</v>
      </c>
    </row>
    <row r="323" spans="1:25" ht="19.5" customHeight="1" x14ac:dyDescent="0.25">
      <c r="A323" s="2" t="s">
        <v>844</v>
      </c>
      <c r="B323" s="2" t="s">
        <v>16</v>
      </c>
      <c r="C323" s="2" t="s">
        <v>845</v>
      </c>
      <c r="D323" s="2" t="s">
        <v>846</v>
      </c>
      <c r="E323" s="2" t="s">
        <v>847</v>
      </c>
      <c r="F323" s="3">
        <v>1205712.05</v>
      </c>
      <c r="G323" s="3">
        <v>4245906</v>
      </c>
      <c r="H323" s="3">
        <v>4245906</v>
      </c>
      <c r="I323" s="3">
        <v>4245906</v>
      </c>
      <c r="J323" s="3">
        <v>4245906</v>
      </c>
      <c r="K323" s="3">
        <v>4245906</v>
      </c>
      <c r="L323" s="4">
        <v>4245906</v>
      </c>
      <c r="M323" s="4">
        <v>4245906</v>
      </c>
      <c r="N323" s="4">
        <v>4245906</v>
      </c>
      <c r="O323" s="4">
        <v>4245906</v>
      </c>
      <c r="P323" s="4">
        <v>4245906</v>
      </c>
      <c r="Q323" s="4">
        <v>4245906</v>
      </c>
      <c r="R323" s="4">
        <v>4245906</v>
      </c>
      <c r="S323" s="4">
        <v>4245906</v>
      </c>
      <c r="T323" s="4">
        <v>4245906</v>
      </c>
      <c r="U323" s="4">
        <v>4245906</v>
      </c>
      <c r="V323" s="4">
        <v>4245906</v>
      </c>
      <c r="W323" s="4">
        <v>4245906</v>
      </c>
      <c r="X323" s="4">
        <v>4245906</v>
      </c>
      <c r="Y323" s="4">
        <v>4245906</v>
      </c>
    </row>
    <row r="324" spans="1:25" ht="19.5" customHeight="1" x14ac:dyDescent="0.25">
      <c r="A324" s="2" t="s">
        <v>844</v>
      </c>
      <c r="B324" s="2" t="s">
        <v>16</v>
      </c>
      <c r="C324" s="2" t="s">
        <v>848</v>
      </c>
      <c r="D324" s="2" t="s">
        <v>849</v>
      </c>
      <c r="E324" s="2" t="s">
        <v>850</v>
      </c>
      <c r="F324" s="3">
        <v>0</v>
      </c>
      <c r="G324" s="3">
        <v>6000</v>
      </c>
      <c r="H324" s="3">
        <v>6000</v>
      </c>
      <c r="I324" s="3">
        <v>6000</v>
      </c>
      <c r="J324" s="3">
        <v>6000</v>
      </c>
      <c r="K324" s="3">
        <v>6000</v>
      </c>
      <c r="L324" s="4">
        <v>6000</v>
      </c>
      <c r="M324" s="4">
        <v>6000</v>
      </c>
      <c r="N324" s="4">
        <v>6000</v>
      </c>
      <c r="O324" s="4">
        <v>6000</v>
      </c>
      <c r="P324" s="4">
        <v>6000</v>
      </c>
      <c r="Q324" s="4">
        <v>6000</v>
      </c>
      <c r="R324" s="4">
        <v>6000</v>
      </c>
      <c r="S324" s="4">
        <v>6000</v>
      </c>
      <c r="T324" s="4">
        <v>6000</v>
      </c>
      <c r="U324" s="4">
        <v>6000</v>
      </c>
      <c r="V324" s="4">
        <v>6000</v>
      </c>
      <c r="W324" s="4">
        <v>6000</v>
      </c>
      <c r="X324" s="4">
        <v>6000</v>
      </c>
      <c r="Y324" s="4">
        <v>6000</v>
      </c>
    </row>
    <row r="325" spans="1:25" ht="19.5" customHeight="1" x14ac:dyDescent="0.25">
      <c r="A325" s="2" t="s">
        <v>844</v>
      </c>
      <c r="B325" s="2" t="s">
        <v>54</v>
      </c>
      <c r="C325" s="2" t="s">
        <v>54</v>
      </c>
      <c r="D325" s="2" t="s">
        <v>851</v>
      </c>
      <c r="E325" s="2" t="s">
        <v>852</v>
      </c>
      <c r="F325" s="3">
        <v>3517891.62</v>
      </c>
      <c r="G325" s="3">
        <v>4069830.22</v>
      </c>
      <c r="H325" s="3">
        <v>4069830</v>
      </c>
      <c r="I325" s="3">
        <v>4069830</v>
      </c>
      <c r="J325" s="3">
        <v>4069830</v>
      </c>
      <c r="K325" s="3">
        <v>4069830</v>
      </c>
      <c r="L325" s="4">
        <v>4069830</v>
      </c>
      <c r="M325" s="4">
        <v>4069830</v>
      </c>
      <c r="N325" s="4">
        <v>4069830</v>
      </c>
      <c r="O325" s="4">
        <v>4069830</v>
      </c>
      <c r="P325" s="4">
        <v>4069830</v>
      </c>
      <c r="Q325" s="4">
        <v>4069830</v>
      </c>
      <c r="R325" s="4">
        <v>4069830</v>
      </c>
      <c r="S325" s="4">
        <v>4069830</v>
      </c>
      <c r="T325" s="4">
        <v>4069830</v>
      </c>
      <c r="U325" s="4">
        <v>4069830</v>
      </c>
      <c r="V325" s="4">
        <v>4069830</v>
      </c>
      <c r="W325" s="4">
        <v>4069830</v>
      </c>
      <c r="X325" s="4">
        <v>4069830</v>
      </c>
      <c r="Y325" s="4">
        <v>4069830</v>
      </c>
    </row>
    <row r="326" spans="1:25" ht="19.5" customHeight="1" x14ac:dyDescent="0.25">
      <c r="A326" s="2" t="s">
        <v>844</v>
      </c>
      <c r="B326" s="2" t="s">
        <v>54</v>
      </c>
      <c r="C326" s="2" t="s">
        <v>54</v>
      </c>
      <c r="D326" s="2" t="s">
        <v>853</v>
      </c>
      <c r="E326" s="2" t="s">
        <v>854</v>
      </c>
      <c r="F326" s="3">
        <v>1369297.35</v>
      </c>
      <c r="G326" s="3">
        <v>1402832.89</v>
      </c>
      <c r="H326" s="3">
        <v>1402833</v>
      </c>
      <c r="I326" s="3">
        <v>1402833</v>
      </c>
      <c r="J326" s="3">
        <v>1402833</v>
      </c>
      <c r="K326" s="3">
        <v>1402833</v>
      </c>
      <c r="L326" s="4">
        <v>1402833</v>
      </c>
      <c r="M326" s="4">
        <v>1402833</v>
      </c>
      <c r="N326" s="4">
        <v>1402833</v>
      </c>
      <c r="O326" s="4">
        <v>1402833</v>
      </c>
      <c r="P326" s="4">
        <v>1502833</v>
      </c>
      <c r="Q326" s="4">
        <v>1402833</v>
      </c>
      <c r="R326" s="4">
        <v>1552833</v>
      </c>
      <c r="S326" s="4">
        <v>1402833</v>
      </c>
      <c r="T326" s="4">
        <v>1552833</v>
      </c>
      <c r="U326" s="4">
        <v>1402833</v>
      </c>
      <c r="V326" s="4">
        <v>1552833</v>
      </c>
      <c r="W326" s="4">
        <v>1402833</v>
      </c>
      <c r="X326" s="4">
        <v>1552833</v>
      </c>
      <c r="Y326" s="4">
        <v>1402833</v>
      </c>
    </row>
    <row r="327" spans="1:25" ht="19.5" customHeight="1" x14ac:dyDescent="0.25">
      <c r="A327" s="2" t="s">
        <v>844</v>
      </c>
      <c r="B327" s="2" t="s">
        <v>243</v>
      </c>
      <c r="C327" s="2" t="s">
        <v>855</v>
      </c>
      <c r="D327" s="2" t="s">
        <v>856</v>
      </c>
      <c r="E327" s="2" t="s">
        <v>857</v>
      </c>
      <c r="F327" s="3">
        <v>714801.06</v>
      </c>
      <c r="G327" s="3">
        <v>800000</v>
      </c>
      <c r="H327" s="3">
        <v>800000</v>
      </c>
      <c r="I327" s="3">
        <v>800000</v>
      </c>
      <c r="J327" s="3">
        <v>800000</v>
      </c>
      <c r="K327" s="3">
        <v>800000</v>
      </c>
      <c r="L327" s="4">
        <v>800000</v>
      </c>
      <c r="M327" s="4">
        <v>800000</v>
      </c>
      <c r="N327" s="4">
        <v>800000</v>
      </c>
      <c r="O327" s="4">
        <v>800000</v>
      </c>
      <c r="P327" s="4">
        <v>800000</v>
      </c>
      <c r="Q327" s="4">
        <v>800000</v>
      </c>
      <c r="R327" s="4">
        <v>800000</v>
      </c>
      <c r="S327" s="4">
        <v>800000</v>
      </c>
      <c r="T327" s="4">
        <v>800000</v>
      </c>
      <c r="U327" s="4">
        <v>800000</v>
      </c>
      <c r="V327" s="4">
        <v>800000</v>
      </c>
      <c r="W327" s="4">
        <v>800000</v>
      </c>
      <c r="X327" s="4">
        <v>800000</v>
      </c>
      <c r="Y327" s="4">
        <v>800000</v>
      </c>
    </row>
    <row r="328" spans="1:25" ht="19.5" customHeight="1" x14ac:dyDescent="0.25">
      <c r="A328" s="2" t="s">
        <v>858</v>
      </c>
      <c r="B328" s="2" t="s">
        <v>16</v>
      </c>
      <c r="C328" s="2" t="s">
        <v>859</v>
      </c>
      <c r="D328" s="2" t="s">
        <v>860</v>
      </c>
      <c r="E328" s="2" t="s">
        <v>861</v>
      </c>
      <c r="F328" s="3">
        <v>11547.37</v>
      </c>
      <c r="G328" s="3">
        <v>30000</v>
      </c>
      <c r="H328" s="3">
        <v>30000</v>
      </c>
      <c r="I328" s="3">
        <v>30000</v>
      </c>
      <c r="J328" s="3">
        <v>30000</v>
      </c>
      <c r="K328" s="3">
        <v>30000</v>
      </c>
      <c r="L328" s="4">
        <v>30000</v>
      </c>
      <c r="M328" s="4">
        <v>30000</v>
      </c>
      <c r="N328" s="4">
        <v>30000</v>
      </c>
      <c r="O328" s="4">
        <v>30000</v>
      </c>
      <c r="P328" s="4">
        <v>30000</v>
      </c>
      <c r="Q328" s="4">
        <v>30000</v>
      </c>
      <c r="R328" s="4">
        <v>30000</v>
      </c>
      <c r="S328" s="4">
        <v>30000</v>
      </c>
      <c r="T328" s="4">
        <v>30000</v>
      </c>
      <c r="U328" s="4">
        <v>30000</v>
      </c>
      <c r="V328" s="4">
        <v>30000</v>
      </c>
      <c r="W328" s="4">
        <v>30000</v>
      </c>
      <c r="X328" s="4">
        <v>30000</v>
      </c>
      <c r="Y328" s="4">
        <v>30000</v>
      </c>
    </row>
    <row r="329" spans="1:25" ht="19.5" customHeight="1" x14ac:dyDescent="0.25">
      <c r="A329" s="2" t="s">
        <v>858</v>
      </c>
      <c r="B329" s="2" t="s">
        <v>44</v>
      </c>
      <c r="C329" s="2" t="s">
        <v>862</v>
      </c>
      <c r="D329" s="2" t="s">
        <v>863</v>
      </c>
      <c r="E329" s="2" t="s">
        <v>864</v>
      </c>
      <c r="F329" s="3">
        <v>7916338.9800000004</v>
      </c>
      <c r="G329" s="3">
        <v>9671749</v>
      </c>
      <c r="H329" s="3">
        <v>10121612</v>
      </c>
      <c r="I329" s="3">
        <v>10144716</v>
      </c>
      <c r="J329" s="3">
        <v>10121612</v>
      </c>
      <c r="K329" s="3">
        <v>10144716</v>
      </c>
      <c r="L329" s="4">
        <v>10121612</v>
      </c>
      <c r="M329" s="4">
        <v>10144716</v>
      </c>
      <c r="N329" s="4">
        <v>10121612</v>
      </c>
      <c r="O329" s="4">
        <v>10144716</v>
      </c>
      <c r="P329" s="4">
        <v>10121612</v>
      </c>
      <c r="Q329" s="4">
        <v>10144716</v>
      </c>
      <c r="R329" s="4">
        <v>10121612</v>
      </c>
      <c r="S329" s="4">
        <v>10144716</v>
      </c>
      <c r="T329" s="4">
        <v>10121612</v>
      </c>
      <c r="U329" s="4">
        <v>10144716</v>
      </c>
      <c r="V329" s="4">
        <v>10121612</v>
      </c>
      <c r="W329" s="4">
        <v>10144716</v>
      </c>
      <c r="X329" s="4">
        <v>10121612</v>
      </c>
      <c r="Y329" s="4">
        <v>10144716</v>
      </c>
    </row>
    <row r="330" spans="1:25" ht="19.5" customHeight="1" x14ac:dyDescent="0.25">
      <c r="A330" s="2" t="s">
        <v>858</v>
      </c>
      <c r="B330" s="2" t="s">
        <v>54</v>
      </c>
      <c r="C330" s="2" t="s">
        <v>54</v>
      </c>
      <c r="D330" s="2" t="s">
        <v>865</v>
      </c>
      <c r="E330" s="2" t="s">
        <v>866</v>
      </c>
      <c r="F330" s="3">
        <v>304550.89</v>
      </c>
      <c r="G330" s="3">
        <v>284553</v>
      </c>
      <c r="H330" s="3">
        <v>529252</v>
      </c>
      <c r="I330" s="3">
        <v>529252</v>
      </c>
      <c r="J330" s="3">
        <v>529252</v>
      </c>
      <c r="K330" s="3">
        <v>529252</v>
      </c>
      <c r="L330" s="4">
        <v>529252</v>
      </c>
      <c r="M330" s="4">
        <v>529252</v>
      </c>
      <c r="N330" s="4">
        <v>529252</v>
      </c>
      <c r="O330" s="4">
        <v>529252</v>
      </c>
      <c r="P330" s="4">
        <v>529252</v>
      </c>
      <c r="Q330" s="4">
        <v>529252</v>
      </c>
      <c r="R330" s="4">
        <v>529252</v>
      </c>
      <c r="S330" s="4">
        <v>529252</v>
      </c>
      <c r="T330" s="4">
        <v>529252</v>
      </c>
      <c r="U330" s="4">
        <v>529252</v>
      </c>
      <c r="V330" s="4">
        <v>529252</v>
      </c>
      <c r="W330" s="4">
        <v>529252</v>
      </c>
      <c r="X330" s="4">
        <v>529252</v>
      </c>
      <c r="Y330" s="4">
        <v>529252</v>
      </c>
    </row>
    <row r="331" spans="1:25" ht="19.5" customHeight="1" x14ac:dyDescent="0.25">
      <c r="A331" s="2" t="s">
        <v>867</v>
      </c>
      <c r="B331" s="2" t="s">
        <v>16</v>
      </c>
      <c r="C331" s="2" t="s">
        <v>20</v>
      </c>
      <c r="D331" s="2" t="s">
        <v>868</v>
      </c>
      <c r="E331" s="2" t="s">
        <v>22</v>
      </c>
      <c r="F331" s="3">
        <v>1644417.65</v>
      </c>
      <c r="G331" s="4">
        <v>1854848</v>
      </c>
      <c r="H331" s="4">
        <v>1845658</v>
      </c>
      <c r="I331" s="4">
        <v>1907553</v>
      </c>
      <c r="J331" s="4">
        <v>1845658</v>
      </c>
      <c r="K331" s="4">
        <v>1907553</v>
      </c>
      <c r="L331" s="4">
        <v>1845658</v>
      </c>
      <c r="M331" s="4">
        <v>1907553</v>
      </c>
      <c r="N331" s="4">
        <v>1845658</v>
      </c>
      <c r="O331" s="4">
        <v>1907553</v>
      </c>
      <c r="P331" s="4">
        <v>1845658</v>
      </c>
      <c r="Q331" s="4">
        <v>1907553</v>
      </c>
      <c r="R331" s="4">
        <v>1845658</v>
      </c>
      <c r="S331" s="4">
        <v>1907553</v>
      </c>
      <c r="T331" s="4">
        <v>1845658</v>
      </c>
      <c r="U331" s="4">
        <v>1907553</v>
      </c>
      <c r="V331" s="4">
        <v>1845658</v>
      </c>
      <c r="W331" s="4">
        <v>1907553</v>
      </c>
      <c r="X331" s="4">
        <v>1845658</v>
      </c>
      <c r="Y331" s="4">
        <v>1907553</v>
      </c>
    </row>
    <row r="332" spans="1:25" ht="19.5" customHeight="1" x14ac:dyDescent="0.25">
      <c r="A332" s="2" t="s">
        <v>869</v>
      </c>
      <c r="B332" s="2" t="s">
        <v>16</v>
      </c>
      <c r="C332" s="2" t="s">
        <v>35</v>
      </c>
      <c r="D332" s="2" t="s">
        <v>870</v>
      </c>
      <c r="E332" s="2" t="s">
        <v>871</v>
      </c>
      <c r="F332" s="3">
        <v>3484196.61</v>
      </c>
      <c r="G332" s="4">
        <v>66369459</v>
      </c>
      <c r="H332" s="4">
        <v>6000000</v>
      </c>
      <c r="I332" s="4">
        <v>0</v>
      </c>
      <c r="J332" s="4">
        <v>6000000</v>
      </c>
      <c r="K332" s="4">
        <v>0</v>
      </c>
      <c r="L332" s="4">
        <v>6000000</v>
      </c>
      <c r="M332" s="4">
        <v>0</v>
      </c>
      <c r="N332" s="4">
        <v>6000000</v>
      </c>
      <c r="O332" s="4">
        <v>0</v>
      </c>
      <c r="P332" s="4">
        <v>6000000</v>
      </c>
      <c r="Q332" s="4">
        <v>0</v>
      </c>
      <c r="R332" s="4">
        <v>6000000</v>
      </c>
      <c r="S332" s="4">
        <v>0</v>
      </c>
      <c r="T332" s="4">
        <v>6000000</v>
      </c>
      <c r="U332" s="4">
        <v>0</v>
      </c>
      <c r="V332" s="4">
        <v>1800000</v>
      </c>
      <c r="W332" s="4">
        <v>0</v>
      </c>
      <c r="X332" s="4">
        <v>1800000</v>
      </c>
      <c r="Y332" s="4">
        <v>0</v>
      </c>
    </row>
    <row r="333" spans="1:25" ht="19.5" customHeight="1" x14ac:dyDescent="0.25">
      <c r="A333" s="2" t="s">
        <v>869</v>
      </c>
      <c r="B333" s="2" t="s">
        <v>16</v>
      </c>
      <c r="C333" s="2" t="s">
        <v>872</v>
      </c>
      <c r="D333" s="2" t="s">
        <v>873</v>
      </c>
      <c r="E333" s="2" t="s">
        <v>874</v>
      </c>
      <c r="F333" s="3">
        <v>1530206.48</v>
      </c>
      <c r="G333" s="3">
        <v>1650000</v>
      </c>
      <c r="H333" s="3">
        <v>1650000</v>
      </c>
      <c r="I333" s="3">
        <v>1650000</v>
      </c>
      <c r="J333" s="3">
        <v>1650000</v>
      </c>
      <c r="K333" s="3">
        <v>1650000</v>
      </c>
      <c r="L333" s="4">
        <v>1650000</v>
      </c>
      <c r="M333" s="4">
        <v>1650000</v>
      </c>
      <c r="N333" s="4">
        <v>1650000</v>
      </c>
      <c r="O333" s="4">
        <v>1650000</v>
      </c>
      <c r="P333" s="4">
        <v>1650000</v>
      </c>
      <c r="Q333" s="4">
        <v>1650000</v>
      </c>
      <c r="R333" s="4">
        <v>1650000</v>
      </c>
      <c r="S333" s="4">
        <v>1650000</v>
      </c>
      <c r="T333" s="4">
        <v>1650000</v>
      </c>
      <c r="U333" s="4">
        <v>1650000</v>
      </c>
      <c r="V333" s="4">
        <v>1650000</v>
      </c>
      <c r="W333" s="4">
        <v>1650000</v>
      </c>
      <c r="X333" s="4">
        <v>1650000</v>
      </c>
      <c r="Y333" s="4">
        <v>1650000</v>
      </c>
    </row>
    <row r="334" spans="1:25" ht="19.5" customHeight="1" x14ac:dyDescent="0.25">
      <c r="A334" s="2" t="s">
        <v>869</v>
      </c>
      <c r="B334" s="2" t="s">
        <v>16</v>
      </c>
      <c r="C334" s="2" t="s">
        <v>875</v>
      </c>
      <c r="D334" s="2" t="s">
        <v>876</v>
      </c>
      <c r="E334" s="2" t="s">
        <v>877</v>
      </c>
      <c r="F334" s="3">
        <v>0</v>
      </c>
      <c r="G334" s="3">
        <v>50000</v>
      </c>
      <c r="H334" s="3">
        <v>50000</v>
      </c>
      <c r="I334" s="3">
        <v>50000</v>
      </c>
      <c r="J334" s="3">
        <v>50000</v>
      </c>
      <c r="K334" s="3">
        <v>50000</v>
      </c>
      <c r="L334" s="4">
        <v>50000</v>
      </c>
      <c r="M334" s="4">
        <v>50000</v>
      </c>
      <c r="N334" s="4">
        <v>50000</v>
      </c>
      <c r="O334" s="4">
        <v>50000</v>
      </c>
      <c r="P334" s="4">
        <v>50000</v>
      </c>
      <c r="Q334" s="4">
        <v>50000</v>
      </c>
      <c r="R334" s="4">
        <v>50000</v>
      </c>
      <c r="S334" s="4">
        <v>50000</v>
      </c>
      <c r="T334" s="4">
        <v>50000</v>
      </c>
      <c r="U334" s="4">
        <v>50000</v>
      </c>
      <c r="V334" s="4">
        <v>50000</v>
      </c>
      <c r="W334" s="4">
        <v>50000</v>
      </c>
      <c r="X334" s="4">
        <v>50000</v>
      </c>
      <c r="Y334" s="4">
        <v>50000</v>
      </c>
    </row>
    <row r="335" spans="1:25" ht="19.5" customHeight="1" x14ac:dyDescent="0.25">
      <c r="A335" s="2" t="s">
        <v>869</v>
      </c>
      <c r="B335" s="2" t="s">
        <v>16</v>
      </c>
      <c r="C335" s="2" t="s">
        <v>878</v>
      </c>
      <c r="D335" s="2" t="s">
        <v>879</v>
      </c>
      <c r="E335" s="2" t="s">
        <v>880</v>
      </c>
      <c r="F335" s="3">
        <v>568731.57999999996</v>
      </c>
      <c r="G335" s="3">
        <v>715522</v>
      </c>
      <c r="H335" s="3">
        <v>586070</v>
      </c>
      <c r="I335" s="3">
        <v>599969</v>
      </c>
      <c r="J335" s="3">
        <v>586070</v>
      </c>
      <c r="K335" s="3">
        <v>599969</v>
      </c>
      <c r="L335" s="4">
        <v>586070</v>
      </c>
      <c r="M335" s="4">
        <v>599969</v>
      </c>
      <c r="N335" s="4">
        <v>586070</v>
      </c>
      <c r="O335" s="4">
        <v>599969</v>
      </c>
      <c r="P335" s="4">
        <v>586070</v>
      </c>
      <c r="Q335" s="4">
        <v>599969</v>
      </c>
      <c r="R335" s="4">
        <v>586070</v>
      </c>
      <c r="S335" s="4">
        <v>599969</v>
      </c>
      <c r="T335" s="4">
        <v>586070</v>
      </c>
      <c r="U335" s="4">
        <v>599969</v>
      </c>
      <c r="V335" s="4">
        <v>586070</v>
      </c>
      <c r="W335" s="4">
        <v>599969</v>
      </c>
      <c r="X335" s="4">
        <v>586070</v>
      </c>
      <c r="Y335" s="4">
        <v>599969</v>
      </c>
    </row>
    <row r="336" spans="1:25" ht="19.5" customHeight="1" x14ac:dyDescent="0.25">
      <c r="A336" s="2" t="s">
        <v>869</v>
      </c>
      <c r="B336" s="2" t="s">
        <v>16</v>
      </c>
      <c r="C336" s="2" t="s">
        <v>881</v>
      </c>
      <c r="D336" s="2" t="s">
        <v>882</v>
      </c>
      <c r="E336" s="2" t="s">
        <v>883</v>
      </c>
      <c r="F336" s="3">
        <v>1300058.67</v>
      </c>
      <c r="G336" s="3">
        <v>1245000</v>
      </c>
      <c r="H336" s="3">
        <v>1500000</v>
      </c>
      <c r="I336" s="3">
        <v>1600000</v>
      </c>
      <c r="J336" s="3">
        <v>1500000</v>
      </c>
      <c r="K336" s="3">
        <v>1600000</v>
      </c>
      <c r="L336" s="4">
        <v>1500000</v>
      </c>
      <c r="M336" s="4">
        <v>1600000</v>
      </c>
      <c r="N336" s="4">
        <v>1500000</v>
      </c>
      <c r="O336" s="4">
        <v>1600000</v>
      </c>
      <c r="P336" s="4">
        <v>1500000</v>
      </c>
      <c r="Q336" s="4">
        <v>1600000</v>
      </c>
      <c r="R336" s="4">
        <v>1500000</v>
      </c>
      <c r="S336" s="4">
        <v>1600000</v>
      </c>
      <c r="T336" s="4">
        <v>1500000</v>
      </c>
      <c r="U336" s="4">
        <v>1600000</v>
      </c>
      <c r="V336" s="4">
        <v>1500000</v>
      </c>
      <c r="W336" s="4">
        <v>1600000</v>
      </c>
      <c r="X336" s="4">
        <v>1500000</v>
      </c>
      <c r="Y336" s="4">
        <v>1600000</v>
      </c>
    </row>
    <row r="337" spans="1:25" ht="19.5" customHeight="1" x14ac:dyDescent="0.25">
      <c r="A337" s="2" t="s">
        <v>869</v>
      </c>
      <c r="B337" s="2" t="s">
        <v>44</v>
      </c>
      <c r="C337" s="2" t="s">
        <v>884</v>
      </c>
      <c r="D337" s="2" t="s">
        <v>885</v>
      </c>
      <c r="E337" s="2" t="s">
        <v>886</v>
      </c>
      <c r="F337" s="4">
        <v>100000</v>
      </c>
      <c r="G337" s="3">
        <v>10000</v>
      </c>
      <c r="H337" s="3">
        <v>10000</v>
      </c>
      <c r="I337" s="3">
        <v>10000</v>
      </c>
      <c r="J337" s="3">
        <v>10000</v>
      </c>
      <c r="K337" s="3">
        <v>10000</v>
      </c>
      <c r="L337" s="4">
        <v>10000</v>
      </c>
      <c r="M337" s="4">
        <v>10000</v>
      </c>
      <c r="N337" s="4">
        <v>10000</v>
      </c>
      <c r="O337" s="4">
        <v>10000</v>
      </c>
      <c r="P337" s="4">
        <v>10000</v>
      </c>
      <c r="Q337" s="4">
        <v>10000</v>
      </c>
      <c r="R337" s="4">
        <v>10000</v>
      </c>
      <c r="S337" s="4">
        <v>10000</v>
      </c>
      <c r="T337" s="4">
        <v>10000</v>
      </c>
      <c r="U337" s="4">
        <v>10000</v>
      </c>
      <c r="V337" s="4">
        <v>10000</v>
      </c>
      <c r="W337" s="4">
        <v>10000</v>
      </c>
      <c r="X337" s="4">
        <v>10000</v>
      </c>
      <c r="Y337" s="4">
        <v>10000</v>
      </c>
    </row>
    <row r="338" spans="1:25" ht="19.5" customHeight="1" x14ac:dyDescent="0.25">
      <c r="A338" s="2" t="s">
        <v>869</v>
      </c>
      <c r="B338" s="2" t="s">
        <v>887</v>
      </c>
      <c r="C338" s="2" t="s">
        <v>888</v>
      </c>
      <c r="D338" s="2" t="s">
        <v>889</v>
      </c>
      <c r="E338" s="2" t="s">
        <v>890</v>
      </c>
      <c r="F338" s="3">
        <v>1089700.46</v>
      </c>
      <c r="G338" s="3">
        <v>1150000</v>
      </c>
      <c r="H338" s="3">
        <v>1150000</v>
      </c>
      <c r="I338" s="3">
        <v>1150000</v>
      </c>
      <c r="J338" s="3">
        <v>1150000</v>
      </c>
      <c r="K338" s="3">
        <v>1150000</v>
      </c>
      <c r="L338" s="4">
        <v>1150000</v>
      </c>
      <c r="M338" s="4">
        <v>1150000</v>
      </c>
      <c r="N338" s="4">
        <v>1150000</v>
      </c>
      <c r="O338" s="4">
        <v>1150000</v>
      </c>
      <c r="P338" s="4">
        <v>1150000</v>
      </c>
      <c r="Q338" s="4">
        <v>1150000</v>
      </c>
      <c r="R338" s="4">
        <v>1150000</v>
      </c>
      <c r="S338" s="4">
        <v>1150000</v>
      </c>
      <c r="T338" s="4">
        <v>1150000</v>
      </c>
      <c r="U338" s="4">
        <v>1150000</v>
      </c>
      <c r="V338" s="4">
        <v>1150000</v>
      </c>
      <c r="W338" s="4">
        <v>1150000</v>
      </c>
      <c r="X338" s="4">
        <v>1150000</v>
      </c>
      <c r="Y338" s="4">
        <v>1150000</v>
      </c>
    </row>
    <row r="339" spans="1:25" ht="19.5" customHeight="1" x14ac:dyDescent="0.25">
      <c r="A339" s="2" t="s">
        <v>869</v>
      </c>
      <c r="B339" s="2" t="s">
        <v>54</v>
      </c>
      <c r="C339" s="2" t="s">
        <v>54</v>
      </c>
      <c r="D339" s="2" t="s">
        <v>891</v>
      </c>
      <c r="E339" s="2" t="s">
        <v>892</v>
      </c>
      <c r="F339" s="3">
        <v>0</v>
      </c>
      <c r="G339" s="3">
        <v>1546403</v>
      </c>
      <c r="H339" s="3">
        <v>1550000</v>
      </c>
      <c r="I339" s="3">
        <v>1560000</v>
      </c>
      <c r="J339" s="3">
        <v>1550000</v>
      </c>
      <c r="K339" s="3">
        <v>1560000</v>
      </c>
      <c r="L339" s="4">
        <v>1550000</v>
      </c>
      <c r="M339" s="4">
        <v>1560000</v>
      </c>
      <c r="N339" s="4">
        <v>1550000</v>
      </c>
      <c r="O339" s="4">
        <v>1560000</v>
      </c>
      <c r="P339" s="4">
        <v>1550000</v>
      </c>
      <c r="Q339" s="4">
        <v>1560000</v>
      </c>
      <c r="R339" s="4">
        <v>1550000</v>
      </c>
      <c r="S339" s="4">
        <v>1560000</v>
      </c>
      <c r="T339" s="4">
        <v>1550000</v>
      </c>
      <c r="U339" s="4">
        <v>1560000</v>
      </c>
      <c r="V339" s="4">
        <v>1550000</v>
      </c>
      <c r="W339" s="4">
        <v>1560000</v>
      </c>
      <c r="X339" s="4">
        <v>1550000</v>
      </c>
      <c r="Y339" s="4">
        <v>1560000</v>
      </c>
    </row>
    <row r="340" spans="1:25" ht="19.5" customHeight="1" x14ac:dyDescent="0.25">
      <c r="A340" s="2" t="s">
        <v>869</v>
      </c>
      <c r="B340" s="2" t="s">
        <v>54</v>
      </c>
      <c r="C340" s="2" t="s">
        <v>54</v>
      </c>
      <c r="D340" s="2" t="s">
        <v>893</v>
      </c>
      <c r="E340" s="2" t="s">
        <v>894</v>
      </c>
      <c r="F340" s="3">
        <v>11299385.460000001</v>
      </c>
      <c r="G340" s="3">
        <v>13276557</v>
      </c>
      <c r="H340" s="3">
        <v>13280000</v>
      </c>
      <c r="I340" s="3">
        <v>13275000</v>
      </c>
      <c r="J340" s="3">
        <v>13280000</v>
      </c>
      <c r="K340" s="3">
        <v>13275000</v>
      </c>
      <c r="L340" s="4">
        <v>13280000</v>
      </c>
      <c r="M340" s="4">
        <v>13275000</v>
      </c>
      <c r="N340" s="4">
        <v>13280000</v>
      </c>
      <c r="O340" s="4">
        <v>13275000</v>
      </c>
      <c r="P340" s="4">
        <v>13280000</v>
      </c>
      <c r="Q340" s="4">
        <v>13275000</v>
      </c>
      <c r="R340" s="4">
        <v>13280000</v>
      </c>
      <c r="S340" s="4">
        <v>13275000</v>
      </c>
      <c r="T340" s="4">
        <v>13280000</v>
      </c>
      <c r="U340" s="4">
        <v>13275000</v>
      </c>
      <c r="V340" s="4">
        <v>13280000</v>
      </c>
      <c r="W340" s="4">
        <v>13275000</v>
      </c>
      <c r="X340" s="4">
        <v>13280000</v>
      </c>
      <c r="Y340" s="4">
        <v>13275000</v>
      </c>
    </row>
    <row r="341" spans="1:25" ht="19.5" customHeight="1" x14ac:dyDescent="0.25">
      <c r="A341" s="2" t="s">
        <v>869</v>
      </c>
      <c r="B341" s="2" t="s">
        <v>54</v>
      </c>
      <c r="C341" s="2" t="s">
        <v>54</v>
      </c>
      <c r="D341" s="2" t="s">
        <v>895</v>
      </c>
      <c r="E341" s="2" t="s">
        <v>896</v>
      </c>
      <c r="F341" s="3">
        <v>6767999.1799999997</v>
      </c>
      <c r="G341" s="3">
        <v>6769600</v>
      </c>
      <c r="H341" s="3">
        <v>6770000</v>
      </c>
      <c r="I341" s="3">
        <v>6770000</v>
      </c>
      <c r="J341" s="3">
        <v>6770000</v>
      </c>
      <c r="K341" s="3">
        <v>6770000</v>
      </c>
      <c r="L341" s="4">
        <v>6770000</v>
      </c>
      <c r="M341" s="4">
        <v>6770000</v>
      </c>
      <c r="N341" s="4">
        <v>6770000</v>
      </c>
      <c r="O341" s="4">
        <v>6770000</v>
      </c>
      <c r="P341" s="4">
        <v>6770000</v>
      </c>
      <c r="Q341" s="4">
        <v>6770000</v>
      </c>
      <c r="R341" s="4">
        <v>6770000</v>
      </c>
      <c r="S341" s="4">
        <v>6770000</v>
      </c>
      <c r="T341" s="4">
        <v>6770000</v>
      </c>
      <c r="U341" s="4">
        <v>6770000</v>
      </c>
      <c r="V341" s="4">
        <v>6770000</v>
      </c>
      <c r="W341" s="4">
        <v>6770000</v>
      </c>
      <c r="X341" s="4">
        <v>6770000</v>
      </c>
      <c r="Y341" s="4">
        <v>6770000</v>
      </c>
    </row>
    <row r="342" spans="1:25" ht="19.5" customHeight="1" x14ac:dyDescent="0.25">
      <c r="A342" s="2" t="s">
        <v>869</v>
      </c>
      <c r="B342" s="2" t="s">
        <v>54</v>
      </c>
      <c r="C342" s="2" t="s">
        <v>54</v>
      </c>
      <c r="D342" s="2" t="s">
        <v>897</v>
      </c>
      <c r="E342" s="2" t="s">
        <v>898</v>
      </c>
      <c r="F342" s="3">
        <v>2434704.86</v>
      </c>
      <c r="G342" s="3">
        <v>2434500</v>
      </c>
      <c r="H342" s="3">
        <v>2450000</v>
      </c>
      <c r="I342" s="3">
        <v>2450000</v>
      </c>
      <c r="J342" s="3">
        <v>2450000</v>
      </c>
      <c r="K342" s="3">
        <v>2450000</v>
      </c>
      <c r="L342" s="4">
        <v>2450000</v>
      </c>
      <c r="M342" s="4">
        <v>2450000</v>
      </c>
      <c r="N342" s="4">
        <v>2450000</v>
      </c>
      <c r="O342" s="4">
        <v>2450000</v>
      </c>
      <c r="P342" s="4">
        <v>2450000</v>
      </c>
      <c r="Q342" s="4">
        <v>2450000</v>
      </c>
      <c r="R342" s="4">
        <v>2450000</v>
      </c>
      <c r="S342" s="4">
        <v>2450000</v>
      </c>
      <c r="T342" s="4">
        <v>2450000</v>
      </c>
      <c r="U342" s="4">
        <v>2450000</v>
      </c>
      <c r="V342" s="4">
        <v>2450000</v>
      </c>
      <c r="W342" s="4">
        <v>2450000</v>
      </c>
      <c r="X342" s="4">
        <v>2450000</v>
      </c>
      <c r="Y342" s="4">
        <v>2450000</v>
      </c>
    </row>
    <row r="343" spans="1:25" ht="19.5" customHeight="1" x14ac:dyDescent="0.25">
      <c r="A343" s="2" t="s">
        <v>869</v>
      </c>
      <c r="B343" s="2" t="s">
        <v>54</v>
      </c>
      <c r="C343" s="2" t="s">
        <v>54</v>
      </c>
      <c r="D343" s="2" t="s">
        <v>899</v>
      </c>
      <c r="E343" s="2" t="s">
        <v>900</v>
      </c>
      <c r="F343" s="3">
        <v>3545731.76</v>
      </c>
      <c r="G343" s="4">
        <v>3540750</v>
      </c>
      <c r="H343" s="4">
        <v>5000000</v>
      </c>
      <c r="I343" s="4">
        <v>5000000</v>
      </c>
      <c r="J343" s="4">
        <v>5000000</v>
      </c>
      <c r="K343" s="4">
        <v>5000000</v>
      </c>
      <c r="L343" s="4">
        <v>5000000</v>
      </c>
      <c r="M343" s="4">
        <v>5000000</v>
      </c>
      <c r="N343" s="4">
        <v>5000000</v>
      </c>
      <c r="O343" s="4">
        <v>5000000</v>
      </c>
      <c r="P343" s="4">
        <v>5000000</v>
      </c>
      <c r="Q343" s="4">
        <v>5000000</v>
      </c>
      <c r="R343" s="4">
        <v>5000000</v>
      </c>
      <c r="S343" s="4">
        <v>5000000</v>
      </c>
      <c r="T343" s="4">
        <v>5000000</v>
      </c>
      <c r="U343" s="4">
        <v>5000000</v>
      </c>
      <c r="V343" s="4">
        <v>5000000</v>
      </c>
      <c r="W343" s="4">
        <v>5000000</v>
      </c>
      <c r="X343" s="4">
        <v>5000000</v>
      </c>
      <c r="Y343" s="4">
        <v>5000000</v>
      </c>
    </row>
    <row r="344" spans="1:25" ht="19.5" customHeight="1" x14ac:dyDescent="0.25">
      <c r="A344" s="2" t="s">
        <v>869</v>
      </c>
      <c r="B344" s="2" t="s">
        <v>54</v>
      </c>
      <c r="C344" s="2" t="s">
        <v>54</v>
      </c>
      <c r="D344" s="2" t="s">
        <v>901</v>
      </c>
      <c r="E344" s="2" t="s">
        <v>902</v>
      </c>
      <c r="F344" s="3">
        <v>83390288.700000003</v>
      </c>
      <c r="G344" s="3">
        <v>87432526</v>
      </c>
      <c r="H344" s="3">
        <v>88000000</v>
      </c>
      <c r="I344" s="3">
        <v>85000000</v>
      </c>
      <c r="J344" s="3">
        <v>88000000</v>
      </c>
      <c r="K344" s="3">
        <v>85000000</v>
      </c>
      <c r="L344" s="4">
        <v>88000000</v>
      </c>
      <c r="M344" s="4">
        <v>85000000</v>
      </c>
      <c r="N344" s="4">
        <v>88000000</v>
      </c>
      <c r="O344" s="4">
        <v>85000000</v>
      </c>
      <c r="P344" s="4">
        <v>88000000</v>
      </c>
      <c r="Q344" s="4">
        <v>85000000</v>
      </c>
      <c r="R344" s="4">
        <v>88000000</v>
      </c>
      <c r="S344" s="4">
        <v>85000000</v>
      </c>
      <c r="T344" s="4">
        <v>88000000</v>
      </c>
      <c r="U344" s="4">
        <v>85000000</v>
      </c>
      <c r="V344" s="4">
        <v>88000000</v>
      </c>
      <c r="W344" s="4">
        <v>85000000</v>
      </c>
      <c r="X344" s="4">
        <v>88000000</v>
      </c>
      <c r="Y344" s="4">
        <v>85000000</v>
      </c>
    </row>
    <row r="345" spans="1:25" ht="19.5" customHeight="1" x14ac:dyDescent="0.25">
      <c r="A345" s="2" t="s">
        <v>869</v>
      </c>
      <c r="B345" s="2" t="s">
        <v>54</v>
      </c>
      <c r="C345" s="2" t="s">
        <v>54</v>
      </c>
      <c r="D345" s="2" t="s">
        <v>903</v>
      </c>
      <c r="E345" s="2" t="s">
        <v>904</v>
      </c>
      <c r="F345" s="3">
        <v>807216.13899999997</v>
      </c>
      <c r="G345" s="3">
        <v>1333637</v>
      </c>
      <c r="H345" s="3">
        <v>1413165</v>
      </c>
      <c r="I345" s="3">
        <v>1424551</v>
      </c>
      <c r="J345" s="3">
        <v>1413165</v>
      </c>
      <c r="K345" s="3">
        <v>1424551</v>
      </c>
      <c r="L345" s="4">
        <v>1413165</v>
      </c>
      <c r="M345" s="4">
        <v>1424551</v>
      </c>
      <c r="N345" s="4">
        <v>1413165</v>
      </c>
      <c r="O345" s="4">
        <v>1424551</v>
      </c>
      <c r="P345" s="4">
        <v>1413165</v>
      </c>
      <c r="Q345" s="4">
        <v>1424551</v>
      </c>
      <c r="R345" s="4">
        <v>1413165</v>
      </c>
      <c r="S345" s="4">
        <v>1424551</v>
      </c>
      <c r="T345" s="4">
        <v>1413165</v>
      </c>
      <c r="U345" s="4">
        <v>1424551</v>
      </c>
      <c r="V345" s="4">
        <v>1413165</v>
      </c>
      <c r="W345" s="4">
        <v>1424551</v>
      </c>
      <c r="X345" s="4">
        <v>1413165</v>
      </c>
      <c r="Y345" s="4">
        <v>1424551</v>
      </c>
    </row>
    <row r="346" spans="1:25" ht="19.5" customHeight="1" x14ac:dyDescent="0.25">
      <c r="A346" s="2" t="s">
        <v>869</v>
      </c>
      <c r="B346" s="2" t="s">
        <v>54</v>
      </c>
      <c r="C346" s="2" t="s">
        <v>54</v>
      </c>
      <c r="D346" s="2" t="s">
        <v>905</v>
      </c>
      <c r="E346" s="2" t="s">
        <v>906</v>
      </c>
      <c r="F346" s="4">
        <v>1901288.96</v>
      </c>
      <c r="G346" s="3">
        <v>2178704</v>
      </c>
      <c r="H346" s="3">
        <v>0</v>
      </c>
      <c r="I346" s="3">
        <v>0</v>
      </c>
      <c r="J346" s="3">
        <v>0</v>
      </c>
      <c r="K346" s="3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</row>
    <row r="347" spans="1:25" ht="19.5" customHeight="1" x14ac:dyDescent="0.25">
      <c r="A347" s="2" t="s">
        <v>869</v>
      </c>
      <c r="B347" s="2" t="s">
        <v>54</v>
      </c>
      <c r="C347" s="2" t="s">
        <v>54</v>
      </c>
      <c r="D347" s="2" t="s">
        <v>907</v>
      </c>
      <c r="E347" s="2" t="s">
        <v>908</v>
      </c>
      <c r="F347" s="3">
        <v>11166026.76</v>
      </c>
      <c r="G347" s="3">
        <v>11727621</v>
      </c>
      <c r="H347" s="3">
        <v>13527621</v>
      </c>
      <c r="I347" s="3">
        <v>13527621</v>
      </c>
      <c r="J347" s="3">
        <v>13527621</v>
      </c>
      <c r="K347" s="3">
        <v>13527621</v>
      </c>
      <c r="L347" s="4">
        <v>13527621</v>
      </c>
      <c r="M347" s="4">
        <v>13527621</v>
      </c>
      <c r="N347" s="4">
        <v>13527621</v>
      </c>
      <c r="O347" s="4">
        <v>13527621</v>
      </c>
      <c r="P347" s="4">
        <v>13527621</v>
      </c>
      <c r="Q347" s="4">
        <v>13527621</v>
      </c>
      <c r="R347" s="4">
        <v>13527621</v>
      </c>
      <c r="S347" s="4">
        <v>13527621</v>
      </c>
      <c r="T347" s="4">
        <v>13527621</v>
      </c>
      <c r="U347" s="4">
        <v>13527621</v>
      </c>
      <c r="V347" s="4">
        <v>13527621</v>
      </c>
      <c r="W347" s="4">
        <v>13527621</v>
      </c>
      <c r="X347" s="4">
        <v>13527621</v>
      </c>
      <c r="Y347" s="4">
        <v>13527621</v>
      </c>
    </row>
    <row r="348" spans="1:25" ht="19.5" customHeight="1" x14ac:dyDescent="0.25">
      <c r="A348" s="2" t="s">
        <v>869</v>
      </c>
      <c r="B348" s="2" t="s">
        <v>54</v>
      </c>
      <c r="C348" s="2" t="s">
        <v>54</v>
      </c>
      <c r="D348" s="2" t="s">
        <v>909</v>
      </c>
      <c r="E348" s="2" t="s">
        <v>910</v>
      </c>
      <c r="F348" s="4">
        <v>240676.07</v>
      </c>
      <c r="G348" s="3">
        <v>222121</v>
      </c>
      <c r="H348" s="3">
        <v>222121</v>
      </c>
      <c r="I348" s="3">
        <v>222121</v>
      </c>
      <c r="J348" s="3">
        <v>222121</v>
      </c>
      <c r="K348" s="3">
        <v>222121</v>
      </c>
      <c r="L348" s="4">
        <v>222121</v>
      </c>
      <c r="M348" s="4">
        <v>222121</v>
      </c>
      <c r="N348" s="4">
        <v>222121</v>
      </c>
      <c r="O348" s="4">
        <v>222121</v>
      </c>
      <c r="P348" s="4">
        <v>222121</v>
      </c>
      <c r="Q348" s="4">
        <v>222121</v>
      </c>
      <c r="R348" s="4">
        <v>222121</v>
      </c>
      <c r="S348" s="4">
        <v>222121</v>
      </c>
      <c r="T348" s="4">
        <v>222121</v>
      </c>
      <c r="U348" s="4">
        <v>222121</v>
      </c>
      <c r="V348" s="4">
        <v>222121</v>
      </c>
      <c r="W348" s="4">
        <v>222121</v>
      </c>
      <c r="X348" s="4">
        <v>222121</v>
      </c>
      <c r="Y348" s="4">
        <v>222121</v>
      </c>
    </row>
    <row r="349" spans="1:25" ht="19.5" customHeight="1" x14ac:dyDescent="0.25">
      <c r="A349" s="2" t="s">
        <v>869</v>
      </c>
      <c r="B349" s="2" t="s">
        <v>54</v>
      </c>
      <c r="C349" s="2" t="s">
        <v>54</v>
      </c>
      <c r="D349" s="2" t="s">
        <v>911</v>
      </c>
      <c r="E349" s="2" t="s">
        <v>912</v>
      </c>
      <c r="F349" s="3">
        <v>2000000</v>
      </c>
      <c r="G349" s="3">
        <v>2000000</v>
      </c>
      <c r="H349" s="3">
        <v>0</v>
      </c>
      <c r="I349" s="3">
        <v>0</v>
      </c>
      <c r="J349" s="3">
        <v>1500000</v>
      </c>
      <c r="K349" s="3">
        <v>1500000</v>
      </c>
      <c r="L349" s="4">
        <v>1500000</v>
      </c>
      <c r="M349" s="4">
        <v>1500000</v>
      </c>
      <c r="N349" s="4">
        <v>1500000</v>
      </c>
      <c r="O349" s="4">
        <v>1500000</v>
      </c>
      <c r="P349" s="4">
        <v>1500000</v>
      </c>
      <c r="Q349" s="4">
        <v>1500000</v>
      </c>
      <c r="R349" s="4">
        <v>1500000</v>
      </c>
      <c r="S349" s="4">
        <v>1500000</v>
      </c>
      <c r="T349" s="4">
        <v>1500000</v>
      </c>
      <c r="U349" s="4">
        <v>1500000</v>
      </c>
      <c r="V349" s="4">
        <v>2500000</v>
      </c>
      <c r="W349" s="4">
        <v>2500000</v>
      </c>
      <c r="X349" s="4">
        <v>2500000</v>
      </c>
      <c r="Y349" s="4">
        <v>2500000</v>
      </c>
    </row>
    <row r="350" spans="1:25" ht="19.5" customHeight="1" x14ac:dyDescent="0.25">
      <c r="A350" s="2" t="s">
        <v>869</v>
      </c>
      <c r="B350" s="2" t="s">
        <v>54</v>
      </c>
      <c r="C350" s="2" t="s">
        <v>54</v>
      </c>
      <c r="D350" s="2" t="s">
        <v>913</v>
      </c>
      <c r="E350" s="2" t="s">
        <v>914</v>
      </c>
      <c r="F350" s="3">
        <v>0</v>
      </c>
      <c r="G350" s="3">
        <v>0</v>
      </c>
      <c r="H350" s="3">
        <v>3789000</v>
      </c>
      <c r="I350" s="3">
        <v>9955000</v>
      </c>
      <c r="J350" s="3">
        <v>3789000</v>
      </c>
      <c r="K350" s="3">
        <v>9955000</v>
      </c>
      <c r="L350" s="4">
        <v>3789000</v>
      </c>
      <c r="M350" s="4">
        <v>9955000</v>
      </c>
      <c r="N350" s="4">
        <v>3789000</v>
      </c>
      <c r="O350" s="4">
        <v>9955000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</row>
    <row r="351" spans="1:25" ht="19.5" customHeight="1" x14ac:dyDescent="0.25">
      <c r="A351" s="2" t="s">
        <v>869</v>
      </c>
      <c r="B351" s="2" t="s">
        <v>54</v>
      </c>
      <c r="C351" s="2" t="s">
        <v>54</v>
      </c>
      <c r="D351" s="2" t="s">
        <v>915</v>
      </c>
      <c r="E351" s="2" t="s">
        <v>916</v>
      </c>
      <c r="F351" s="3">
        <v>18200867.359999999</v>
      </c>
      <c r="G351" s="3">
        <v>18513941</v>
      </c>
      <c r="H351" s="3">
        <v>49748264</v>
      </c>
      <c r="I351" s="3">
        <v>25474994</v>
      </c>
      <c r="J351" s="3">
        <v>49748264</v>
      </c>
      <c r="K351" s="3">
        <v>25474994</v>
      </c>
      <c r="L351" s="4">
        <v>49748264</v>
      </c>
      <c r="M351" s="4">
        <v>25474994</v>
      </c>
      <c r="N351" s="4">
        <v>49748264</v>
      </c>
      <c r="O351" s="4">
        <v>25474994</v>
      </c>
      <c r="P351" s="4">
        <v>24623264</v>
      </c>
      <c r="Q351" s="4">
        <v>25349994</v>
      </c>
      <c r="R351" s="4">
        <v>24623264</v>
      </c>
      <c r="S351" s="4">
        <v>25349994</v>
      </c>
      <c r="T351" s="4">
        <v>24623264</v>
      </c>
      <c r="U351" s="4">
        <v>25349994</v>
      </c>
      <c r="V351" s="4">
        <v>24623264</v>
      </c>
      <c r="W351" s="4">
        <v>25349994</v>
      </c>
      <c r="X351" s="4">
        <v>24623264</v>
      </c>
      <c r="Y351" s="4">
        <v>25349994</v>
      </c>
    </row>
    <row r="352" spans="1:25" ht="19.5" customHeight="1" x14ac:dyDescent="0.25">
      <c r="A352" s="2" t="s">
        <v>869</v>
      </c>
      <c r="B352" s="2" t="s">
        <v>243</v>
      </c>
      <c r="C352" s="2" t="s">
        <v>917</v>
      </c>
      <c r="D352" s="2" t="s">
        <v>918</v>
      </c>
      <c r="E352" s="2" t="s">
        <v>919</v>
      </c>
      <c r="F352" s="3">
        <v>11306537.460000001</v>
      </c>
      <c r="G352" s="3">
        <v>13100541</v>
      </c>
      <c r="H352" s="3">
        <v>13253998</v>
      </c>
      <c r="I352" s="3">
        <v>13700502</v>
      </c>
      <c r="J352" s="3">
        <v>13253998</v>
      </c>
      <c r="K352" s="3">
        <v>13700502</v>
      </c>
      <c r="L352" s="4">
        <v>13253998</v>
      </c>
      <c r="M352" s="4">
        <v>13700502</v>
      </c>
      <c r="N352" s="4">
        <v>13253998</v>
      </c>
      <c r="O352" s="4">
        <v>13700502</v>
      </c>
      <c r="P352" s="4">
        <v>13253998</v>
      </c>
      <c r="Q352" s="4">
        <v>13700502</v>
      </c>
      <c r="R352" s="4">
        <v>13253998</v>
      </c>
      <c r="S352" s="4">
        <v>13700502</v>
      </c>
      <c r="T352" s="4">
        <v>13253998</v>
      </c>
      <c r="U352" s="4">
        <v>13700502</v>
      </c>
      <c r="V352" s="4">
        <v>13253998</v>
      </c>
      <c r="W352" s="4">
        <v>13700502</v>
      </c>
      <c r="X352" s="4">
        <v>13253998</v>
      </c>
      <c r="Y352" s="4">
        <v>13700502</v>
      </c>
    </row>
    <row r="353" spans="1:25" ht="19.5" customHeight="1" x14ac:dyDescent="0.25">
      <c r="A353" s="2" t="s">
        <v>869</v>
      </c>
      <c r="B353" s="2" t="s">
        <v>243</v>
      </c>
      <c r="C353" s="2" t="s">
        <v>920</v>
      </c>
      <c r="D353" s="2" t="s">
        <v>921</v>
      </c>
      <c r="E353" s="2" t="s">
        <v>922</v>
      </c>
      <c r="F353" s="3">
        <v>635244.91</v>
      </c>
      <c r="G353" s="3">
        <v>975025</v>
      </c>
      <c r="H353" s="3">
        <v>989973</v>
      </c>
      <c r="I353" s="3">
        <v>1013812</v>
      </c>
      <c r="J353" s="3">
        <v>989973</v>
      </c>
      <c r="K353" s="3">
        <v>1013812</v>
      </c>
      <c r="L353" s="4">
        <v>989973</v>
      </c>
      <c r="M353" s="4">
        <v>1013812</v>
      </c>
      <c r="N353" s="4">
        <v>989973</v>
      </c>
      <c r="O353" s="4">
        <v>1013812</v>
      </c>
      <c r="P353" s="4">
        <v>989973</v>
      </c>
      <c r="Q353" s="4">
        <v>1013812</v>
      </c>
      <c r="R353" s="4">
        <v>989973</v>
      </c>
      <c r="S353" s="4">
        <v>1013812</v>
      </c>
      <c r="T353" s="4">
        <v>989973</v>
      </c>
      <c r="U353" s="4">
        <v>1013812</v>
      </c>
      <c r="V353" s="4">
        <v>989973</v>
      </c>
      <c r="W353" s="4">
        <v>1013812</v>
      </c>
      <c r="X353" s="4">
        <v>989973</v>
      </c>
      <c r="Y353" s="4">
        <v>1013812</v>
      </c>
    </row>
    <row r="354" spans="1:25" ht="19.5" customHeight="1" x14ac:dyDescent="0.25">
      <c r="A354" s="2" t="s">
        <v>869</v>
      </c>
      <c r="B354" s="2" t="s">
        <v>243</v>
      </c>
      <c r="C354" s="2" t="s">
        <v>923</v>
      </c>
      <c r="D354" s="2" t="s">
        <v>924</v>
      </c>
      <c r="E354" s="2" t="s">
        <v>925</v>
      </c>
      <c r="F354" s="3">
        <v>16709394.890000001</v>
      </c>
      <c r="G354" s="3">
        <v>21460060</v>
      </c>
      <c r="H354" s="3">
        <v>25686811</v>
      </c>
      <c r="I354" s="3">
        <v>25866307</v>
      </c>
      <c r="J354" s="3">
        <v>25686811</v>
      </c>
      <c r="K354" s="3">
        <v>25866307</v>
      </c>
      <c r="L354" s="4">
        <v>25686811</v>
      </c>
      <c r="M354" s="4">
        <v>25866307</v>
      </c>
      <c r="N354" s="4">
        <v>25686811</v>
      </c>
      <c r="O354" s="4">
        <v>25866307</v>
      </c>
      <c r="P354" s="4">
        <v>25686811</v>
      </c>
      <c r="Q354" s="4">
        <v>25866307</v>
      </c>
      <c r="R354" s="4">
        <v>25686811</v>
      </c>
      <c r="S354" s="4">
        <v>25866307</v>
      </c>
      <c r="T354" s="4">
        <v>25686811</v>
      </c>
      <c r="U354" s="4">
        <v>25866307</v>
      </c>
      <c r="V354" s="4">
        <v>25686811</v>
      </c>
      <c r="W354" s="4">
        <v>25866307</v>
      </c>
      <c r="X354" s="4">
        <v>25686811</v>
      </c>
      <c r="Y354" s="4">
        <v>25866307</v>
      </c>
    </row>
    <row r="355" spans="1:25" ht="19.5" customHeight="1" x14ac:dyDescent="0.25">
      <c r="A355" s="2" t="s">
        <v>869</v>
      </c>
      <c r="B355" s="2" t="s">
        <v>243</v>
      </c>
      <c r="C355" s="2" t="s">
        <v>926</v>
      </c>
      <c r="D355" s="2" t="s">
        <v>927</v>
      </c>
      <c r="E355" s="2" t="s">
        <v>928</v>
      </c>
      <c r="F355" s="3">
        <v>14989676.93</v>
      </c>
      <c r="G355" s="3">
        <v>23315522</v>
      </c>
      <c r="H355" s="3">
        <v>26492047</v>
      </c>
      <c r="I355" s="3">
        <v>28792538</v>
      </c>
      <c r="J355" s="3">
        <v>26492047</v>
      </c>
      <c r="K355" s="3">
        <v>28792538</v>
      </c>
      <c r="L355" s="4">
        <v>26492047</v>
      </c>
      <c r="M355" s="4">
        <v>28792538</v>
      </c>
      <c r="N355" s="4">
        <v>26492047</v>
      </c>
      <c r="O355" s="4">
        <v>28792538</v>
      </c>
      <c r="P355" s="4">
        <v>26492047</v>
      </c>
      <c r="Q355" s="4">
        <v>28792538</v>
      </c>
      <c r="R355" s="4">
        <v>26492047</v>
      </c>
      <c r="S355" s="4">
        <v>28792538</v>
      </c>
      <c r="T355" s="4">
        <v>26492047</v>
      </c>
      <c r="U355" s="4">
        <v>28792538</v>
      </c>
      <c r="V355" s="4">
        <v>26492047</v>
      </c>
      <c r="W355" s="4">
        <v>28792538</v>
      </c>
      <c r="X355" s="4">
        <v>26492047</v>
      </c>
      <c r="Y355" s="4">
        <v>28792538</v>
      </c>
    </row>
    <row r="356" spans="1:25" ht="19.5" customHeight="1" x14ac:dyDescent="0.25">
      <c r="A356" s="2" t="s">
        <v>869</v>
      </c>
      <c r="B356" s="2" t="s">
        <v>243</v>
      </c>
      <c r="C356" s="2" t="s">
        <v>929</v>
      </c>
      <c r="D356" s="2" t="s">
        <v>930</v>
      </c>
      <c r="E356" s="2" t="s">
        <v>931</v>
      </c>
      <c r="F356" s="3">
        <v>15404697.720000001</v>
      </c>
      <c r="G356" s="3">
        <v>18718045</v>
      </c>
      <c r="H356" s="3">
        <v>18718045</v>
      </c>
      <c r="I356" s="3">
        <v>19178890</v>
      </c>
      <c r="J356" s="3">
        <v>18718045</v>
      </c>
      <c r="K356" s="3">
        <v>19178890</v>
      </c>
      <c r="L356" s="4">
        <v>18718045</v>
      </c>
      <c r="M356" s="4">
        <v>19178890</v>
      </c>
      <c r="N356" s="4">
        <v>18718045</v>
      </c>
      <c r="O356" s="4">
        <v>19178890</v>
      </c>
      <c r="P356" s="4">
        <v>18718045</v>
      </c>
      <c r="Q356" s="4">
        <v>19178890</v>
      </c>
      <c r="R356" s="4">
        <v>18718045</v>
      </c>
      <c r="S356" s="4">
        <v>19178890</v>
      </c>
      <c r="T356" s="4">
        <v>18718045</v>
      </c>
      <c r="U356" s="4">
        <v>19178890</v>
      </c>
      <c r="V356" s="4">
        <v>18718045</v>
      </c>
      <c r="W356" s="4">
        <v>19178890</v>
      </c>
      <c r="X356" s="4">
        <v>18718045</v>
      </c>
      <c r="Y356" s="4">
        <v>19178890</v>
      </c>
    </row>
    <row r="357" spans="1:25" ht="19.5" customHeight="1" x14ac:dyDescent="0.25">
      <c r="A357" s="2" t="s">
        <v>869</v>
      </c>
      <c r="B357" s="2" t="s">
        <v>243</v>
      </c>
      <c r="C357" s="2" t="s">
        <v>929</v>
      </c>
      <c r="D357" s="2" t="s">
        <v>932</v>
      </c>
      <c r="E357" s="2" t="s">
        <v>933</v>
      </c>
      <c r="F357" s="3">
        <v>417883.33</v>
      </c>
      <c r="G357" s="3">
        <v>615521</v>
      </c>
      <c r="H357" s="3">
        <v>615521</v>
      </c>
      <c r="I357" s="3">
        <v>615521</v>
      </c>
      <c r="J357" s="3">
        <v>615521</v>
      </c>
      <c r="K357" s="3">
        <v>615521</v>
      </c>
      <c r="L357" s="4">
        <v>615521</v>
      </c>
      <c r="M357" s="4">
        <v>615521</v>
      </c>
      <c r="N357" s="4">
        <v>615521</v>
      </c>
      <c r="O357" s="4">
        <v>615521</v>
      </c>
      <c r="P357" s="4">
        <v>615521</v>
      </c>
      <c r="Q357" s="4">
        <v>615521</v>
      </c>
      <c r="R357" s="4">
        <v>615521</v>
      </c>
      <c r="S357" s="4">
        <v>615521</v>
      </c>
      <c r="T357" s="4">
        <v>615521</v>
      </c>
      <c r="U357" s="4">
        <v>615521</v>
      </c>
      <c r="V357" s="4">
        <v>615521</v>
      </c>
      <c r="W357" s="4">
        <v>615521</v>
      </c>
      <c r="X357" s="4">
        <v>615521</v>
      </c>
      <c r="Y357" s="4">
        <v>615521</v>
      </c>
    </row>
    <row r="358" spans="1:25" ht="19.5" customHeight="1" x14ac:dyDescent="0.25">
      <c r="A358" s="2" t="s">
        <v>869</v>
      </c>
      <c r="B358" s="2" t="s">
        <v>243</v>
      </c>
      <c r="C358" s="2" t="s">
        <v>934</v>
      </c>
      <c r="D358" s="2" t="s">
        <v>935</v>
      </c>
      <c r="E358" s="2" t="s">
        <v>936</v>
      </c>
      <c r="F358" s="3">
        <v>2932535.14</v>
      </c>
      <c r="G358" s="3">
        <v>4385893</v>
      </c>
      <c r="H358" s="3">
        <v>4385893</v>
      </c>
      <c r="I358" s="3">
        <v>4385893</v>
      </c>
      <c r="J358" s="3">
        <v>4385893</v>
      </c>
      <c r="K358" s="3">
        <v>4385893</v>
      </c>
      <c r="L358" s="4">
        <v>4385893</v>
      </c>
      <c r="M358" s="4">
        <v>4385893</v>
      </c>
      <c r="N358" s="4">
        <v>4385893</v>
      </c>
      <c r="O358" s="4">
        <v>4385893</v>
      </c>
      <c r="P358" s="4">
        <v>4385893</v>
      </c>
      <c r="Q358" s="4">
        <v>4385893</v>
      </c>
      <c r="R358" s="4">
        <v>4385893</v>
      </c>
      <c r="S358" s="4">
        <v>4385893</v>
      </c>
      <c r="T358" s="4">
        <v>4385893</v>
      </c>
      <c r="U358" s="4">
        <v>4385893</v>
      </c>
      <c r="V358" s="4">
        <v>4385893</v>
      </c>
      <c r="W358" s="4">
        <v>4385893</v>
      </c>
      <c r="X358" s="4">
        <v>4385893</v>
      </c>
      <c r="Y358" s="4">
        <v>4385893</v>
      </c>
    </row>
    <row r="359" spans="1:25" ht="19.5" customHeight="1" x14ac:dyDescent="0.25">
      <c r="A359" s="2" t="s">
        <v>869</v>
      </c>
      <c r="B359" s="2" t="s">
        <v>243</v>
      </c>
      <c r="C359" s="2" t="s">
        <v>937</v>
      </c>
      <c r="D359" s="2" t="s">
        <v>938</v>
      </c>
      <c r="E359" s="2" t="s">
        <v>939</v>
      </c>
      <c r="F359" s="3">
        <v>9815729.2100000009</v>
      </c>
      <c r="G359" s="3">
        <v>15389803</v>
      </c>
      <c r="H359" s="3">
        <v>17904121</v>
      </c>
      <c r="I359" s="3">
        <v>19381381</v>
      </c>
      <c r="J359" s="3">
        <v>17904121</v>
      </c>
      <c r="K359" s="3">
        <v>19381381</v>
      </c>
      <c r="L359" s="4">
        <v>17904121</v>
      </c>
      <c r="M359" s="4">
        <v>19381381</v>
      </c>
      <c r="N359" s="4">
        <v>17904121</v>
      </c>
      <c r="O359" s="4">
        <v>19381381</v>
      </c>
      <c r="P359" s="4">
        <v>17904121</v>
      </c>
      <c r="Q359" s="4">
        <v>19381381</v>
      </c>
      <c r="R359" s="4">
        <v>17904121</v>
      </c>
      <c r="S359" s="4">
        <v>19381381</v>
      </c>
      <c r="T359" s="4">
        <v>17904121</v>
      </c>
      <c r="U359" s="4">
        <v>19381381</v>
      </c>
      <c r="V359" s="4">
        <v>17904121</v>
      </c>
      <c r="W359" s="4">
        <v>19381381</v>
      </c>
      <c r="X359" s="4">
        <v>17904121</v>
      </c>
      <c r="Y359" s="4">
        <v>19381381</v>
      </c>
    </row>
    <row r="360" spans="1:25" ht="19.5" customHeight="1" x14ac:dyDescent="0.25">
      <c r="A360" s="2" t="s">
        <v>869</v>
      </c>
      <c r="B360" s="2" t="s">
        <v>243</v>
      </c>
      <c r="C360" s="2" t="s">
        <v>940</v>
      </c>
      <c r="D360" s="2" t="s">
        <v>941</v>
      </c>
      <c r="E360" s="2" t="s">
        <v>942</v>
      </c>
      <c r="F360" s="3">
        <v>40512017.810000002</v>
      </c>
      <c r="G360" s="3">
        <v>49384799</v>
      </c>
      <c r="H360" s="3">
        <v>53043664</v>
      </c>
      <c r="I360" s="3">
        <v>53323205</v>
      </c>
      <c r="J360" s="3">
        <v>53043664</v>
      </c>
      <c r="K360" s="3">
        <v>53323205</v>
      </c>
      <c r="L360" s="4">
        <v>53043664</v>
      </c>
      <c r="M360" s="4">
        <v>53323205</v>
      </c>
      <c r="N360" s="4">
        <v>53043664</v>
      </c>
      <c r="O360" s="4">
        <v>53323205</v>
      </c>
      <c r="P360" s="4">
        <v>53043664</v>
      </c>
      <c r="Q360" s="4">
        <v>53323205</v>
      </c>
      <c r="R360" s="4">
        <v>53043664</v>
      </c>
      <c r="S360" s="4">
        <v>53323205</v>
      </c>
      <c r="T360" s="4">
        <v>53043664</v>
      </c>
      <c r="U360" s="4">
        <v>53323205</v>
      </c>
      <c r="V360" s="4">
        <v>53043664</v>
      </c>
      <c r="W360" s="4">
        <v>53323205</v>
      </c>
      <c r="X360" s="4">
        <v>53043664</v>
      </c>
      <c r="Y360" s="4">
        <v>53323205</v>
      </c>
    </row>
    <row r="361" spans="1:25" ht="19.5" customHeight="1" x14ac:dyDescent="0.25">
      <c r="A361" s="2" t="s">
        <v>869</v>
      </c>
      <c r="B361" s="2" t="s">
        <v>243</v>
      </c>
      <c r="C361" s="2" t="s">
        <v>943</v>
      </c>
      <c r="D361" s="2" t="s">
        <v>944</v>
      </c>
      <c r="E361" s="2" t="s">
        <v>945</v>
      </c>
      <c r="F361" s="3">
        <v>138722336.47999999</v>
      </c>
      <c r="G361" s="3">
        <v>162665094</v>
      </c>
      <c r="H361" s="3">
        <v>168044912</v>
      </c>
      <c r="I361" s="3">
        <v>173182510</v>
      </c>
      <c r="J361" s="3">
        <v>168044912</v>
      </c>
      <c r="K361" s="3">
        <v>173182510</v>
      </c>
      <c r="L361" s="4">
        <v>168044912</v>
      </c>
      <c r="M361" s="4">
        <v>173182510</v>
      </c>
      <c r="N361" s="4">
        <v>168044912</v>
      </c>
      <c r="O361" s="4">
        <v>173182510</v>
      </c>
      <c r="P361" s="4">
        <v>168044912</v>
      </c>
      <c r="Q361" s="4">
        <v>173182510</v>
      </c>
      <c r="R361" s="4">
        <v>168044912</v>
      </c>
      <c r="S361" s="4">
        <v>173182510</v>
      </c>
      <c r="T361" s="4">
        <v>168044912</v>
      </c>
      <c r="U361" s="4">
        <v>173182510</v>
      </c>
      <c r="V361" s="4">
        <v>168044912</v>
      </c>
      <c r="W361" s="4">
        <v>173182510</v>
      </c>
      <c r="X361" s="4">
        <v>168044912</v>
      </c>
      <c r="Y361" s="4">
        <v>173182510</v>
      </c>
    </row>
    <row r="362" spans="1:25" ht="19.5" customHeight="1" x14ac:dyDescent="0.25">
      <c r="A362" s="2" t="s">
        <v>869</v>
      </c>
      <c r="B362" s="2" t="s">
        <v>243</v>
      </c>
      <c r="C362" s="2" t="s">
        <v>946</v>
      </c>
      <c r="D362" s="2" t="s">
        <v>947</v>
      </c>
      <c r="E362" s="2" t="s">
        <v>948</v>
      </c>
      <c r="F362" s="3">
        <v>1099785.42</v>
      </c>
      <c r="G362" s="3">
        <v>1264515</v>
      </c>
      <c r="H362" s="3">
        <v>0</v>
      </c>
      <c r="I362" s="3">
        <v>0</v>
      </c>
      <c r="J362" s="3">
        <v>0</v>
      </c>
      <c r="K362" s="3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</row>
    <row r="363" spans="1:25" ht="19.5" customHeight="1" x14ac:dyDescent="0.25">
      <c r="A363" s="2" t="s">
        <v>869</v>
      </c>
      <c r="B363" s="2" t="s">
        <v>243</v>
      </c>
      <c r="C363" s="2" t="s">
        <v>949</v>
      </c>
      <c r="D363" s="2" t="s">
        <v>950</v>
      </c>
      <c r="E363" s="2" t="s">
        <v>951</v>
      </c>
      <c r="F363" s="3">
        <v>25539824.510000002</v>
      </c>
      <c r="G363" s="3">
        <v>28295851</v>
      </c>
      <c r="H363" s="3">
        <v>29507055</v>
      </c>
      <c r="I363" s="3">
        <v>28719641</v>
      </c>
      <c r="J363" s="3">
        <v>29507055</v>
      </c>
      <c r="K363" s="3">
        <v>28719641</v>
      </c>
      <c r="L363" s="4">
        <v>29507055</v>
      </c>
      <c r="M363" s="4">
        <v>28719641</v>
      </c>
      <c r="N363" s="4">
        <v>29507055</v>
      </c>
      <c r="O363" s="4">
        <v>28719641</v>
      </c>
      <c r="P363" s="4">
        <v>29507055</v>
      </c>
      <c r="Q363" s="4">
        <v>28719641</v>
      </c>
      <c r="R363" s="4">
        <v>29507055</v>
      </c>
      <c r="S363" s="4">
        <v>28719641</v>
      </c>
      <c r="T363" s="4">
        <v>29507055</v>
      </c>
      <c r="U363" s="4">
        <v>28719641</v>
      </c>
      <c r="V363" s="4">
        <v>29507055</v>
      </c>
      <c r="W363" s="4">
        <v>28719641</v>
      </c>
      <c r="X363" s="4">
        <v>29507055</v>
      </c>
      <c r="Y363" s="4">
        <v>28719641</v>
      </c>
    </row>
    <row r="364" spans="1:25" ht="19.5" customHeight="1" x14ac:dyDescent="0.25">
      <c r="A364" s="2" t="s">
        <v>869</v>
      </c>
      <c r="B364" s="2" t="s">
        <v>243</v>
      </c>
      <c r="C364" s="2" t="s">
        <v>952</v>
      </c>
      <c r="D364" s="2" t="s">
        <v>953</v>
      </c>
      <c r="E364" s="2" t="s">
        <v>954</v>
      </c>
      <c r="F364" s="3">
        <v>20163796.460000001</v>
      </c>
      <c r="G364" s="3">
        <v>32602191</v>
      </c>
      <c r="H364" s="3">
        <v>30073302</v>
      </c>
      <c r="I364" s="3">
        <v>32179505</v>
      </c>
      <c r="J364" s="3">
        <v>30073302</v>
      </c>
      <c r="K364" s="3">
        <v>32179505</v>
      </c>
      <c r="L364" s="4">
        <v>30073302</v>
      </c>
      <c r="M364" s="4">
        <v>32179505</v>
      </c>
      <c r="N364" s="4">
        <v>30073302</v>
      </c>
      <c r="O364" s="4">
        <v>32179505</v>
      </c>
      <c r="P364" s="4">
        <v>30073302</v>
      </c>
      <c r="Q364" s="4">
        <v>32179505</v>
      </c>
      <c r="R364" s="4">
        <v>30073302</v>
      </c>
      <c r="S364" s="4">
        <v>32179505</v>
      </c>
      <c r="T364" s="4">
        <v>30073302</v>
      </c>
      <c r="U364" s="4">
        <v>32179505</v>
      </c>
      <c r="V364" s="4">
        <v>30073302</v>
      </c>
      <c r="W364" s="4">
        <v>32179505</v>
      </c>
      <c r="X364" s="4">
        <v>30073302</v>
      </c>
      <c r="Y364" s="4">
        <v>32179505</v>
      </c>
    </row>
    <row r="365" spans="1:25" ht="19.5" customHeight="1" x14ac:dyDescent="0.25">
      <c r="A365" s="2" t="s">
        <v>869</v>
      </c>
      <c r="B365" s="2" t="s">
        <v>243</v>
      </c>
      <c r="C365" s="2" t="s">
        <v>952</v>
      </c>
      <c r="D365" s="2" t="s">
        <v>955</v>
      </c>
      <c r="E365" s="2" t="s">
        <v>956</v>
      </c>
      <c r="F365" s="3">
        <v>22393113.68</v>
      </c>
      <c r="G365" s="4">
        <v>15351924</v>
      </c>
      <c r="H365" s="4">
        <v>15351924</v>
      </c>
      <c r="I365" s="4">
        <v>15351924</v>
      </c>
      <c r="J365" s="4">
        <v>15351924</v>
      </c>
      <c r="K365" s="4">
        <v>15351924</v>
      </c>
      <c r="L365" s="4">
        <v>15351924</v>
      </c>
      <c r="M365" s="4">
        <v>15351924</v>
      </c>
      <c r="N365" s="4">
        <v>15351924</v>
      </c>
      <c r="O365" s="4">
        <v>15351924</v>
      </c>
      <c r="P365" s="4">
        <v>15351924</v>
      </c>
      <c r="Q365" s="4">
        <v>15351924</v>
      </c>
      <c r="R365" s="4">
        <v>15351924</v>
      </c>
      <c r="S365" s="4">
        <v>15351924</v>
      </c>
      <c r="T365" s="4">
        <v>15351924</v>
      </c>
      <c r="U365" s="4">
        <v>15351924</v>
      </c>
      <c r="V365" s="4">
        <v>15351924</v>
      </c>
      <c r="W365" s="4">
        <v>15351924</v>
      </c>
      <c r="X365" s="4">
        <v>15351924</v>
      </c>
      <c r="Y365" s="4">
        <v>15351924</v>
      </c>
    </row>
    <row r="366" spans="1:25" ht="19.5" customHeight="1" x14ac:dyDescent="0.25">
      <c r="A366" s="2" t="s">
        <v>869</v>
      </c>
      <c r="B366" s="2" t="s">
        <v>243</v>
      </c>
      <c r="C366" s="2" t="s">
        <v>957</v>
      </c>
      <c r="D366" s="2" t="s">
        <v>958</v>
      </c>
      <c r="E366" s="2" t="s">
        <v>959</v>
      </c>
      <c r="F366" s="3">
        <v>1433851.03</v>
      </c>
      <c r="G366" s="3">
        <v>1662341</v>
      </c>
      <c r="H366" s="3">
        <v>1664257</v>
      </c>
      <c r="I366" s="3">
        <v>1679401</v>
      </c>
      <c r="J366" s="3">
        <v>1664257</v>
      </c>
      <c r="K366" s="3">
        <v>1679401</v>
      </c>
      <c r="L366" s="4">
        <v>1664257</v>
      </c>
      <c r="M366" s="4">
        <v>1679401</v>
      </c>
      <c r="N366" s="4">
        <v>1664257</v>
      </c>
      <c r="O366" s="4">
        <v>1679401</v>
      </c>
      <c r="P366" s="4">
        <v>1664257</v>
      </c>
      <c r="Q366" s="4">
        <v>1679401</v>
      </c>
      <c r="R366" s="4">
        <v>1664257</v>
      </c>
      <c r="S366" s="4">
        <v>1679401</v>
      </c>
      <c r="T366" s="4">
        <v>1664257</v>
      </c>
      <c r="U366" s="4">
        <v>1679401</v>
      </c>
      <c r="V366" s="4">
        <v>1664257</v>
      </c>
      <c r="W366" s="4">
        <v>1679401</v>
      </c>
      <c r="X366" s="4">
        <v>1664257</v>
      </c>
      <c r="Y366" s="4">
        <v>1679401</v>
      </c>
    </row>
    <row r="367" spans="1:25" ht="19.5" customHeight="1" x14ac:dyDescent="0.25">
      <c r="A367" s="2" t="s">
        <v>869</v>
      </c>
      <c r="B367" s="2" t="s">
        <v>243</v>
      </c>
      <c r="C367" s="2" t="s">
        <v>960</v>
      </c>
      <c r="D367" s="2" t="s">
        <v>961</v>
      </c>
      <c r="E367" s="2" t="s">
        <v>962</v>
      </c>
      <c r="F367" s="3">
        <v>13702501.17</v>
      </c>
      <c r="G367" s="3">
        <v>5736219</v>
      </c>
      <c r="H367" s="3">
        <v>2800000</v>
      </c>
      <c r="I367" s="3">
        <v>2800000</v>
      </c>
      <c r="J367" s="3">
        <v>2800000</v>
      </c>
      <c r="K367" s="3">
        <v>2800000</v>
      </c>
      <c r="L367" s="4">
        <v>2800000</v>
      </c>
      <c r="M367" s="4">
        <v>2800000</v>
      </c>
      <c r="N367" s="4">
        <v>2800000</v>
      </c>
      <c r="O367" s="4">
        <v>2800000</v>
      </c>
      <c r="P367" s="4">
        <v>2800000</v>
      </c>
      <c r="Q367" s="4">
        <v>2800000</v>
      </c>
      <c r="R367" s="4">
        <v>2800000</v>
      </c>
      <c r="S367" s="4">
        <v>2800000</v>
      </c>
      <c r="T367" s="4">
        <v>2800000</v>
      </c>
      <c r="U367" s="4">
        <v>2800000</v>
      </c>
      <c r="V367" s="4">
        <v>2800000</v>
      </c>
      <c r="W367" s="4">
        <v>2800000</v>
      </c>
      <c r="X367" s="4">
        <v>2800000</v>
      </c>
      <c r="Y367" s="4">
        <v>2800000</v>
      </c>
    </row>
    <row r="368" spans="1:25" ht="19.5" customHeight="1" x14ac:dyDescent="0.25">
      <c r="A368" s="2" t="s">
        <v>869</v>
      </c>
      <c r="B368" s="2" t="s">
        <v>243</v>
      </c>
      <c r="C368" s="2" t="s">
        <v>963</v>
      </c>
      <c r="D368" s="2" t="s">
        <v>964</v>
      </c>
      <c r="E368" s="2" t="s">
        <v>965</v>
      </c>
      <c r="F368" s="3">
        <v>23950212.379999999</v>
      </c>
      <c r="G368" s="3">
        <v>26484493</v>
      </c>
      <c r="H368" s="3">
        <v>29045797</v>
      </c>
      <c r="I368" s="3">
        <v>30882138</v>
      </c>
      <c r="J368" s="3">
        <v>29045797</v>
      </c>
      <c r="K368" s="3">
        <v>30882138</v>
      </c>
      <c r="L368" s="4">
        <v>29045797</v>
      </c>
      <c r="M368" s="4">
        <v>30882138</v>
      </c>
      <c r="N368" s="4">
        <v>29045797</v>
      </c>
      <c r="O368" s="4">
        <v>30882138</v>
      </c>
      <c r="P368" s="4">
        <v>29045797</v>
      </c>
      <c r="Q368" s="4">
        <v>30882138</v>
      </c>
      <c r="R368" s="4">
        <v>29045797</v>
      </c>
      <c r="S368" s="4">
        <v>30882138</v>
      </c>
      <c r="T368" s="4">
        <v>29045797</v>
      </c>
      <c r="U368" s="4">
        <v>30882138</v>
      </c>
      <c r="V368" s="4">
        <v>29045797</v>
      </c>
      <c r="W368" s="4">
        <v>30882138</v>
      </c>
      <c r="X368" s="4">
        <v>29045797</v>
      </c>
      <c r="Y368" s="4">
        <v>30882138</v>
      </c>
    </row>
    <row r="369" spans="1:25" ht="19.5" customHeight="1" x14ac:dyDescent="0.25">
      <c r="A369" s="2" t="s">
        <v>869</v>
      </c>
      <c r="B369" s="2" t="s">
        <v>243</v>
      </c>
      <c r="C369" s="2" t="s">
        <v>966</v>
      </c>
      <c r="D369" s="2" t="s">
        <v>967</v>
      </c>
      <c r="E369" s="2" t="s">
        <v>968</v>
      </c>
      <c r="F369" s="3">
        <v>42374664.520999998</v>
      </c>
      <c r="G369" s="3">
        <v>58807701</v>
      </c>
      <c r="H369" s="3">
        <v>58738136</v>
      </c>
      <c r="I369" s="3">
        <v>58434886</v>
      </c>
      <c r="J369" s="3">
        <v>58738136</v>
      </c>
      <c r="K369" s="3">
        <v>58434886</v>
      </c>
      <c r="L369" s="4">
        <v>58738136</v>
      </c>
      <c r="M369" s="4">
        <v>58434886</v>
      </c>
      <c r="N369" s="4">
        <v>58738136</v>
      </c>
      <c r="O369" s="4">
        <v>58434886</v>
      </c>
      <c r="P369" s="4">
        <v>58738136</v>
      </c>
      <c r="Q369" s="4">
        <v>58434886</v>
      </c>
      <c r="R369" s="4">
        <v>58738136</v>
      </c>
      <c r="S369" s="4">
        <v>58434886</v>
      </c>
      <c r="T369" s="4">
        <v>58738136</v>
      </c>
      <c r="U369" s="4">
        <v>58434886</v>
      </c>
      <c r="V369" s="4">
        <v>58738136</v>
      </c>
      <c r="W369" s="4">
        <v>58434886</v>
      </c>
      <c r="X369" s="4">
        <v>58738136</v>
      </c>
      <c r="Y369" s="4">
        <v>58434886</v>
      </c>
    </row>
    <row r="370" spans="1:25" ht="19.5" customHeight="1" x14ac:dyDescent="0.25">
      <c r="A370" s="2" t="s">
        <v>869</v>
      </c>
      <c r="B370" s="2" t="s">
        <v>243</v>
      </c>
      <c r="C370" s="2" t="s">
        <v>966</v>
      </c>
      <c r="D370" s="2" t="s">
        <v>969</v>
      </c>
      <c r="E370" s="2" t="s">
        <v>970</v>
      </c>
      <c r="F370" s="3">
        <v>6342273.0999999996</v>
      </c>
      <c r="G370" s="3">
        <v>6359539</v>
      </c>
      <c r="H370" s="3">
        <v>6064809</v>
      </c>
      <c r="I370" s="3">
        <v>6146812</v>
      </c>
      <c r="J370" s="3">
        <v>6064809</v>
      </c>
      <c r="K370" s="3">
        <v>6146812</v>
      </c>
      <c r="L370" s="4">
        <v>6064809</v>
      </c>
      <c r="M370" s="4">
        <v>6146812</v>
      </c>
      <c r="N370" s="4">
        <v>6064809</v>
      </c>
      <c r="O370" s="4">
        <v>6146812</v>
      </c>
      <c r="P370" s="4">
        <v>6064809</v>
      </c>
      <c r="Q370" s="4">
        <v>6146812</v>
      </c>
      <c r="R370" s="4">
        <v>6064809</v>
      </c>
      <c r="S370" s="4">
        <v>6146812</v>
      </c>
      <c r="T370" s="4">
        <v>6064809</v>
      </c>
      <c r="U370" s="4">
        <v>6146812</v>
      </c>
      <c r="V370" s="4">
        <v>6064809</v>
      </c>
      <c r="W370" s="4">
        <v>6146812</v>
      </c>
      <c r="X370" s="4">
        <v>6064809</v>
      </c>
      <c r="Y370" s="4">
        <v>6146812</v>
      </c>
    </row>
    <row r="371" spans="1:25" ht="19.5" customHeight="1" x14ac:dyDescent="0.25">
      <c r="A371" s="2" t="s">
        <v>869</v>
      </c>
      <c r="B371" s="2" t="s">
        <v>243</v>
      </c>
      <c r="C371" s="2" t="s">
        <v>971</v>
      </c>
      <c r="D371" s="2" t="s">
        <v>972</v>
      </c>
      <c r="E371" s="2" t="s">
        <v>973</v>
      </c>
      <c r="F371" s="3">
        <v>3144834.19</v>
      </c>
      <c r="G371" s="3">
        <v>8723135</v>
      </c>
      <c r="H371" s="3">
        <v>4989466</v>
      </c>
      <c r="I371" s="3">
        <v>5111024</v>
      </c>
      <c r="J371" s="3">
        <v>4989466</v>
      </c>
      <c r="K371" s="3">
        <v>5111024</v>
      </c>
      <c r="L371" s="4">
        <v>4989466</v>
      </c>
      <c r="M371" s="4">
        <v>5111024</v>
      </c>
      <c r="N371" s="4">
        <v>4989466</v>
      </c>
      <c r="O371" s="4">
        <v>5111024</v>
      </c>
      <c r="P371" s="4">
        <v>4989466</v>
      </c>
      <c r="Q371" s="4">
        <v>5111024</v>
      </c>
      <c r="R371" s="4">
        <v>4989466</v>
      </c>
      <c r="S371" s="4">
        <v>5111024</v>
      </c>
      <c r="T371" s="4">
        <v>4989466</v>
      </c>
      <c r="U371" s="4">
        <v>5111024</v>
      </c>
      <c r="V371" s="4">
        <v>4989466</v>
      </c>
      <c r="W371" s="4">
        <v>5111024</v>
      </c>
      <c r="X371" s="4">
        <v>4989466</v>
      </c>
      <c r="Y371" s="4">
        <v>5111024</v>
      </c>
    </row>
    <row r="372" spans="1:25" ht="19.5" customHeight="1" x14ac:dyDescent="0.25">
      <c r="A372" s="2" t="s">
        <v>869</v>
      </c>
      <c r="B372" s="2" t="s">
        <v>243</v>
      </c>
      <c r="C372" s="2" t="s">
        <v>974</v>
      </c>
      <c r="D372" s="2" t="s">
        <v>975</v>
      </c>
      <c r="E372" s="2" t="s">
        <v>976</v>
      </c>
      <c r="F372" s="3">
        <v>2241766.64</v>
      </c>
      <c r="G372" s="3">
        <v>2862000</v>
      </c>
      <c r="H372" s="3">
        <v>1675000</v>
      </c>
      <c r="I372" s="3">
        <v>2160000</v>
      </c>
      <c r="J372" s="3">
        <v>1675000</v>
      </c>
      <c r="K372" s="3">
        <v>2160000</v>
      </c>
      <c r="L372" s="4">
        <v>1675000</v>
      </c>
      <c r="M372" s="4">
        <v>2160000</v>
      </c>
      <c r="N372" s="4">
        <v>1675000</v>
      </c>
      <c r="O372" s="4">
        <v>2160000</v>
      </c>
      <c r="P372" s="4">
        <v>1675000</v>
      </c>
      <c r="Q372" s="4">
        <v>2160000</v>
      </c>
      <c r="R372" s="4">
        <v>1675000</v>
      </c>
      <c r="S372" s="4">
        <v>2160000</v>
      </c>
      <c r="T372" s="4">
        <v>1675000</v>
      </c>
      <c r="U372" s="4">
        <v>2160000</v>
      </c>
      <c r="V372" s="4">
        <v>1675000</v>
      </c>
      <c r="W372" s="4">
        <v>2160000</v>
      </c>
      <c r="X372" s="4">
        <v>1675000</v>
      </c>
      <c r="Y372" s="4">
        <v>2160000</v>
      </c>
    </row>
    <row r="373" spans="1:25" ht="19.5" customHeight="1" x14ac:dyDescent="0.25">
      <c r="A373" s="2" t="s">
        <v>869</v>
      </c>
      <c r="B373" s="2" t="s">
        <v>243</v>
      </c>
      <c r="C373" s="2" t="s">
        <v>977</v>
      </c>
      <c r="D373" s="2" t="s">
        <v>978</v>
      </c>
      <c r="E373" s="2" t="s">
        <v>979</v>
      </c>
      <c r="F373" s="3">
        <v>7535242.5700000003</v>
      </c>
      <c r="G373" s="3">
        <v>21500000</v>
      </c>
      <c r="H373" s="3">
        <v>19000000</v>
      </c>
      <c r="I373" s="3">
        <v>16500000</v>
      </c>
      <c r="J373" s="3">
        <v>19000000</v>
      </c>
      <c r="K373" s="3">
        <v>16500000</v>
      </c>
      <c r="L373" s="4">
        <v>19000000</v>
      </c>
      <c r="M373" s="4">
        <v>16500000</v>
      </c>
      <c r="N373" s="4">
        <v>19000000</v>
      </c>
      <c r="O373" s="4">
        <v>16500000</v>
      </c>
      <c r="P373" s="4">
        <v>19000000</v>
      </c>
      <c r="Q373" s="4">
        <v>16500000</v>
      </c>
      <c r="R373" s="4">
        <v>19000000</v>
      </c>
      <c r="S373" s="4">
        <v>16500000</v>
      </c>
      <c r="T373" s="4">
        <v>19000000</v>
      </c>
      <c r="U373" s="4">
        <v>16500000</v>
      </c>
      <c r="V373" s="4">
        <v>19000000</v>
      </c>
      <c r="W373" s="4">
        <v>16500000</v>
      </c>
      <c r="X373" s="4">
        <v>19000000</v>
      </c>
      <c r="Y373" s="4">
        <v>16500000</v>
      </c>
    </row>
    <row r="374" spans="1:25" ht="19.5" customHeight="1" x14ac:dyDescent="0.25">
      <c r="A374" s="2" t="s">
        <v>869</v>
      </c>
      <c r="B374" s="2" t="s">
        <v>243</v>
      </c>
      <c r="C374" s="2" t="s">
        <v>980</v>
      </c>
      <c r="D374" s="2" t="s">
        <v>981</v>
      </c>
      <c r="E374" s="2" t="s">
        <v>982</v>
      </c>
      <c r="F374" s="3">
        <v>92771165.739999995</v>
      </c>
      <c r="G374" s="3">
        <v>10948545</v>
      </c>
      <c r="H374" s="3">
        <v>10038838</v>
      </c>
      <c r="I374" s="3">
        <v>10601983</v>
      </c>
      <c r="J374" s="3">
        <v>10038838</v>
      </c>
      <c r="K374" s="3">
        <v>10601983</v>
      </c>
      <c r="L374" s="4">
        <v>10038838</v>
      </c>
      <c r="M374" s="4">
        <v>10601983</v>
      </c>
      <c r="N374" s="4">
        <v>10038838</v>
      </c>
      <c r="O374" s="4">
        <v>10601983</v>
      </c>
      <c r="P374" s="4">
        <v>10038838</v>
      </c>
      <c r="Q374" s="4">
        <v>10601983</v>
      </c>
      <c r="R374" s="4">
        <v>10038838</v>
      </c>
      <c r="S374" s="4">
        <v>10601983</v>
      </c>
      <c r="T374" s="4">
        <v>10038838</v>
      </c>
      <c r="U374" s="4">
        <v>10601983</v>
      </c>
      <c r="V374" s="4">
        <v>10038838</v>
      </c>
      <c r="W374" s="4">
        <v>10601983</v>
      </c>
      <c r="X374" s="4">
        <v>10038838</v>
      </c>
      <c r="Y374" s="4">
        <v>10601983</v>
      </c>
    </row>
    <row r="375" spans="1:25" ht="19.5" customHeight="1" x14ac:dyDescent="0.25">
      <c r="A375" s="2" t="s">
        <v>869</v>
      </c>
      <c r="B375" s="2" t="s">
        <v>243</v>
      </c>
      <c r="C375" s="2" t="s">
        <v>983</v>
      </c>
      <c r="D375" s="2" t="s">
        <v>984</v>
      </c>
      <c r="E375" s="2" t="s">
        <v>985</v>
      </c>
      <c r="F375" s="3">
        <v>0</v>
      </c>
      <c r="G375" s="4">
        <v>159311452</v>
      </c>
      <c r="H375" s="4">
        <v>154119471</v>
      </c>
      <c r="I375" s="4">
        <v>154276578</v>
      </c>
      <c r="J375" s="4">
        <v>154119471</v>
      </c>
      <c r="K375" s="4">
        <v>154276578</v>
      </c>
      <c r="L375" s="4">
        <v>154119471</v>
      </c>
      <c r="M375" s="4">
        <v>154276578</v>
      </c>
      <c r="N375" s="4">
        <v>154119471</v>
      </c>
      <c r="O375" s="4">
        <v>154276578</v>
      </c>
      <c r="P375" s="4">
        <v>154119471</v>
      </c>
      <c r="Q375" s="4">
        <v>154276578</v>
      </c>
      <c r="R375" s="4">
        <v>154119471</v>
      </c>
      <c r="S375" s="4">
        <v>154276578</v>
      </c>
      <c r="T375" s="4">
        <v>154119471</v>
      </c>
      <c r="U375" s="4">
        <v>154276578</v>
      </c>
      <c r="V375" s="4">
        <v>154119471</v>
      </c>
      <c r="W375" s="4">
        <v>154276578</v>
      </c>
      <c r="X375" s="4">
        <v>154119471</v>
      </c>
      <c r="Y375" s="4">
        <v>154276578</v>
      </c>
    </row>
    <row r="376" spans="1:25" ht="19.5" customHeight="1" x14ac:dyDescent="0.25">
      <c r="A376" s="2" t="s">
        <v>986</v>
      </c>
      <c r="B376" s="2" t="s">
        <v>16</v>
      </c>
      <c r="C376" s="2" t="s">
        <v>987</v>
      </c>
      <c r="D376" s="2" t="s">
        <v>988</v>
      </c>
      <c r="E376" s="2" t="s">
        <v>989</v>
      </c>
      <c r="F376" s="3">
        <v>20893.57</v>
      </c>
      <c r="G376" s="3">
        <v>34477</v>
      </c>
      <c r="H376" s="3">
        <v>500000</v>
      </c>
      <c r="I376" s="3">
        <v>500000</v>
      </c>
      <c r="J376" s="3">
        <v>500000</v>
      </c>
      <c r="K376" s="3">
        <v>500000</v>
      </c>
      <c r="L376" s="4">
        <v>500000</v>
      </c>
      <c r="M376" s="4">
        <v>500000</v>
      </c>
      <c r="N376" s="4">
        <v>500000</v>
      </c>
      <c r="O376" s="4">
        <v>500000</v>
      </c>
      <c r="P376" s="4">
        <v>500000</v>
      </c>
      <c r="Q376" s="4">
        <v>500000</v>
      </c>
      <c r="R376" s="4">
        <v>500000</v>
      </c>
      <c r="S376" s="4">
        <v>500000</v>
      </c>
      <c r="T376" s="4">
        <v>500000</v>
      </c>
      <c r="U376" s="4">
        <v>500000</v>
      </c>
      <c r="V376" s="4">
        <v>500000</v>
      </c>
      <c r="W376" s="4">
        <v>500000</v>
      </c>
      <c r="X376" s="4">
        <v>500000</v>
      </c>
      <c r="Y376" s="4">
        <v>500000</v>
      </c>
    </row>
    <row r="377" spans="1:25" ht="19.5" customHeight="1" x14ac:dyDescent="0.25">
      <c r="A377" s="2" t="s">
        <v>986</v>
      </c>
      <c r="B377" s="2" t="s">
        <v>16</v>
      </c>
      <c r="C377" s="2" t="s">
        <v>990</v>
      </c>
      <c r="D377" s="2" t="s">
        <v>991</v>
      </c>
      <c r="E377" s="2" t="s">
        <v>992</v>
      </c>
      <c r="F377" s="3">
        <v>5323014.8899999997</v>
      </c>
      <c r="G377" s="3">
        <v>3500000</v>
      </c>
      <c r="H377" s="3">
        <v>7000000</v>
      </c>
      <c r="I377" s="3">
        <v>7000000</v>
      </c>
      <c r="J377" s="3">
        <v>7000000</v>
      </c>
      <c r="K377" s="3">
        <v>7000000</v>
      </c>
      <c r="L377" s="4">
        <v>7000000</v>
      </c>
      <c r="M377" s="4">
        <v>7000000</v>
      </c>
      <c r="N377" s="4">
        <v>7000000</v>
      </c>
      <c r="O377" s="4">
        <v>7000000</v>
      </c>
      <c r="P377" s="4">
        <v>7000000</v>
      </c>
      <c r="Q377" s="4">
        <v>7000000</v>
      </c>
      <c r="R377" s="4">
        <v>7000000</v>
      </c>
      <c r="S377" s="4">
        <v>7000000</v>
      </c>
      <c r="T377" s="4">
        <v>7000000</v>
      </c>
      <c r="U377" s="4">
        <v>7000000</v>
      </c>
      <c r="V377" s="4">
        <v>7000000</v>
      </c>
      <c r="W377" s="4">
        <v>7000000</v>
      </c>
      <c r="X377" s="4">
        <v>7000000</v>
      </c>
      <c r="Y377" s="4">
        <v>7000000</v>
      </c>
    </row>
    <row r="378" spans="1:25" ht="19.5" customHeight="1" x14ac:dyDescent="0.25">
      <c r="A378" s="2" t="s">
        <v>986</v>
      </c>
      <c r="B378" s="2" t="s">
        <v>16</v>
      </c>
      <c r="C378" s="2" t="s">
        <v>993</v>
      </c>
      <c r="D378" s="2" t="s">
        <v>994</v>
      </c>
      <c r="E378" s="2" t="s">
        <v>995</v>
      </c>
      <c r="F378" s="3">
        <v>399576</v>
      </c>
      <c r="G378" s="3">
        <v>750000</v>
      </c>
      <c r="H378" s="3">
        <v>750000</v>
      </c>
      <c r="I378" s="3">
        <v>750000</v>
      </c>
      <c r="J378" s="3">
        <v>750000</v>
      </c>
      <c r="K378" s="3">
        <v>750000</v>
      </c>
      <c r="L378" s="4">
        <v>750000</v>
      </c>
      <c r="M378" s="4">
        <v>750000</v>
      </c>
      <c r="N378" s="4">
        <v>750000</v>
      </c>
      <c r="O378" s="4">
        <v>750000</v>
      </c>
      <c r="P378" s="4">
        <v>750000</v>
      </c>
      <c r="Q378" s="4">
        <v>750000</v>
      </c>
      <c r="R378" s="4">
        <v>750000</v>
      </c>
      <c r="S378" s="4">
        <v>750000</v>
      </c>
      <c r="T378" s="4">
        <v>750000</v>
      </c>
      <c r="U378" s="4">
        <v>750000</v>
      </c>
      <c r="V378" s="4">
        <v>750000</v>
      </c>
      <c r="W378" s="4">
        <v>750000</v>
      </c>
      <c r="X378" s="4">
        <v>750000</v>
      </c>
      <c r="Y378" s="4">
        <v>750000</v>
      </c>
    </row>
    <row r="379" spans="1:25" ht="19.5" customHeight="1" x14ac:dyDescent="0.25">
      <c r="A379" s="2" t="s">
        <v>986</v>
      </c>
      <c r="B379" s="2" t="s">
        <v>16</v>
      </c>
      <c r="C379" s="2" t="s">
        <v>996</v>
      </c>
      <c r="D379" s="2" t="s">
        <v>997</v>
      </c>
      <c r="E379" s="2" t="s">
        <v>998</v>
      </c>
      <c r="F379" s="3">
        <v>1539638.85</v>
      </c>
      <c r="G379" s="3">
        <v>1750000</v>
      </c>
      <c r="H379" s="3">
        <v>2500000</v>
      </c>
      <c r="I379" s="3">
        <v>2500000</v>
      </c>
      <c r="J379" s="3">
        <v>2500000</v>
      </c>
      <c r="K379" s="3">
        <v>2500000</v>
      </c>
      <c r="L379" s="4">
        <v>2500000</v>
      </c>
      <c r="M379" s="4">
        <v>2500000</v>
      </c>
      <c r="N379" s="4">
        <v>2500000</v>
      </c>
      <c r="O379" s="4">
        <v>2500000</v>
      </c>
      <c r="P379" s="4">
        <v>2500000</v>
      </c>
      <c r="Q379" s="4">
        <v>2500000</v>
      </c>
      <c r="R379" s="4">
        <v>2500000</v>
      </c>
      <c r="S379" s="4">
        <v>2500000</v>
      </c>
      <c r="T379" s="4">
        <v>2500000</v>
      </c>
      <c r="U379" s="4">
        <v>2500000</v>
      </c>
      <c r="V379" s="4">
        <v>2500000</v>
      </c>
      <c r="W379" s="4">
        <v>2500000</v>
      </c>
      <c r="X379" s="4">
        <v>2500000</v>
      </c>
      <c r="Y379" s="4">
        <v>2500000</v>
      </c>
    </row>
    <row r="380" spans="1:25" ht="19.5" customHeight="1" x14ac:dyDescent="0.25">
      <c r="A380" s="2" t="s">
        <v>986</v>
      </c>
      <c r="B380" s="2" t="s">
        <v>16</v>
      </c>
      <c r="C380" s="2" t="s">
        <v>999</v>
      </c>
      <c r="D380" s="2" t="s">
        <v>1000</v>
      </c>
      <c r="E380" s="2" t="s">
        <v>1001</v>
      </c>
      <c r="F380" s="3">
        <v>13332294.02</v>
      </c>
      <c r="G380" s="3">
        <v>17664160</v>
      </c>
      <c r="H380" s="3">
        <v>20500000</v>
      </c>
      <c r="I380" s="3">
        <v>20500000</v>
      </c>
      <c r="J380" s="3">
        <v>20500000</v>
      </c>
      <c r="K380" s="3">
        <v>20500000</v>
      </c>
      <c r="L380" s="4">
        <v>20500000</v>
      </c>
      <c r="M380" s="4">
        <v>20500000</v>
      </c>
      <c r="N380" s="4">
        <v>20500000</v>
      </c>
      <c r="O380" s="4">
        <v>20500000</v>
      </c>
      <c r="P380" s="4">
        <v>20500000</v>
      </c>
      <c r="Q380" s="4">
        <v>20500000</v>
      </c>
      <c r="R380" s="4">
        <v>20500000</v>
      </c>
      <c r="S380" s="4">
        <v>20500000</v>
      </c>
      <c r="T380" s="4">
        <v>20500000</v>
      </c>
      <c r="U380" s="4">
        <v>20500000</v>
      </c>
      <c r="V380" s="4">
        <v>20500000</v>
      </c>
      <c r="W380" s="4">
        <v>20500000</v>
      </c>
      <c r="X380" s="4">
        <v>20500000</v>
      </c>
      <c r="Y380" s="4">
        <v>20500000</v>
      </c>
    </row>
    <row r="381" spans="1:25" ht="19.5" customHeight="1" x14ac:dyDescent="0.25">
      <c r="A381" s="2" t="s">
        <v>986</v>
      </c>
      <c r="B381" s="2" t="s">
        <v>16</v>
      </c>
      <c r="C381" s="2" t="s">
        <v>999</v>
      </c>
      <c r="D381" s="2" t="s">
        <v>1002</v>
      </c>
      <c r="E381" s="2" t="s">
        <v>1003</v>
      </c>
      <c r="F381" s="3">
        <v>31188873.120000001</v>
      </c>
      <c r="G381" s="3">
        <v>36000000</v>
      </c>
      <c r="H381" s="3">
        <v>60100000</v>
      </c>
      <c r="I381" s="3">
        <v>60100000</v>
      </c>
      <c r="J381" s="3">
        <v>60100000</v>
      </c>
      <c r="K381" s="3">
        <v>60100000</v>
      </c>
      <c r="L381" s="4">
        <v>60100000</v>
      </c>
      <c r="M381" s="4">
        <v>60100000</v>
      </c>
      <c r="N381" s="4">
        <v>60100000</v>
      </c>
      <c r="O381" s="4">
        <v>60100000</v>
      </c>
      <c r="P381" s="4">
        <v>60100000</v>
      </c>
      <c r="Q381" s="4">
        <v>60100000</v>
      </c>
      <c r="R381" s="4">
        <v>60100000</v>
      </c>
      <c r="S381" s="4">
        <v>60100000</v>
      </c>
      <c r="T381" s="4">
        <v>60100000</v>
      </c>
      <c r="U381" s="4">
        <v>60100000</v>
      </c>
      <c r="V381" s="4">
        <v>60100000</v>
      </c>
      <c r="W381" s="4">
        <v>60100000</v>
      </c>
      <c r="X381" s="4">
        <v>60100000</v>
      </c>
      <c r="Y381" s="4">
        <v>60100000</v>
      </c>
    </row>
    <row r="382" spans="1:25" ht="19.5" customHeight="1" x14ac:dyDescent="0.25">
      <c r="A382" s="2" t="s">
        <v>986</v>
      </c>
      <c r="B382" s="2" t="s">
        <v>16</v>
      </c>
      <c r="C382" s="2" t="s">
        <v>1004</v>
      </c>
      <c r="D382" s="2" t="s">
        <v>1005</v>
      </c>
      <c r="E382" s="2" t="s">
        <v>1006</v>
      </c>
      <c r="F382" s="3">
        <v>146314.46</v>
      </c>
      <c r="G382" s="3">
        <v>138134</v>
      </c>
      <c r="H382" s="3">
        <v>900000</v>
      </c>
      <c r="I382" s="3">
        <v>900000</v>
      </c>
      <c r="J382" s="3">
        <v>900000</v>
      </c>
      <c r="K382" s="3">
        <v>900000</v>
      </c>
      <c r="L382" s="4">
        <v>900000</v>
      </c>
      <c r="M382" s="4">
        <v>900000</v>
      </c>
      <c r="N382" s="4">
        <v>900000</v>
      </c>
      <c r="O382" s="4">
        <v>900000</v>
      </c>
      <c r="P382" s="4">
        <v>900000</v>
      </c>
      <c r="Q382" s="4">
        <v>900000</v>
      </c>
      <c r="R382" s="4">
        <v>900000</v>
      </c>
      <c r="S382" s="4">
        <v>900000</v>
      </c>
      <c r="T382" s="4">
        <v>900000</v>
      </c>
      <c r="U382" s="4">
        <v>900000</v>
      </c>
      <c r="V382" s="4">
        <v>900000</v>
      </c>
      <c r="W382" s="4">
        <v>900000</v>
      </c>
      <c r="X382" s="4">
        <v>900000</v>
      </c>
      <c r="Y382" s="4">
        <v>900000</v>
      </c>
    </row>
    <row r="383" spans="1:25" ht="19.5" customHeight="1" x14ac:dyDescent="0.25">
      <c r="A383" s="2" t="s">
        <v>986</v>
      </c>
      <c r="B383" s="2" t="s">
        <v>16</v>
      </c>
      <c r="C383" s="2" t="s">
        <v>1007</v>
      </c>
      <c r="D383" s="2" t="s">
        <v>1008</v>
      </c>
      <c r="E383" s="2" t="s">
        <v>1009</v>
      </c>
      <c r="F383" s="3">
        <v>77583.960000000006</v>
      </c>
      <c r="G383" s="3">
        <v>100000</v>
      </c>
      <c r="H383" s="3">
        <v>0</v>
      </c>
      <c r="I383" s="3">
        <v>0</v>
      </c>
      <c r="J383" s="3">
        <v>0</v>
      </c>
      <c r="K383" s="3">
        <v>0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</row>
    <row r="384" spans="1:25" ht="19.5" customHeight="1" x14ac:dyDescent="0.25">
      <c r="A384" s="2" t="s">
        <v>986</v>
      </c>
      <c r="B384" s="2" t="s">
        <v>16</v>
      </c>
      <c r="C384" s="2" t="s">
        <v>1010</v>
      </c>
      <c r="D384" s="2" t="s">
        <v>1011</v>
      </c>
      <c r="E384" s="2" t="s">
        <v>1012</v>
      </c>
      <c r="F384" s="3">
        <v>21980647.699999999</v>
      </c>
      <c r="G384" s="3">
        <v>23800000</v>
      </c>
      <c r="H384" s="3">
        <v>29000000</v>
      </c>
      <c r="I384" s="3">
        <v>30000000</v>
      </c>
      <c r="J384" s="3">
        <v>29000000</v>
      </c>
      <c r="K384" s="3">
        <v>30000000</v>
      </c>
      <c r="L384" s="4">
        <v>29000000</v>
      </c>
      <c r="M384" s="4">
        <v>30000000</v>
      </c>
      <c r="N384" s="4">
        <v>29000000</v>
      </c>
      <c r="O384" s="4">
        <v>30000000</v>
      </c>
      <c r="P384" s="4">
        <v>29000000</v>
      </c>
      <c r="Q384" s="4">
        <v>30000000</v>
      </c>
      <c r="R384" s="4">
        <v>29000000</v>
      </c>
      <c r="S384" s="4">
        <v>30000000</v>
      </c>
      <c r="T384" s="4">
        <v>29000000</v>
      </c>
      <c r="U384" s="4">
        <v>30000000</v>
      </c>
      <c r="V384" s="4">
        <v>29000000</v>
      </c>
      <c r="W384" s="4">
        <v>30000000</v>
      </c>
      <c r="X384" s="4">
        <v>29000000</v>
      </c>
      <c r="Y384" s="4">
        <v>30000000</v>
      </c>
    </row>
    <row r="385" spans="1:25" ht="19.5" customHeight="1" x14ac:dyDescent="0.25">
      <c r="A385" s="2" t="s">
        <v>986</v>
      </c>
      <c r="B385" s="2" t="s">
        <v>16</v>
      </c>
      <c r="C385" s="2" t="s">
        <v>1013</v>
      </c>
      <c r="D385" s="2" t="s">
        <v>1014</v>
      </c>
      <c r="E385" s="2" t="s">
        <v>1015</v>
      </c>
      <c r="F385" s="3">
        <v>336853828.97000003</v>
      </c>
      <c r="G385" s="3">
        <v>350000000</v>
      </c>
      <c r="H385" s="3">
        <v>420000000</v>
      </c>
      <c r="I385" s="3">
        <v>482000000</v>
      </c>
      <c r="J385" s="3">
        <v>420000000</v>
      </c>
      <c r="K385" s="3">
        <v>482000000</v>
      </c>
      <c r="L385" s="4">
        <v>420000000</v>
      </c>
      <c r="M385" s="4">
        <v>482000000</v>
      </c>
      <c r="N385" s="4">
        <v>420000000</v>
      </c>
      <c r="O385" s="4">
        <v>482000000</v>
      </c>
      <c r="P385" s="4">
        <v>420000000</v>
      </c>
      <c r="Q385" s="4">
        <v>482000000</v>
      </c>
      <c r="R385" s="4">
        <v>420000000</v>
      </c>
      <c r="S385" s="4">
        <v>482000000</v>
      </c>
      <c r="T385" s="4">
        <v>420000000</v>
      </c>
      <c r="U385" s="4">
        <v>482000000</v>
      </c>
      <c r="V385" s="4">
        <v>420000000</v>
      </c>
      <c r="W385" s="4">
        <v>482000000</v>
      </c>
      <c r="X385" s="4">
        <v>420000000</v>
      </c>
      <c r="Y385" s="4">
        <v>482000000</v>
      </c>
    </row>
    <row r="386" spans="1:25" ht="19.5" customHeight="1" x14ac:dyDescent="0.25">
      <c r="A386" s="2" t="s">
        <v>986</v>
      </c>
      <c r="B386" s="2" t="s">
        <v>44</v>
      </c>
      <c r="C386" s="2" t="s">
        <v>1016</v>
      </c>
      <c r="D386" s="2" t="s">
        <v>1017</v>
      </c>
      <c r="E386" s="2" t="s">
        <v>1018</v>
      </c>
      <c r="F386" s="4">
        <v>21562623.440000001</v>
      </c>
      <c r="G386" s="3">
        <v>26997635</v>
      </c>
      <c r="H386" s="3">
        <v>26997635</v>
      </c>
      <c r="I386" s="3">
        <v>26997635</v>
      </c>
      <c r="J386" s="3">
        <v>26997635</v>
      </c>
      <c r="K386" s="3">
        <v>26997635</v>
      </c>
      <c r="L386" s="4">
        <v>26997635</v>
      </c>
      <c r="M386" s="4">
        <v>26997635</v>
      </c>
      <c r="N386" s="4">
        <v>26997635</v>
      </c>
      <c r="O386" s="4">
        <v>26997635</v>
      </c>
      <c r="P386" s="4">
        <v>26997635</v>
      </c>
      <c r="Q386" s="4">
        <v>26997635</v>
      </c>
      <c r="R386" s="4">
        <v>26997635</v>
      </c>
      <c r="S386" s="4">
        <v>26997635</v>
      </c>
      <c r="T386" s="4">
        <v>26997635</v>
      </c>
      <c r="U386" s="4">
        <v>26997635</v>
      </c>
      <c r="V386" s="4">
        <v>26997635</v>
      </c>
      <c r="W386" s="4">
        <v>26997635</v>
      </c>
      <c r="X386" s="4">
        <v>26997635</v>
      </c>
      <c r="Y386" s="4">
        <v>26997635</v>
      </c>
    </row>
    <row r="387" spans="1:25" ht="19.5" customHeight="1" x14ac:dyDescent="0.25">
      <c r="A387" s="2" t="s">
        <v>986</v>
      </c>
      <c r="B387" s="2" t="s">
        <v>44</v>
      </c>
      <c r="C387" s="2" t="s">
        <v>1019</v>
      </c>
      <c r="D387" s="2" t="s">
        <v>1020</v>
      </c>
      <c r="E387" s="2" t="s">
        <v>1021</v>
      </c>
      <c r="F387" s="3">
        <v>1972620261.9400001</v>
      </c>
      <c r="G387" s="3">
        <v>2216179373</v>
      </c>
      <c r="H387" s="3">
        <v>2200000000</v>
      </c>
      <c r="I387" s="3">
        <v>2200000000</v>
      </c>
      <c r="J387" s="3">
        <v>2203280075</v>
      </c>
      <c r="K387" s="3">
        <v>2203201693</v>
      </c>
      <c r="L387" s="4">
        <v>2203280075</v>
      </c>
      <c r="M387" s="4">
        <v>2203201693</v>
      </c>
      <c r="N387" s="4">
        <v>2203280075</v>
      </c>
      <c r="O387" s="4">
        <v>2203201693</v>
      </c>
      <c r="P387" s="4">
        <v>2235086668</v>
      </c>
      <c r="Q387" s="4">
        <v>2269126558</v>
      </c>
      <c r="R387" s="4">
        <v>2235086668</v>
      </c>
      <c r="S387" s="4">
        <v>2269126558</v>
      </c>
      <c r="T387" s="4">
        <v>2235086668</v>
      </c>
      <c r="U387" s="4">
        <v>2269126558</v>
      </c>
      <c r="V387" s="4">
        <v>2235086668</v>
      </c>
      <c r="W387" s="4">
        <v>2269126558</v>
      </c>
      <c r="X387" s="4">
        <v>2235086668</v>
      </c>
      <c r="Y387" s="4">
        <v>2269126558</v>
      </c>
    </row>
    <row r="388" spans="1:25" ht="19.5" customHeight="1" x14ac:dyDescent="0.25">
      <c r="A388" s="2" t="s">
        <v>986</v>
      </c>
      <c r="B388" s="2" t="s">
        <v>44</v>
      </c>
      <c r="C388" s="2" t="s">
        <v>1019</v>
      </c>
      <c r="D388" s="2" t="s">
        <v>1022</v>
      </c>
      <c r="E388" s="2" t="s">
        <v>1023</v>
      </c>
      <c r="F388" s="3">
        <v>59304483.600000001</v>
      </c>
      <c r="G388" s="3">
        <v>64550000</v>
      </c>
      <c r="H388" s="3">
        <v>73000000</v>
      </c>
      <c r="I388" s="3">
        <v>76000000</v>
      </c>
      <c r="J388" s="3">
        <v>73000000</v>
      </c>
      <c r="K388" s="3">
        <v>76000000</v>
      </c>
      <c r="L388" s="4">
        <v>73000000</v>
      </c>
      <c r="M388" s="4">
        <v>76000000</v>
      </c>
      <c r="N388" s="4">
        <v>73000000</v>
      </c>
      <c r="O388" s="4">
        <v>76000000</v>
      </c>
      <c r="P388" s="4">
        <v>73000000</v>
      </c>
      <c r="Q388" s="4">
        <v>76000000</v>
      </c>
      <c r="R388" s="4">
        <v>73000000</v>
      </c>
      <c r="S388" s="4">
        <v>76000000</v>
      </c>
      <c r="T388" s="4">
        <v>73000000</v>
      </c>
      <c r="U388" s="4">
        <v>76000000</v>
      </c>
      <c r="V388" s="4">
        <v>73000000</v>
      </c>
      <c r="W388" s="4">
        <v>76000000</v>
      </c>
      <c r="X388" s="4">
        <v>73000000</v>
      </c>
      <c r="Y388" s="4">
        <v>76000000</v>
      </c>
    </row>
    <row r="389" spans="1:25" ht="19.5" customHeight="1" x14ac:dyDescent="0.25">
      <c r="A389" s="2" t="s">
        <v>986</v>
      </c>
      <c r="B389" s="2" t="s">
        <v>44</v>
      </c>
      <c r="C389" s="2" t="s">
        <v>1024</v>
      </c>
      <c r="D389" s="2" t="s">
        <v>1025</v>
      </c>
      <c r="E389" s="2" t="s">
        <v>1026</v>
      </c>
      <c r="F389" s="3">
        <v>2851028.81</v>
      </c>
      <c r="G389" s="3">
        <v>3200000</v>
      </c>
      <c r="H389" s="3">
        <v>3200000</v>
      </c>
      <c r="I389" s="3">
        <v>3200000</v>
      </c>
      <c r="J389" s="3">
        <v>3200000</v>
      </c>
      <c r="K389" s="3">
        <v>3200000</v>
      </c>
      <c r="L389" s="4">
        <v>3200000</v>
      </c>
      <c r="M389" s="4">
        <v>3200000</v>
      </c>
      <c r="N389" s="4">
        <v>3200000</v>
      </c>
      <c r="O389" s="4">
        <v>3200000</v>
      </c>
      <c r="P389" s="4">
        <v>3200000</v>
      </c>
      <c r="Q389" s="4">
        <v>3200000</v>
      </c>
      <c r="R389" s="4">
        <v>3200000</v>
      </c>
      <c r="S389" s="4">
        <v>3200000</v>
      </c>
      <c r="T389" s="4">
        <v>3200000</v>
      </c>
      <c r="U389" s="4">
        <v>3200000</v>
      </c>
      <c r="V389" s="4">
        <v>3200000</v>
      </c>
      <c r="W389" s="4">
        <v>3200000</v>
      </c>
      <c r="X389" s="4">
        <v>3200000</v>
      </c>
      <c r="Y389" s="4">
        <v>3200000</v>
      </c>
    </row>
    <row r="390" spans="1:25" ht="19.5" customHeight="1" x14ac:dyDescent="0.25">
      <c r="A390" s="2" t="s">
        <v>986</v>
      </c>
      <c r="B390" s="2" t="s">
        <v>44</v>
      </c>
      <c r="C390" s="2" t="s">
        <v>550</v>
      </c>
      <c r="D390" s="2" t="s">
        <v>1027</v>
      </c>
      <c r="E390" s="2" t="s">
        <v>1028</v>
      </c>
      <c r="F390" s="3">
        <v>0</v>
      </c>
      <c r="G390" s="3">
        <v>2700000</v>
      </c>
      <c r="H390" s="3">
        <v>0</v>
      </c>
      <c r="I390" s="3">
        <v>0</v>
      </c>
      <c r="J390" s="3">
        <v>0</v>
      </c>
      <c r="K390" s="3">
        <v>0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</row>
    <row r="391" spans="1:25" ht="19.5" customHeight="1" x14ac:dyDescent="0.25">
      <c r="A391" s="2" t="s">
        <v>986</v>
      </c>
      <c r="B391" s="2" t="s">
        <v>54</v>
      </c>
      <c r="C391" s="2" t="s">
        <v>54</v>
      </c>
      <c r="D391" s="2" t="s">
        <v>1029</v>
      </c>
      <c r="E391" s="2" t="s">
        <v>1030</v>
      </c>
      <c r="F391" s="3">
        <v>100000</v>
      </c>
      <c r="G391" s="3">
        <v>100000</v>
      </c>
      <c r="H391" s="3">
        <v>100000</v>
      </c>
      <c r="I391" s="3">
        <v>100000</v>
      </c>
      <c r="J391" s="3">
        <v>100000</v>
      </c>
      <c r="K391" s="3">
        <v>100000</v>
      </c>
      <c r="L391" s="4">
        <v>100000</v>
      </c>
      <c r="M391" s="4">
        <v>100000</v>
      </c>
      <c r="N391" s="4">
        <v>100000</v>
      </c>
      <c r="O391" s="4">
        <v>100000</v>
      </c>
      <c r="P391" s="4">
        <v>100000</v>
      </c>
      <c r="Q391" s="4">
        <v>100000</v>
      </c>
      <c r="R391" s="4">
        <v>100000</v>
      </c>
      <c r="S391" s="4">
        <v>100000</v>
      </c>
      <c r="T391" s="4">
        <v>100000</v>
      </c>
      <c r="U391" s="4">
        <v>100000</v>
      </c>
      <c r="V391" s="4">
        <v>100000</v>
      </c>
      <c r="W391" s="4">
        <v>100000</v>
      </c>
      <c r="X391" s="4">
        <v>100000</v>
      </c>
      <c r="Y391" s="4">
        <v>100000</v>
      </c>
    </row>
    <row r="392" spans="1:25" ht="19.5" customHeight="1" x14ac:dyDescent="0.25">
      <c r="A392" s="2" t="s">
        <v>986</v>
      </c>
      <c r="B392" s="2" t="s">
        <v>54</v>
      </c>
      <c r="C392" s="2" t="s">
        <v>54</v>
      </c>
      <c r="D392" s="2" t="s">
        <v>1031</v>
      </c>
      <c r="E392" s="2" t="s">
        <v>1032</v>
      </c>
      <c r="F392" s="3">
        <v>2381923</v>
      </c>
      <c r="G392" s="3">
        <v>2381923</v>
      </c>
      <c r="H392" s="3">
        <v>2450000</v>
      </c>
      <c r="I392" s="3">
        <v>2600000</v>
      </c>
      <c r="J392" s="3">
        <v>2450000</v>
      </c>
      <c r="K392" s="3">
        <v>2600000</v>
      </c>
      <c r="L392" s="4">
        <v>2450000</v>
      </c>
      <c r="M392" s="4">
        <v>2600000</v>
      </c>
      <c r="N392" s="4">
        <v>2450000</v>
      </c>
      <c r="O392" s="4">
        <v>2600000</v>
      </c>
      <c r="P392" s="4">
        <v>2450000</v>
      </c>
      <c r="Q392" s="4">
        <v>2600000</v>
      </c>
      <c r="R392" s="4">
        <v>2450000</v>
      </c>
      <c r="S392" s="4">
        <v>2600000</v>
      </c>
      <c r="T392" s="4">
        <v>2450000</v>
      </c>
      <c r="U392" s="4">
        <v>2600000</v>
      </c>
      <c r="V392" s="4">
        <v>2450000</v>
      </c>
      <c r="W392" s="4">
        <v>2600000</v>
      </c>
      <c r="X392" s="4">
        <v>2450000</v>
      </c>
      <c r="Y392" s="4">
        <v>2600000</v>
      </c>
    </row>
    <row r="393" spans="1:25" ht="19.5" customHeight="1" x14ac:dyDescent="0.25">
      <c r="A393" s="2" t="s">
        <v>986</v>
      </c>
      <c r="B393" s="2" t="s">
        <v>54</v>
      </c>
      <c r="C393" s="2" t="s">
        <v>54</v>
      </c>
      <c r="D393" s="2" t="s">
        <v>1033</v>
      </c>
      <c r="E393" s="2" t="s">
        <v>1034</v>
      </c>
      <c r="F393" s="3">
        <v>18353361.800000001</v>
      </c>
      <c r="G393" s="3">
        <v>17851755</v>
      </c>
      <c r="H393" s="3">
        <v>27000000</v>
      </c>
      <c r="I393" s="3">
        <v>27000000</v>
      </c>
      <c r="J393" s="3">
        <v>27000000</v>
      </c>
      <c r="K393" s="3">
        <v>27000000</v>
      </c>
      <c r="L393" s="4">
        <v>27000000</v>
      </c>
      <c r="M393" s="4">
        <v>27000000</v>
      </c>
      <c r="N393" s="4">
        <v>27000000</v>
      </c>
      <c r="O393" s="4">
        <v>27000000</v>
      </c>
      <c r="P393" s="4">
        <v>27000000</v>
      </c>
      <c r="Q393" s="4">
        <v>27000000</v>
      </c>
      <c r="R393" s="4">
        <v>27000000</v>
      </c>
      <c r="S393" s="4">
        <v>27000000</v>
      </c>
      <c r="T393" s="4">
        <v>27000000</v>
      </c>
      <c r="U393" s="4">
        <v>27000000</v>
      </c>
      <c r="V393" s="4">
        <v>27000000</v>
      </c>
      <c r="W393" s="4">
        <v>27000000</v>
      </c>
      <c r="X393" s="4">
        <v>27000000</v>
      </c>
      <c r="Y393" s="4">
        <v>27000000</v>
      </c>
    </row>
    <row r="394" spans="1:25" ht="19.5" customHeight="1" x14ac:dyDescent="0.25">
      <c r="A394" s="2" t="s">
        <v>986</v>
      </c>
      <c r="B394" s="2" t="s">
        <v>54</v>
      </c>
      <c r="C394" s="2" t="s">
        <v>54</v>
      </c>
      <c r="D394" s="2" t="s">
        <v>1035</v>
      </c>
      <c r="E394" s="2" t="s">
        <v>1036</v>
      </c>
      <c r="F394" s="3">
        <v>298847.38</v>
      </c>
      <c r="G394" s="3">
        <v>250000</v>
      </c>
      <c r="H394" s="3">
        <v>0</v>
      </c>
      <c r="I394" s="3">
        <v>0</v>
      </c>
      <c r="J394" s="3">
        <v>0</v>
      </c>
      <c r="K394" s="3">
        <v>0</v>
      </c>
      <c r="L394" s="4">
        <v>0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</row>
    <row r="395" spans="1:25" ht="19.5" customHeight="1" x14ac:dyDescent="0.25">
      <c r="A395" s="2" t="s">
        <v>986</v>
      </c>
      <c r="B395" s="2" t="s">
        <v>54</v>
      </c>
      <c r="C395" s="2" t="s">
        <v>54</v>
      </c>
      <c r="D395" s="2" t="s">
        <v>1037</v>
      </c>
      <c r="E395" s="2" t="s">
        <v>1038</v>
      </c>
      <c r="F395" s="3">
        <v>20083474.260000002</v>
      </c>
      <c r="G395" s="3">
        <v>22076431</v>
      </c>
      <c r="H395" s="3">
        <v>22326431</v>
      </c>
      <c r="I395" s="3">
        <v>22326431</v>
      </c>
      <c r="J395" s="3">
        <v>23326431</v>
      </c>
      <c r="K395" s="3">
        <v>23326431</v>
      </c>
      <c r="L395" s="4">
        <v>23326431</v>
      </c>
      <c r="M395" s="4">
        <v>23326431</v>
      </c>
      <c r="N395" s="4">
        <v>23326431</v>
      </c>
      <c r="O395" s="4">
        <v>23326431</v>
      </c>
      <c r="P395" s="4">
        <v>23326431</v>
      </c>
      <c r="Q395" s="4">
        <v>23326431</v>
      </c>
      <c r="R395" s="4">
        <v>23326431</v>
      </c>
      <c r="S395" s="4">
        <v>23326431</v>
      </c>
      <c r="T395" s="4">
        <v>23326431</v>
      </c>
      <c r="U395" s="4">
        <v>23326431</v>
      </c>
      <c r="V395" s="4">
        <v>23326431</v>
      </c>
      <c r="W395" s="4">
        <v>23326431</v>
      </c>
      <c r="X395" s="4">
        <v>23326431</v>
      </c>
      <c r="Y395" s="4">
        <v>23326431</v>
      </c>
    </row>
    <row r="396" spans="1:25" ht="19.5" customHeight="1" x14ac:dyDescent="0.25">
      <c r="A396" s="2" t="s">
        <v>986</v>
      </c>
      <c r="B396" s="2" t="s">
        <v>54</v>
      </c>
      <c r="C396" s="2" t="s">
        <v>54</v>
      </c>
      <c r="D396" s="2" t="s">
        <v>1039</v>
      </c>
      <c r="E396" s="2" t="s">
        <v>1040</v>
      </c>
      <c r="F396" s="3">
        <v>300000</v>
      </c>
      <c r="G396" s="3">
        <v>1000000</v>
      </c>
      <c r="H396" s="3">
        <v>2500000</v>
      </c>
      <c r="I396" s="3">
        <v>4000000</v>
      </c>
      <c r="J396" s="3">
        <v>2500000</v>
      </c>
      <c r="K396" s="3">
        <v>4000000</v>
      </c>
      <c r="L396" s="4">
        <v>2500000</v>
      </c>
      <c r="M396" s="4">
        <v>4000000</v>
      </c>
      <c r="N396" s="4">
        <v>2500000</v>
      </c>
      <c r="O396" s="4">
        <v>4000000</v>
      </c>
      <c r="P396" s="4">
        <v>2500000</v>
      </c>
      <c r="Q396" s="4">
        <v>4000000</v>
      </c>
      <c r="R396" s="4">
        <v>2500000</v>
      </c>
      <c r="S396" s="4">
        <v>4000000</v>
      </c>
      <c r="T396" s="4">
        <v>2500000</v>
      </c>
      <c r="U396" s="4">
        <v>4000000</v>
      </c>
      <c r="V396" s="4">
        <v>2500000</v>
      </c>
      <c r="W396" s="4">
        <v>4000000</v>
      </c>
      <c r="X396" s="4">
        <v>2500000</v>
      </c>
      <c r="Y396" s="4">
        <v>4000000</v>
      </c>
    </row>
    <row r="397" spans="1:25" ht="19.5" customHeight="1" x14ac:dyDescent="0.25">
      <c r="A397" s="2" t="s">
        <v>986</v>
      </c>
      <c r="B397" s="2" t="s">
        <v>54</v>
      </c>
      <c r="C397" s="2" t="s">
        <v>54</v>
      </c>
      <c r="D397" s="2" t="s">
        <v>1041</v>
      </c>
      <c r="E397" s="2" t="s">
        <v>1042</v>
      </c>
      <c r="F397" s="3">
        <v>5843767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4">
        <v>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</row>
    <row r="398" spans="1:25" ht="19.5" customHeight="1" x14ac:dyDescent="0.25">
      <c r="A398" s="2" t="s">
        <v>986</v>
      </c>
      <c r="B398" s="2" t="s">
        <v>54</v>
      </c>
      <c r="C398" s="2" t="s">
        <v>54</v>
      </c>
      <c r="D398" s="2" t="s">
        <v>1043</v>
      </c>
      <c r="E398" s="2" t="s">
        <v>1044</v>
      </c>
      <c r="F398" s="3">
        <v>25000</v>
      </c>
      <c r="G398" s="3">
        <v>20000</v>
      </c>
      <c r="H398" s="3">
        <v>0</v>
      </c>
      <c r="I398" s="3">
        <v>0</v>
      </c>
      <c r="J398" s="3">
        <v>0</v>
      </c>
      <c r="K398" s="3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</row>
    <row r="399" spans="1:25" ht="19.5" customHeight="1" x14ac:dyDescent="0.25">
      <c r="A399" s="2" t="s">
        <v>986</v>
      </c>
      <c r="B399" s="2" t="s">
        <v>54</v>
      </c>
      <c r="C399" s="2" t="s">
        <v>54</v>
      </c>
      <c r="D399" s="2" t="s">
        <v>1045</v>
      </c>
      <c r="E399" s="2" t="s">
        <v>1046</v>
      </c>
      <c r="F399" s="3">
        <v>2877686.54</v>
      </c>
      <c r="G399" s="3">
        <v>2300000</v>
      </c>
      <c r="H399" s="3">
        <v>2700000</v>
      </c>
      <c r="I399" s="3">
        <v>2700000</v>
      </c>
      <c r="J399" s="3">
        <v>2700000</v>
      </c>
      <c r="K399" s="3">
        <v>2700000</v>
      </c>
      <c r="L399" s="4">
        <v>2700000</v>
      </c>
      <c r="M399" s="4">
        <v>2700000</v>
      </c>
      <c r="N399" s="4">
        <v>2700000</v>
      </c>
      <c r="O399" s="4">
        <v>2700000</v>
      </c>
      <c r="P399" s="4">
        <v>2700000</v>
      </c>
      <c r="Q399" s="4">
        <v>2700000</v>
      </c>
      <c r="R399" s="4">
        <v>2700000</v>
      </c>
      <c r="S399" s="4">
        <v>2700000</v>
      </c>
      <c r="T399" s="4">
        <v>2700000</v>
      </c>
      <c r="U399" s="4">
        <v>2700000</v>
      </c>
      <c r="V399" s="4">
        <v>2700000</v>
      </c>
      <c r="W399" s="4">
        <v>2700000</v>
      </c>
      <c r="X399" s="4">
        <v>2700000</v>
      </c>
      <c r="Y399" s="4">
        <v>2700000</v>
      </c>
    </row>
    <row r="400" spans="1:25" ht="19.5" customHeight="1" x14ac:dyDescent="0.25">
      <c r="A400" s="2" t="s">
        <v>986</v>
      </c>
      <c r="B400" s="2" t="s">
        <v>54</v>
      </c>
      <c r="C400" s="2" t="s">
        <v>54</v>
      </c>
      <c r="D400" s="2" t="s">
        <v>1047</v>
      </c>
      <c r="E400" s="2" t="s">
        <v>1048</v>
      </c>
      <c r="F400" s="4">
        <v>687990</v>
      </c>
      <c r="G400" s="3">
        <v>700000</v>
      </c>
      <c r="H400" s="3">
        <v>1700000</v>
      </c>
      <c r="I400" s="3">
        <v>700000</v>
      </c>
      <c r="J400" s="3">
        <v>2200000</v>
      </c>
      <c r="K400" s="3">
        <v>700000</v>
      </c>
      <c r="L400" s="4">
        <v>2200000</v>
      </c>
      <c r="M400" s="4">
        <v>700000</v>
      </c>
      <c r="N400" s="4">
        <v>2200000</v>
      </c>
      <c r="O400" s="4">
        <v>700000</v>
      </c>
      <c r="P400" s="4">
        <v>1800000</v>
      </c>
      <c r="Q400" s="4">
        <v>700000</v>
      </c>
      <c r="R400" s="4">
        <v>1800000</v>
      </c>
      <c r="S400" s="4">
        <v>700000</v>
      </c>
      <c r="T400" s="4">
        <v>1800000</v>
      </c>
      <c r="U400" s="4">
        <v>700000</v>
      </c>
      <c r="V400" s="4">
        <v>2300000</v>
      </c>
      <c r="W400" s="4">
        <v>700000</v>
      </c>
      <c r="X400" s="4">
        <v>2300000</v>
      </c>
      <c r="Y400" s="4">
        <v>700000</v>
      </c>
    </row>
    <row r="401" spans="1:25" ht="19.5" customHeight="1" x14ac:dyDescent="0.25">
      <c r="A401" s="2" t="s">
        <v>986</v>
      </c>
      <c r="B401" s="2" t="s">
        <v>54</v>
      </c>
      <c r="C401" s="2" t="s">
        <v>54</v>
      </c>
      <c r="D401" s="2" t="s">
        <v>1049</v>
      </c>
      <c r="E401" s="2" t="s">
        <v>1050</v>
      </c>
      <c r="F401" s="3">
        <v>125000</v>
      </c>
      <c r="G401" s="3">
        <v>100000</v>
      </c>
      <c r="H401" s="3">
        <v>0</v>
      </c>
      <c r="I401" s="3">
        <v>0</v>
      </c>
      <c r="J401" s="3">
        <v>0</v>
      </c>
      <c r="K401" s="3">
        <v>0</v>
      </c>
      <c r="L401" s="4">
        <v>0</v>
      </c>
      <c r="M401" s="4">
        <v>0</v>
      </c>
      <c r="N401" s="4">
        <v>0</v>
      </c>
      <c r="O401" s="4">
        <v>0</v>
      </c>
      <c r="P401" s="4">
        <v>50000</v>
      </c>
      <c r="Q401" s="4">
        <v>50000</v>
      </c>
      <c r="R401" s="4">
        <v>50000</v>
      </c>
      <c r="S401" s="4">
        <v>50000</v>
      </c>
      <c r="T401" s="4">
        <v>50000</v>
      </c>
      <c r="U401" s="4">
        <v>50000</v>
      </c>
      <c r="V401" s="4">
        <v>100000</v>
      </c>
      <c r="W401" s="4">
        <v>100000</v>
      </c>
      <c r="X401" s="4">
        <v>100000</v>
      </c>
      <c r="Y401" s="4">
        <v>100000</v>
      </c>
    </row>
    <row r="402" spans="1:25" ht="19.5" customHeight="1" x14ac:dyDescent="0.25">
      <c r="A402" s="2" t="s">
        <v>986</v>
      </c>
      <c r="B402" s="2" t="s">
        <v>54</v>
      </c>
      <c r="C402" s="2" t="s">
        <v>54</v>
      </c>
      <c r="D402" s="2" t="s">
        <v>1051</v>
      </c>
      <c r="E402" s="2" t="s">
        <v>1052</v>
      </c>
      <c r="F402" s="3">
        <v>7077304.0499999998</v>
      </c>
      <c r="G402" s="3">
        <v>7000000</v>
      </c>
      <c r="H402" s="3">
        <v>7000000</v>
      </c>
      <c r="I402" s="3">
        <v>7000000</v>
      </c>
      <c r="J402" s="3">
        <v>7000000</v>
      </c>
      <c r="K402" s="3">
        <v>7000000</v>
      </c>
      <c r="L402" s="4">
        <v>7000000</v>
      </c>
      <c r="M402" s="4">
        <v>7000000</v>
      </c>
      <c r="N402" s="4">
        <v>7000000</v>
      </c>
      <c r="O402" s="4">
        <v>7000000</v>
      </c>
      <c r="P402" s="4">
        <v>7000000</v>
      </c>
      <c r="Q402" s="4">
        <v>7000000</v>
      </c>
      <c r="R402" s="4">
        <v>7000000</v>
      </c>
      <c r="S402" s="4">
        <v>7000000</v>
      </c>
      <c r="T402" s="4">
        <v>7000000</v>
      </c>
      <c r="U402" s="4">
        <v>7000000</v>
      </c>
      <c r="V402" s="4">
        <v>7000000</v>
      </c>
      <c r="W402" s="4">
        <v>7000000</v>
      </c>
      <c r="X402" s="4">
        <v>7000000</v>
      </c>
      <c r="Y402" s="4">
        <v>7000000</v>
      </c>
    </row>
    <row r="403" spans="1:25" ht="19.5" customHeight="1" x14ac:dyDescent="0.25">
      <c r="A403" s="2" t="s">
        <v>986</v>
      </c>
      <c r="B403" s="2" t="s">
        <v>54</v>
      </c>
      <c r="C403" s="2" t="s">
        <v>54</v>
      </c>
      <c r="D403" s="2" t="s">
        <v>1053</v>
      </c>
      <c r="E403" s="2" t="s">
        <v>1021</v>
      </c>
      <c r="F403" s="3">
        <v>617554417.74000001</v>
      </c>
      <c r="G403" s="3">
        <v>571177944</v>
      </c>
      <c r="H403" s="3">
        <v>637000000</v>
      </c>
      <c r="I403" s="3">
        <v>707000000</v>
      </c>
      <c r="J403" s="3">
        <v>638719925</v>
      </c>
      <c r="K403" s="3">
        <v>708798307</v>
      </c>
      <c r="L403" s="4">
        <v>638719925</v>
      </c>
      <c r="M403" s="4">
        <v>708798307</v>
      </c>
      <c r="N403" s="4">
        <v>638719925</v>
      </c>
      <c r="O403" s="4">
        <v>708798307</v>
      </c>
      <c r="P403" s="4">
        <v>655397881</v>
      </c>
      <c r="Q403" s="4">
        <v>745826590</v>
      </c>
      <c r="R403" s="4">
        <v>655397881</v>
      </c>
      <c r="S403" s="4">
        <v>745826590</v>
      </c>
      <c r="T403" s="4">
        <v>655397881</v>
      </c>
      <c r="U403" s="4">
        <v>745826590</v>
      </c>
      <c r="V403" s="4">
        <v>655397881</v>
      </c>
      <c r="W403" s="4">
        <v>745826590</v>
      </c>
      <c r="X403" s="4">
        <v>655397881</v>
      </c>
      <c r="Y403" s="4">
        <v>745826590</v>
      </c>
    </row>
    <row r="404" spans="1:25" ht="19.5" customHeight="1" x14ac:dyDescent="0.25">
      <c r="A404" s="2" t="s">
        <v>986</v>
      </c>
      <c r="B404" s="2" t="s">
        <v>243</v>
      </c>
      <c r="C404" s="2" t="s">
        <v>1054</v>
      </c>
      <c r="D404" s="2" t="s">
        <v>1055</v>
      </c>
      <c r="E404" s="2" t="s">
        <v>1056</v>
      </c>
      <c r="F404" s="3">
        <v>8518834.0199999996</v>
      </c>
      <c r="G404" s="3">
        <v>9000000</v>
      </c>
      <c r="H404" s="3">
        <v>11000000</v>
      </c>
      <c r="I404" s="3">
        <v>12000000</v>
      </c>
      <c r="J404" s="3">
        <v>11000000</v>
      </c>
      <c r="K404" s="3">
        <v>12000000</v>
      </c>
      <c r="L404" s="4">
        <v>11000000</v>
      </c>
      <c r="M404" s="4">
        <v>12000000</v>
      </c>
      <c r="N404" s="4">
        <v>11000000</v>
      </c>
      <c r="O404" s="4">
        <v>12000000</v>
      </c>
      <c r="P404" s="4">
        <v>11000000</v>
      </c>
      <c r="Q404" s="4">
        <v>12000000</v>
      </c>
      <c r="R404" s="4">
        <v>11000000</v>
      </c>
      <c r="S404" s="4">
        <v>12000000</v>
      </c>
      <c r="T404" s="4">
        <v>11000000</v>
      </c>
      <c r="U404" s="4">
        <v>12000000</v>
      </c>
      <c r="V404" s="4">
        <v>11000000</v>
      </c>
      <c r="W404" s="4">
        <v>12000000</v>
      </c>
      <c r="X404" s="4">
        <v>11000000</v>
      </c>
      <c r="Y404" s="4">
        <v>12000000</v>
      </c>
    </row>
    <row r="405" spans="1:25" ht="19.5" customHeight="1" x14ac:dyDescent="0.25">
      <c r="A405" s="2" t="s">
        <v>1057</v>
      </c>
      <c r="B405" s="2" t="s">
        <v>16</v>
      </c>
      <c r="C405" s="2" t="s">
        <v>20</v>
      </c>
      <c r="D405" s="2" t="s">
        <v>1058</v>
      </c>
      <c r="E405" s="2" t="s">
        <v>22</v>
      </c>
      <c r="F405" s="3">
        <v>1530351.79</v>
      </c>
      <c r="G405" s="3">
        <v>2124251</v>
      </c>
      <c r="H405" s="3">
        <v>1700000</v>
      </c>
      <c r="I405" s="3">
        <v>1750000</v>
      </c>
      <c r="J405" s="3">
        <v>1700000</v>
      </c>
      <c r="K405" s="3">
        <v>1750000</v>
      </c>
      <c r="L405" s="4">
        <v>1700000</v>
      </c>
      <c r="M405" s="4">
        <v>1750000</v>
      </c>
      <c r="N405" s="4">
        <v>1700000</v>
      </c>
      <c r="O405" s="4">
        <v>1750000</v>
      </c>
      <c r="P405" s="4">
        <v>1700000</v>
      </c>
      <c r="Q405" s="4">
        <v>1750000</v>
      </c>
      <c r="R405" s="4">
        <v>1700000</v>
      </c>
      <c r="S405" s="4">
        <v>1750000</v>
      </c>
      <c r="T405" s="4">
        <v>1700000</v>
      </c>
      <c r="U405" s="4">
        <v>1750000</v>
      </c>
      <c r="V405" s="4">
        <v>1700000</v>
      </c>
      <c r="W405" s="4">
        <v>1750000</v>
      </c>
      <c r="X405" s="4">
        <v>1700000</v>
      </c>
      <c r="Y405" s="4">
        <v>1750000</v>
      </c>
    </row>
    <row r="406" spans="1:25" ht="19.5" customHeight="1" x14ac:dyDescent="0.25">
      <c r="A406" s="2" t="s">
        <v>1059</v>
      </c>
      <c r="B406" s="2" t="s">
        <v>477</v>
      </c>
      <c r="C406" s="2" t="s">
        <v>478</v>
      </c>
      <c r="D406" s="2" t="s">
        <v>1060</v>
      </c>
      <c r="E406" s="2" t="s">
        <v>1061</v>
      </c>
      <c r="F406" s="3">
        <v>786805.41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</row>
    <row r="407" spans="1:25" ht="19.5" customHeight="1" x14ac:dyDescent="0.25">
      <c r="A407" s="2" t="s">
        <v>1059</v>
      </c>
      <c r="B407" s="2" t="s">
        <v>477</v>
      </c>
      <c r="C407" s="2" t="s">
        <v>478</v>
      </c>
      <c r="D407" s="2" t="s">
        <v>1062</v>
      </c>
      <c r="E407" s="2" t="s">
        <v>1063</v>
      </c>
      <c r="F407" s="3">
        <v>0</v>
      </c>
      <c r="G407" s="3">
        <v>750000</v>
      </c>
      <c r="H407" s="3">
        <v>750000</v>
      </c>
      <c r="I407" s="3">
        <v>750000</v>
      </c>
      <c r="J407" s="3">
        <v>750000</v>
      </c>
      <c r="K407" s="3">
        <v>750000</v>
      </c>
      <c r="L407" s="4">
        <v>750000</v>
      </c>
      <c r="M407" s="4">
        <v>750000</v>
      </c>
      <c r="N407" s="4">
        <v>750000</v>
      </c>
      <c r="O407" s="4">
        <v>750000</v>
      </c>
      <c r="P407" s="4">
        <v>750000</v>
      </c>
      <c r="Q407" s="4">
        <v>750000</v>
      </c>
      <c r="R407" s="4">
        <v>750000</v>
      </c>
      <c r="S407" s="4">
        <v>750000</v>
      </c>
      <c r="T407" s="4">
        <v>750000</v>
      </c>
      <c r="U407" s="4">
        <v>750000</v>
      </c>
      <c r="V407" s="4">
        <v>750000</v>
      </c>
      <c r="W407" s="4">
        <v>750000</v>
      </c>
      <c r="X407" s="4">
        <v>750000</v>
      </c>
      <c r="Y407" s="4">
        <v>750000</v>
      </c>
    </row>
    <row r="408" spans="1:25" ht="19.5" customHeight="1" x14ac:dyDescent="0.25">
      <c r="A408" s="2" t="s">
        <v>1059</v>
      </c>
      <c r="B408" s="2" t="s">
        <v>477</v>
      </c>
      <c r="C408" s="2" t="s">
        <v>478</v>
      </c>
      <c r="D408" s="2" t="s">
        <v>1064</v>
      </c>
      <c r="E408" s="2" t="s">
        <v>1065</v>
      </c>
      <c r="F408" s="3">
        <v>4371719.68</v>
      </c>
      <c r="G408" s="3">
        <v>21000000</v>
      </c>
      <c r="H408" s="3">
        <v>10000000</v>
      </c>
      <c r="I408" s="3">
        <v>10000000</v>
      </c>
      <c r="J408" s="3">
        <v>10000000</v>
      </c>
      <c r="K408" s="3">
        <v>10000000</v>
      </c>
      <c r="L408" s="4">
        <v>10000000</v>
      </c>
      <c r="M408" s="4">
        <v>10000000</v>
      </c>
      <c r="N408" s="4">
        <v>10000000</v>
      </c>
      <c r="O408" s="4">
        <v>10000000</v>
      </c>
      <c r="P408" s="4">
        <v>10000000</v>
      </c>
      <c r="Q408" s="4">
        <v>10000000</v>
      </c>
      <c r="R408" s="4">
        <v>10000000</v>
      </c>
      <c r="S408" s="4">
        <v>10000000</v>
      </c>
      <c r="T408" s="4">
        <v>10000000</v>
      </c>
      <c r="U408" s="4">
        <v>10000000</v>
      </c>
      <c r="V408" s="4">
        <v>10000000</v>
      </c>
      <c r="W408" s="4">
        <v>10000000</v>
      </c>
      <c r="X408" s="4">
        <v>10000000</v>
      </c>
      <c r="Y408" s="4">
        <v>10000000</v>
      </c>
    </row>
    <row r="409" spans="1:25" ht="19.5" customHeight="1" x14ac:dyDescent="0.25">
      <c r="A409" s="2" t="s">
        <v>1059</v>
      </c>
      <c r="B409" s="2" t="s">
        <v>477</v>
      </c>
      <c r="C409" s="2" t="s">
        <v>481</v>
      </c>
      <c r="D409" s="2" t="s">
        <v>1066</v>
      </c>
      <c r="E409" s="2" t="s">
        <v>1067</v>
      </c>
      <c r="F409" s="4">
        <v>508828.15999999997</v>
      </c>
      <c r="G409" s="3">
        <v>1710000</v>
      </c>
      <c r="H409" s="3">
        <v>1710000</v>
      </c>
      <c r="I409" s="3">
        <v>1710000</v>
      </c>
      <c r="J409" s="3">
        <v>1710000</v>
      </c>
      <c r="K409" s="3">
        <v>1710000</v>
      </c>
      <c r="L409" s="4">
        <v>1710000</v>
      </c>
      <c r="M409" s="4">
        <v>1710000</v>
      </c>
      <c r="N409" s="4">
        <v>1710000</v>
      </c>
      <c r="O409" s="4">
        <v>1710000</v>
      </c>
      <c r="P409" s="4">
        <v>1710000</v>
      </c>
      <c r="Q409" s="4">
        <v>1710000</v>
      </c>
      <c r="R409" s="4">
        <v>1710000</v>
      </c>
      <c r="S409" s="4">
        <v>1710000</v>
      </c>
      <c r="T409" s="4">
        <v>1710000</v>
      </c>
      <c r="U409" s="4">
        <v>1710000</v>
      </c>
      <c r="V409" s="4">
        <v>1710000</v>
      </c>
      <c r="W409" s="4">
        <v>1710000</v>
      </c>
      <c r="X409" s="4">
        <v>1710000</v>
      </c>
      <c r="Y409" s="4">
        <v>1710000</v>
      </c>
    </row>
    <row r="410" spans="1:25" ht="19.5" customHeight="1" x14ac:dyDescent="0.25">
      <c r="A410" s="2" t="s">
        <v>1059</v>
      </c>
      <c r="B410" s="2" t="s">
        <v>477</v>
      </c>
      <c r="C410" s="2" t="s">
        <v>481</v>
      </c>
      <c r="D410" s="2" t="s">
        <v>1068</v>
      </c>
      <c r="E410" s="2" t="s">
        <v>1069</v>
      </c>
      <c r="F410" s="3">
        <v>45893033.68</v>
      </c>
      <c r="G410" s="3">
        <v>90850250</v>
      </c>
      <c r="H410" s="3">
        <v>50000000</v>
      </c>
      <c r="I410" s="3">
        <v>50000000</v>
      </c>
      <c r="J410" s="3">
        <v>50000000</v>
      </c>
      <c r="K410" s="3">
        <v>50000000</v>
      </c>
      <c r="L410" s="4">
        <v>50000000</v>
      </c>
      <c r="M410" s="4">
        <v>50000000</v>
      </c>
      <c r="N410" s="4">
        <v>50000000</v>
      </c>
      <c r="O410" s="4">
        <v>50000000</v>
      </c>
      <c r="P410" s="4">
        <v>50000000</v>
      </c>
      <c r="Q410" s="4">
        <v>50000000</v>
      </c>
      <c r="R410" s="4">
        <v>50000000</v>
      </c>
      <c r="S410" s="4">
        <v>50000000</v>
      </c>
      <c r="T410" s="4">
        <v>50000000</v>
      </c>
      <c r="U410" s="4">
        <v>50000000</v>
      </c>
      <c r="V410" s="4">
        <v>50000000</v>
      </c>
      <c r="W410" s="4">
        <v>50000000</v>
      </c>
      <c r="X410" s="4">
        <v>50000000</v>
      </c>
      <c r="Y410" s="4">
        <v>50000000</v>
      </c>
    </row>
    <row r="411" spans="1:25" ht="19.5" customHeight="1" x14ac:dyDescent="0.25">
      <c r="A411" s="2" t="s">
        <v>1059</v>
      </c>
      <c r="B411" s="2" t="s">
        <v>16</v>
      </c>
      <c r="C411" s="2" t="s">
        <v>1070</v>
      </c>
      <c r="D411" s="2" t="s">
        <v>1071</v>
      </c>
      <c r="E411" s="2" t="s">
        <v>1072</v>
      </c>
      <c r="F411" s="3">
        <v>49468.18</v>
      </c>
      <c r="G411" s="3">
        <v>74905</v>
      </c>
      <c r="H411" s="3">
        <v>74905</v>
      </c>
      <c r="I411" s="3">
        <v>74905</v>
      </c>
      <c r="J411" s="3">
        <v>74905</v>
      </c>
      <c r="K411" s="3">
        <v>74905</v>
      </c>
      <c r="L411" s="4">
        <v>74905</v>
      </c>
      <c r="M411" s="4">
        <v>74905</v>
      </c>
      <c r="N411" s="4">
        <v>74905</v>
      </c>
      <c r="O411" s="4">
        <v>74905</v>
      </c>
      <c r="P411" s="4">
        <v>74905</v>
      </c>
      <c r="Q411" s="4">
        <v>74905</v>
      </c>
      <c r="R411" s="4">
        <v>74905</v>
      </c>
      <c r="S411" s="4">
        <v>74905</v>
      </c>
      <c r="T411" s="4">
        <v>74905</v>
      </c>
      <c r="U411" s="4">
        <v>74905</v>
      </c>
      <c r="V411" s="4">
        <v>74905</v>
      </c>
      <c r="W411" s="4">
        <v>74905</v>
      </c>
      <c r="X411" s="4">
        <v>74905</v>
      </c>
      <c r="Y411" s="4">
        <v>74905</v>
      </c>
    </row>
    <row r="412" spans="1:25" ht="19.5" customHeight="1" x14ac:dyDescent="0.25">
      <c r="A412" s="2" t="s">
        <v>1059</v>
      </c>
      <c r="B412" s="2" t="s">
        <v>16</v>
      </c>
      <c r="C412" s="2" t="s">
        <v>1073</v>
      </c>
      <c r="D412" s="2" t="s">
        <v>1074</v>
      </c>
      <c r="E412" s="2" t="s">
        <v>1075</v>
      </c>
      <c r="F412" s="3">
        <v>1761701.31</v>
      </c>
      <c r="G412" s="3">
        <v>4000000</v>
      </c>
      <c r="H412" s="3">
        <v>3000000</v>
      </c>
      <c r="I412" s="3">
        <v>3000000</v>
      </c>
      <c r="J412" s="3">
        <v>3000000</v>
      </c>
      <c r="K412" s="3">
        <v>3000000</v>
      </c>
      <c r="L412" s="4">
        <v>3000000</v>
      </c>
      <c r="M412" s="4">
        <v>3000000</v>
      </c>
      <c r="N412" s="4">
        <v>3000000</v>
      </c>
      <c r="O412" s="4">
        <v>3000000</v>
      </c>
      <c r="P412" s="4">
        <v>3000000</v>
      </c>
      <c r="Q412" s="4">
        <v>3000000</v>
      </c>
      <c r="R412" s="4">
        <v>3000000</v>
      </c>
      <c r="S412" s="4">
        <v>3000000</v>
      </c>
      <c r="T412" s="4">
        <v>3000000</v>
      </c>
      <c r="U412" s="4">
        <v>3000000</v>
      </c>
      <c r="V412" s="4">
        <v>3000000</v>
      </c>
      <c r="W412" s="4">
        <v>3000000</v>
      </c>
      <c r="X412" s="4">
        <v>3000000</v>
      </c>
      <c r="Y412" s="4">
        <v>3000000</v>
      </c>
    </row>
    <row r="413" spans="1:25" ht="19.5" customHeight="1" x14ac:dyDescent="0.25">
      <c r="A413" s="2" t="s">
        <v>1059</v>
      </c>
      <c r="B413" s="2" t="s">
        <v>16</v>
      </c>
      <c r="C413" s="2" t="s">
        <v>1076</v>
      </c>
      <c r="D413" s="2" t="s">
        <v>1077</v>
      </c>
      <c r="E413" s="2" t="s">
        <v>1078</v>
      </c>
      <c r="F413" s="3">
        <v>93250.33</v>
      </c>
      <c r="G413" s="3">
        <v>102104</v>
      </c>
      <c r="H413" s="3">
        <v>1000000</v>
      </c>
      <c r="I413" s="3">
        <v>1000000</v>
      </c>
      <c r="J413" s="3">
        <v>1000000</v>
      </c>
      <c r="K413" s="3">
        <v>1000000</v>
      </c>
      <c r="L413" s="4">
        <v>1000000</v>
      </c>
      <c r="M413" s="4">
        <v>1000000</v>
      </c>
      <c r="N413" s="4">
        <v>1000000</v>
      </c>
      <c r="O413" s="4">
        <v>1000000</v>
      </c>
      <c r="P413" s="4">
        <v>1000000</v>
      </c>
      <c r="Q413" s="4">
        <v>1000000</v>
      </c>
      <c r="R413" s="4">
        <v>1000000</v>
      </c>
      <c r="S413" s="4">
        <v>1000000</v>
      </c>
      <c r="T413" s="4">
        <v>1000000</v>
      </c>
      <c r="U413" s="4">
        <v>1000000</v>
      </c>
      <c r="V413" s="4">
        <v>1000000</v>
      </c>
      <c r="W413" s="4">
        <v>1000000</v>
      </c>
      <c r="X413" s="4">
        <v>1000000</v>
      </c>
      <c r="Y413" s="4">
        <v>1000000</v>
      </c>
    </row>
    <row r="414" spans="1:25" ht="19.5" customHeight="1" x14ac:dyDescent="0.25">
      <c r="A414" s="2" t="s">
        <v>1059</v>
      </c>
      <c r="B414" s="2" t="s">
        <v>16</v>
      </c>
      <c r="C414" s="2" t="s">
        <v>1076</v>
      </c>
      <c r="D414" s="2" t="s">
        <v>1079</v>
      </c>
      <c r="E414" s="2" t="s">
        <v>1080</v>
      </c>
      <c r="F414" s="3">
        <v>0</v>
      </c>
      <c r="G414" s="3">
        <v>175000</v>
      </c>
      <c r="H414" s="3">
        <v>0</v>
      </c>
      <c r="I414" s="3">
        <v>0</v>
      </c>
      <c r="J414" s="3">
        <v>0</v>
      </c>
      <c r="K414" s="3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</row>
    <row r="415" spans="1:25" ht="19.5" customHeight="1" x14ac:dyDescent="0.25">
      <c r="A415" s="2" t="s">
        <v>1059</v>
      </c>
      <c r="B415" s="2" t="s">
        <v>16</v>
      </c>
      <c r="C415" s="2" t="s">
        <v>1076</v>
      </c>
      <c r="D415" s="2" t="s">
        <v>1081</v>
      </c>
      <c r="E415" s="2" t="s">
        <v>1082</v>
      </c>
      <c r="F415" s="3">
        <v>219498.49</v>
      </c>
      <c r="G415" s="3">
        <v>500000</v>
      </c>
      <c r="H415" s="3">
        <v>750000</v>
      </c>
      <c r="I415" s="3">
        <v>750000</v>
      </c>
      <c r="J415" s="3">
        <v>750000</v>
      </c>
      <c r="K415" s="3">
        <v>750000</v>
      </c>
      <c r="L415" s="4">
        <v>750000</v>
      </c>
      <c r="M415" s="4">
        <v>750000</v>
      </c>
      <c r="N415" s="4">
        <v>750000</v>
      </c>
      <c r="O415" s="4">
        <v>750000</v>
      </c>
      <c r="P415" s="4">
        <v>750000</v>
      </c>
      <c r="Q415" s="4">
        <v>750000</v>
      </c>
      <c r="R415" s="4">
        <v>750000</v>
      </c>
      <c r="S415" s="4">
        <v>750000</v>
      </c>
      <c r="T415" s="4">
        <v>750000</v>
      </c>
      <c r="U415" s="4">
        <v>750000</v>
      </c>
      <c r="V415" s="4">
        <v>750000</v>
      </c>
      <c r="W415" s="4">
        <v>750000</v>
      </c>
      <c r="X415" s="4">
        <v>750000</v>
      </c>
      <c r="Y415" s="4">
        <v>750000</v>
      </c>
    </row>
    <row r="416" spans="1:25" ht="19.5" customHeight="1" x14ac:dyDescent="0.25">
      <c r="A416" s="2" t="s">
        <v>1059</v>
      </c>
      <c r="B416" s="2" t="s">
        <v>16</v>
      </c>
      <c r="C416" s="2" t="s">
        <v>1083</v>
      </c>
      <c r="D416" s="2" t="s">
        <v>1084</v>
      </c>
      <c r="E416" s="2" t="s">
        <v>1085</v>
      </c>
      <c r="F416" s="3">
        <v>725319.87</v>
      </c>
      <c r="G416" s="3">
        <v>4000000</v>
      </c>
      <c r="H416" s="3">
        <v>5000000</v>
      </c>
      <c r="I416" s="3">
        <v>5000000</v>
      </c>
      <c r="J416" s="3">
        <v>5000000</v>
      </c>
      <c r="K416" s="3">
        <v>5000000</v>
      </c>
      <c r="L416" s="4">
        <v>5000000</v>
      </c>
      <c r="M416" s="4">
        <v>5000000</v>
      </c>
      <c r="N416" s="4">
        <v>5000000</v>
      </c>
      <c r="O416" s="4">
        <v>5000000</v>
      </c>
      <c r="P416" s="4">
        <v>5000000</v>
      </c>
      <c r="Q416" s="4">
        <v>5000000</v>
      </c>
      <c r="R416" s="4">
        <v>5000000</v>
      </c>
      <c r="S416" s="4">
        <v>5000000</v>
      </c>
      <c r="T416" s="4">
        <v>5000000</v>
      </c>
      <c r="U416" s="4">
        <v>5000000</v>
      </c>
      <c r="V416" s="4">
        <v>5000000</v>
      </c>
      <c r="W416" s="4">
        <v>5000000</v>
      </c>
      <c r="X416" s="4">
        <v>5000000</v>
      </c>
      <c r="Y416" s="4">
        <v>5000000</v>
      </c>
    </row>
    <row r="417" spans="1:25" ht="19.5" customHeight="1" x14ac:dyDescent="0.25">
      <c r="A417" s="2" t="s">
        <v>1059</v>
      </c>
      <c r="B417" s="2" t="s">
        <v>16</v>
      </c>
      <c r="C417" s="2" t="s">
        <v>35</v>
      </c>
      <c r="D417" s="8" t="s">
        <v>1088</v>
      </c>
      <c r="E417" s="2" t="s">
        <v>1089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4">
        <v>0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25000000</v>
      </c>
      <c r="W417" s="4">
        <v>0</v>
      </c>
      <c r="X417" s="4">
        <v>25000000</v>
      </c>
      <c r="Y417" s="4">
        <v>0</v>
      </c>
    </row>
    <row r="418" spans="1:25" ht="19.5" customHeight="1" x14ac:dyDescent="0.25">
      <c r="A418" s="2" t="s">
        <v>1059</v>
      </c>
      <c r="B418" s="2" t="s">
        <v>16</v>
      </c>
      <c r="C418" s="2" t="s">
        <v>35</v>
      </c>
      <c r="D418" s="2" t="s">
        <v>1086</v>
      </c>
      <c r="E418" s="2" t="s">
        <v>1087</v>
      </c>
      <c r="F418" s="3">
        <v>0</v>
      </c>
      <c r="G418" s="3">
        <v>5000000</v>
      </c>
      <c r="H418" s="3">
        <v>0</v>
      </c>
      <c r="I418" s="3">
        <v>0</v>
      </c>
      <c r="J418" s="3">
        <v>0</v>
      </c>
      <c r="K418" s="3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</row>
    <row r="419" spans="1:25" ht="19.5" customHeight="1" x14ac:dyDescent="0.25">
      <c r="A419" s="2" t="s">
        <v>1059</v>
      </c>
      <c r="B419" s="2" t="s">
        <v>16</v>
      </c>
      <c r="C419" s="2" t="s">
        <v>35</v>
      </c>
      <c r="D419" s="2" t="s">
        <v>1090</v>
      </c>
      <c r="E419" s="2" t="s">
        <v>1091</v>
      </c>
      <c r="F419" s="3">
        <v>0</v>
      </c>
      <c r="G419" s="3">
        <v>20000000</v>
      </c>
      <c r="H419" s="3">
        <v>0</v>
      </c>
      <c r="I419" s="3">
        <v>0</v>
      </c>
      <c r="J419" s="3">
        <v>0</v>
      </c>
      <c r="K419" s="3">
        <v>0</v>
      </c>
      <c r="L419" s="4">
        <v>0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20000000</v>
      </c>
      <c r="W419" s="4">
        <v>0</v>
      </c>
      <c r="X419" s="4">
        <v>20000000</v>
      </c>
      <c r="Y419" s="4">
        <v>0</v>
      </c>
    </row>
    <row r="420" spans="1:25" ht="19.5" customHeight="1" x14ac:dyDescent="0.25">
      <c r="A420" s="2" t="s">
        <v>1059</v>
      </c>
      <c r="B420" s="2" t="s">
        <v>16</v>
      </c>
      <c r="C420" s="2" t="s">
        <v>35</v>
      </c>
      <c r="D420" s="2" t="s">
        <v>1092</v>
      </c>
      <c r="E420" s="2" t="s">
        <v>1093</v>
      </c>
      <c r="F420" s="3">
        <v>0</v>
      </c>
      <c r="G420" s="3">
        <v>20000000</v>
      </c>
      <c r="H420" s="3">
        <v>0</v>
      </c>
      <c r="I420" s="3">
        <v>0</v>
      </c>
      <c r="J420" s="3">
        <v>0</v>
      </c>
      <c r="K420" s="3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</row>
    <row r="421" spans="1:25" ht="19.5" customHeight="1" x14ac:dyDescent="0.25">
      <c r="A421" s="2" t="s">
        <v>1059</v>
      </c>
      <c r="B421" s="2" t="s">
        <v>16</v>
      </c>
      <c r="C421" s="2" t="s">
        <v>35</v>
      </c>
      <c r="D421" s="2" t="s">
        <v>1094</v>
      </c>
      <c r="E421" s="2" t="s">
        <v>1095</v>
      </c>
      <c r="F421" s="3">
        <v>0</v>
      </c>
      <c r="G421" s="3">
        <v>10000000</v>
      </c>
      <c r="H421" s="3">
        <v>0</v>
      </c>
      <c r="I421" s="3">
        <v>0</v>
      </c>
      <c r="J421" s="3">
        <v>0</v>
      </c>
      <c r="K421" s="3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10000000</v>
      </c>
      <c r="W421" s="4">
        <v>0</v>
      </c>
      <c r="X421" s="4">
        <v>10000000</v>
      </c>
      <c r="Y421" s="4">
        <v>0</v>
      </c>
    </row>
    <row r="422" spans="1:25" ht="19.5" customHeight="1" x14ac:dyDescent="0.25">
      <c r="A422" s="2" t="s">
        <v>1059</v>
      </c>
      <c r="B422" s="2" t="s">
        <v>16</v>
      </c>
      <c r="C422" s="2" t="s">
        <v>35</v>
      </c>
      <c r="D422" s="2" t="s">
        <v>1096</v>
      </c>
      <c r="E422" s="2" t="s">
        <v>1097</v>
      </c>
      <c r="F422" s="3">
        <v>0</v>
      </c>
      <c r="G422" s="3">
        <v>313702500</v>
      </c>
      <c r="H422" s="3">
        <v>0</v>
      </c>
      <c r="I422" s="3">
        <v>0</v>
      </c>
      <c r="J422" s="3">
        <v>0</v>
      </c>
      <c r="K422" s="3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</row>
    <row r="423" spans="1:25" ht="19.5" customHeight="1" x14ac:dyDescent="0.25">
      <c r="A423" s="2" t="s">
        <v>1059</v>
      </c>
      <c r="B423" s="2" t="s">
        <v>16</v>
      </c>
      <c r="C423" s="2" t="s">
        <v>35</v>
      </c>
      <c r="D423" s="2" t="s">
        <v>1098</v>
      </c>
      <c r="E423" s="2" t="s">
        <v>1099</v>
      </c>
      <c r="F423" s="4">
        <v>0</v>
      </c>
      <c r="G423" s="3">
        <v>55200000</v>
      </c>
      <c r="H423" s="3">
        <v>0</v>
      </c>
      <c r="I423" s="3">
        <v>0</v>
      </c>
      <c r="J423" s="3">
        <v>0</v>
      </c>
      <c r="K423" s="3">
        <v>0</v>
      </c>
      <c r="L423" s="4">
        <v>0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</row>
    <row r="424" spans="1:25" ht="19.5" customHeight="1" x14ac:dyDescent="0.25">
      <c r="A424" s="2" t="s">
        <v>1059</v>
      </c>
      <c r="B424" s="2" t="s">
        <v>16</v>
      </c>
      <c r="C424" s="2" t="s">
        <v>1100</v>
      </c>
      <c r="D424" s="2" t="s">
        <v>1101</v>
      </c>
      <c r="E424" s="2" t="s">
        <v>1102</v>
      </c>
      <c r="F424" s="3">
        <v>0</v>
      </c>
      <c r="G424" s="3">
        <v>565000000</v>
      </c>
      <c r="H424" s="3">
        <v>0</v>
      </c>
      <c r="I424" s="3">
        <v>0</v>
      </c>
      <c r="J424" s="3">
        <v>0</v>
      </c>
      <c r="K424" s="3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</row>
    <row r="425" spans="1:25" ht="19.5" customHeight="1" x14ac:dyDescent="0.25">
      <c r="A425" s="2" t="s">
        <v>1059</v>
      </c>
      <c r="B425" s="2" t="s">
        <v>16</v>
      </c>
      <c r="C425" s="2" t="s">
        <v>1118</v>
      </c>
      <c r="D425" s="8" t="s">
        <v>1119</v>
      </c>
      <c r="E425" s="2" t="s">
        <v>1061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230000000</v>
      </c>
      <c r="W425" s="4">
        <v>20000000</v>
      </c>
      <c r="X425" s="4">
        <v>230000000</v>
      </c>
      <c r="Y425" s="4">
        <v>20000000</v>
      </c>
    </row>
    <row r="426" spans="1:25" ht="19.5" customHeight="1" x14ac:dyDescent="0.25">
      <c r="A426" s="2" t="s">
        <v>1059</v>
      </c>
      <c r="B426" s="2" t="s">
        <v>16</v>
      </c>
      <c r="C426" s="2" t="s">
        <v>1103</v>
      </c>
      <c r="D426" s="2" t="s">
        <v>1104</v>
      </c>
      <c r="E426" s="2" t="s">
        <v>1105</v>
      </c>
      <c r="F426" s="3">
        <v>2711237.28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</row>
    <row r="427" spans="1:25" ht="19.5" customHeight="1" x14ac:dyDescent="0.25">
      <c r="A427" s="2" t="s">
        <v>1059</v>
      </c>
      <c r="B427" s="2" t="s">
        <v>16</v>
      </c>
      <c r="C427" s="2" t="s">
        <v>1103</v>
      </c>
      <c r="D427" s="2" t="s">
        <v>1106</v>
      </c>
      <c r="E427" s="2" t="s">
        <v>1107</v>
      </c>
      <c r="F427" s="3">
        <v>0</v>
      </c>
      <c r="G427" s="4">
        <v>4812188</v>
      </c>
      <c r="H427" s="4">
        <v>8300000</v>
      </c>
      <c r="I427" s="4">
        <v>0</v>
      </c>
      <c r="J427" s="4">
        <v>8300000</v>
      </c>
      <c r="K427" s="4">
        <v>0</v>
      </c>
      <c r="L427" s="4">
        <v>8300000</v>
      </c>
      <c r="M427" s="4">
        <v>0</v>
      </c>
      <c r="N427" s="4">
        <v>8300000</v>
      </c>
      <c r="O427" s="4">
        <v>0</v>
      </c>
      <c r="P427" s="4">
        <v>33300000</v>
      </c>
      <c r="Q427" s="4">
        <v>25000000</v>
      </c>
      <c r="R427" s="4">
        <v>33300000</v>
      </c>
      <c r="S427" s="4">
        <v>25000000</v>
      </c>
      <c r="T427" s="4">
        <v>33300000</v>
      </c>
      <c r="U427" s="4">
        <v>25000000</v>
      </c>
      <c r="V427" s="4">
        <v>33300000</v>
      </c>
      <c r="W427" s="4">
        <v>25000000</v>
      </c>
      <c r="X427" s="4">
        <v>33300000</v>
      </c>
      <c r="Y427" s="4">
        <v>25000000</v>
      </c>
    </row>
    <row r="428" spans="1:25" ht="19.5" customHeight="1" x14ac:dyDescent="0.25">
      <c r="A428" s="2" t="s">
        <v>1059</v>
      </c>
      <c r="B428" s="2" t="s">
        <v>16</v>
      </c>
      <c r="C428" s="2" t="s">
        <v>1103</v>
      </c>
      <c r="D428" s="2" t="s">
        <v>1108</v>
      </c>
      <c r="E428" s="2" t="s">
        <v>1109</v>
      </c>
      <c r="F428" s="3">
        <v>950114.31</v>
      </c>
      <c r="G428" s="3">
        <v>1000000</v>
      </c>
      <c r="H428" s="3">
        <v>0</v>
      </c>
      <c r="I428" s="3">
        <v>0</v>
      </c>
      <c r="J428" s="3">
        <v>0</v>
      </c>
      <c r="K428" s="3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</row>
    <row r="429" spans="1:25" ht="19.5" customHeight="1" x14ac:dyDescent="0.25">
      <c r="A429" s="2" t="s">
        <v>1059</v>
      </c>
      <c r="B429" s="2" t="s">
        <v>16</v>
      </c>
      <c r="C429" s="2" t="s">
        <v>1103</v>
      </c>
      <c r="D429" s="2" t="s">
        <v>1110</v>
      </c>
      <c r="E429" s="2" t="s">
        <v>1111</v>
      </c>
      <c r="F429" s="3">
        <v>854816.98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</row>
    <row r="430" spans="1:25" ht="19.5" customHeight="1" x14ac:dyDescent="0.25">
      <c r="A430" s="2" t="s">
        <v>1059</v>
      </c>
      <c r="B430" s="2" t="s">
        <v>16</v>
      </c>
      <c r="C430" s="2" t="s">
        <v>1112</v>
      </c>
      <c r="D430" s="2" t="s">
        <v>1113</v>
      </c>
      <c r="E430" s="2" t="s">
        <v>1114</v>
      </c>
      <c r="F430" s="3">
        <v>698356.08</v>
      </c>
      <c r="G430" s="3">
        <v>800000</v>
      </c>
      <c r="H430" s="3">
        <v>800000</v>
      </c>
      <c r="I430" s="3">
        <v>800000</v>
      </c>
      <c r="J430" s="3">
        <v>800000</v>
      </c>
      <c r="K430" s="3">
        <v>800000</v>
      </c>
      <c r="L430" s="4">
        <v>800000</v>
      </c>
      <c r="M430" s="4">
        <v>800000</v>
      </c>
      <c r="N430" s="4">
        <v>800000</v>
      </c>
      <c r="O430" s="4">
        <v>800000</v>
      </c>
      <c r="P430" s="4">
        <v>800000</v>
      </c>
      <c r="Q430" s="4">
        <v>800000</v>
      </c>
      <c r="R430" s="4">
        <v>800000</v>
      </c>
      <c r="S430" s="4">
        <v>800000</v>
      </c>
      <c r="T430" s="4">
        <v>800000</v>
      </c>
      <c r="U430" s="4">
        <v>800000</v>
      </c>
      <c r="V430" s="4">
        <v>800000</v>
      </c>
      <c r="W430" s="4">
        <v>800000</v>
      </c>
      <c r="X430" s="4">
        <v>800000</v>
      </c>
      <c r="Y430" s="4">
        <v>800000</v>
      </c>
    </row>
    <row r="431" spans="1:25" ht="19.5" customHeight="1" x14ac:dyDescent="0.25">
      <c r="A431" s="2" t="s">
        <v>1059</v>
      </c>
      <c r="B431" s="2" t="s">
        <v>16</v>
      </c>
      <c r="C431" s="2" t="s">
        <v>1115</v>
      </c>
      <c r="D431" s="8" t="s">
        <v>1120</v>
      </c>
      <c r="E431" s="2" t="s">
        <v>1121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1000000</v>
      </c>
      <c r="W431" s="4">
        <v>0</v>
      </c>
      <c r="X431" s="4">
        <v>1000000</v>
      </c>
      <c r="Y431" s="4">
        <v>0</v>
      </c>
    </row>
    <row r="432" spans="1:25" ht="19.5" customHeight="1" x14ac:dyDescent="0.25">
      <c r="A432" s="2" t="s">
        <v>1059</v>
      </c>
      <c r="B432" s="2" t="s">
        <v>16</v>
      </c>
      <c r="C432" s="2" t="s">
        <v>1115</v>
      </c>
      <c r="D432" s="2" t="s">
        <v>1116</v>
      </c>
      <c r="E432" s="2" t="s">
        <v>1117</v>
      </c>
      <c r="F432" s="3">
        <v>560679.06999999995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</row>
    <row r="433" spans="1:25" ht="19.5" customHeight="1" x14ac:dyDescent="0.25">
      <c r="A433" s="2" t="s">
        <v>1059</v>
      </c>
      <c r="B433" s="2" t="s">
        <v>16</v>
      </c>
      <c r="C433" s="2" t="s">
        <v>1128</v>
      </c>
      <c r="D433" s="2" t="s">
        <v>1129</v>
      </c>
      <c r="E433" s="2" t="s">
        <v>1130</v>
      </c>
      <c r="F433" s="3">
        <v>898890.96</v>
      </c>
      <c r="G433" s="3">
        <v>1000000</v>
      </c>
      <c r="H433" s="3">
        <v>1000000</v>
      </c>
      <c r="I433" s="3">
        <v>1000000</v>
      </c>
      <c r="J433" s="3">
        <v>1000000</v>
      </c>
      <c r="K433" s="3">
        <v>1000000</v>
      </c>
      <c r="L433" s="4">
        <v>1000000</v>
      </c>
      <c r="M433" s="4">
        <v>1000000</v>
      </c>
      <c r="N433" s="4">
        <v>1000000</v>
      </c>
      <c r="O433" s="4">
        <v>1000000</v>
      </c>
      <c r="P433" s="4">
        <v>1000000</v>
      </c>
      <c r="Q433" s="4">
        <v>1000000</v>
      </c>
      <c r="R433" s="4">
        <v>1000000</v>
      </c>
      <c r="S433" s="4">
        <v>1000000</v>
      </c>
      <c r="T433" s="4">
        <v>1000000</v>
      </c>
      <c r="U433" s="4">
        <v>1000000</v>
      </c>
      <c r="V433" s="4">
        <v>1000000</v>
      </c>
      <c r="W433" s="4">
        <v>1000000</v>
      </c>
      <c r="X433" s="4">
        <v>1000000</v>
      </c>
      <c r="Y433" s="4">
        <v>1000000</v>
      </c>
    </row>
    <row r="434" spans="1:25" ht="19.5" customHeight="1" x14ac:dyDescent="0.25">
      <c r="A434" s="2" t="s">
        <v>1059</v>
      </c>
      <c r="B434" s="2" t="s">
        <v>16</v>
      </c>
      <c r="C434" s="2" t="s">
        <v>1131</v>
      </c>
      <c r="D434" s="2" t="s">
        <v>1132</v>
      </c>
      <c r="E434" s="2" t="s">
        <v>1133</v>
      </c>
      <c r="F434" s="3">
        <v>892488.96</v>
      </c>
      <c r="G434" s="3">
        <v>321134.53000000003</v>
      </c>
      <c r="H434" s="3">
        <v>0</v>
      </c>
      <c r="I434" s="3">
        <v>0</v>
      </c>
      <c r="J434" s="3">
        <v>0</v>
      </c>
      <c r="K434" s="3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</row>
    <row r="435" spans="1:25" ht="19.5" customHeight="1" x14ac:dyDescent="0.25">
      <c r="A435" s="2" t="s">
        <v>1059</v>
      </c>
      <c r="B435" s="2" t="s">
        <v>16</v>
      </c>
      <c r="C435" s="2" t="s">
        <v>1134</v>
      </c>
      <c r="D435" s="2" t="s">
        <v>1135</v>
      </c>
      <c r="E435" s="2" t="s">
        <v>1136</v>
      </c>
      <c r="F435" s="3">
        <v>214782971.83000001</v>
      </c>
      <c r="G435" s="3">
        <v>350000000</v>
      </c>
      <c r="H435" s="3">
        <v>325000000</v>
      </c>
      <c r="I435" s="3">
        <v>325000000</v>
      </c>
      <c r="J435" s="3">
        <v>325000000</v>
      </c>
      <c r="K435" s="3">
        <v>325000000</v>
      </c>
      <c r="L435" s="4">
        <v>325000000</v>
      </c>
      <c r="M435" s="4">
        <v>325000000</v>
      </c>
      <c r="N435" s="4">
        <v>325000000</v>
      </c>
      <c r="O435" s="4">
        <v>325000000</v>
      </c>
      <c r="P435" s="4">
        <v>325000000</v>
      </c>
      <c r="Q435" s="4">
        <v>325000000</v>
      </c>
      <c r="R435" s="4">
        <v>325000000</v>
      </c>
      <c r="S435" s="4">
        <v>325000000</v>
      </c>
      <c r="T435" s="4">
        <v>325000000</v>
      </c>
      <c r="U435" s="4">
        <v>325000000</v>
      </c>
      <c r="V435" s="4">
        <v>325000000</v>
      </c>
      <c r="W435" s="4">
        <v>325000000</v>
      </c>
      <c r="X435" s="4">
        <v>325000000</v>
      </c>
      <c r="Y435" s="4">
        <v>325000000</v>
      </c>
    </row>
    <row r="436" spans="1:25" ht="19.5" customHeight="1" x14ac:dyDescent="0.25">
      <c r="A436" s="2" t="s">
        <v>1059</v>
      </c>
      <c r="B436" s="2" t="s">
        <v>16</v>
      </c>
      <c r="C436" s="2" t="s">
        <v>1137</v>
      </c>
      <c r="D436" s="2" t="s">
        <v>1138</v>
      </c>
      <c r="E436" s="2" t="s">
        <v>1139</v>
      </c>
      <c r="F436" s="3">
        <v>1525025.48</v>
      </c>
      <c r="G436" s="3">
        <v>10000000</v>
      </c>
      <c r="H436" s="3">
        <v>8500000</v>
      </c>
      <c r="I436" s="3">
        <v>8500000</v>
      </c>
      <c r="J436" s="3">
        <v>8500000</v>
      </c>
      <c r="K436" s="3">
        <v>8500000</v>
      </c>
      <c r="L436" s="4">
        <v>8500000</v>
      </c>
      <c r="M436" s="4">
        <v>8500000</v>
      </c>
      <c r="N436" s="4">
        <v>8500000</v>
      </c>
      <c r="O436" s="4">
        <v>8500000</v>
      </c>
      <c r="P436" s="4">
        <v>8500000</v>
      </c>
      <c r="Q436" s="4">
        <v>8500000</v>
      </c>
      <c r="R436" s="4">
        <v>8500000</v>
      </c>
      <c r="S436" s="4">
        <v>8500000</v>
      </c>
      <c r="T436" s="4">
        <v>8500000</v>
      </c>
      <c r="U436" s="4">
        <v>8500000</v>
      </c>
      <c r="V436" s="4">
        <v>8500000</v>
      </c>
      <c r="W436" s="4">
        <v>8500000</v>
      </c>
      <c r="X436" s="4">
        <v>8500000</v>
      </c>
      <c r="Y436" s="4">
        <v>8500000</v>
      </c>
    </row>
    <row r="437" spans="1:25" ht="19.5" customHeight="1" x14ac:dyDescent="0.25">
      <c r="A437" s="2" t="s">
        <v>1059</v>
      </c>
      <c r="B437" s="2" t="s">
        <v>16</v>
      </c>
      <c r="C437" s="2" t="s">
        <v>1140</v>
      </c>
      <c r="D437" s="2" t="s">
        <v>1141</v>
      </c>
      <c r="E437" s="2" t="s">
        <v>1142</v>
      </c>
      <c r="F437" s="3">
        <v>0</v>
      </c>
      <c r="G437" s="3">
        <v>2500</v>
      </c>
      <c r="H437" s="3">
        <v>2500</v>
      </c>
      <c r="I437" s="3">
        <v>2500</v>
      </c>
      <c r="J437" s="3">
        <v>2500</v>
      </c>
      <c r="K437" s="3">
        <v>2500</v>
      </c>
      <c r="L437" s="4">
        <v>2500</v>
      </c>
      <c r="M437" s="4">
        <v>2500</v>
      </c>
      <c r="N437" s="4">
        <v>2500</v>
      </c>
      <c r="O437" s="4">
        <v>2500</v>
      </c>
      <c r="P437" s="4">
        <v>2500</v>
      </c>
      <c r="Q437" s="4">
        <v>2500</v>
      </c>
      <c r="R437" s="4">
        <v>2500</v>
      </c>
      <c r="S437" s="4">
        <v>2500</v>
      </c>
      <c r="T437" s="4">
        <v>2500</v>
      </c>
      <c r="U437" s="4">
        <v>2500</v>
      </c>
      <c r="V437" s="4">
        <v>2500</v>
      </c>
      <c r="W437" s="4">
        <v>2500</v>
      </c>
      <c r="X437" s="4">
        <v>2500</v>
      </c>
      <c r="Y437" s="4">
        <v>2500</v>
      </c>
    </row>
    <row r="438" spans="1:25" ht="19.5" customHeight="1" x14ac:dyDescent="0.25">
      <c r="A438" s="2" t="s">
        <v>1059</v>
      </c>
      <c r="B438" s="2" t="s">
        <v>16</v>
      </c>
      <c r="C438" s="2" t="s">
        <v>1143</v>
      </c>
      <c r="D438" s="2" t="s">
        <v>1144</v>
      </c>
      <c r="E438" s="2" t="s">
        <v>1145</v>
      </c>
      <c r="F438" s="3">
        <v>11872265.48</v>
      </c>
      <c r="G438" s="3">
        <v>10000000</v>
      </c>
      <c r="H438" s="3">
        <v>10000000</v>
      </c>
      <c r="I438" s="3">
        <v>10000000</v>
      </c>
      <c r="J438" s="3">
        <v>10000000</v>
      </c>
      <c r="K438" s="3">
        <v>10000000</v>
      </c>
      <c r="L438" s="4">
        <v>10000000</v>
      </c>
      <c r="M438" s="4">
        <v>10000000</v>
      </c>
      <c r="N438" s="4">
        <v>10000000</v>
      </c>
      <c r="O438" s="4">
        <v>10000000</v>
      </c>
      <c r="P438" s="4">
        <v>10000000</v>
      </c>
      <c r="Q438" s="4">
        <v>10000000</v>
      </c>
      <c r="R438" s="4">
        <v>10000000</v>
      </c>
      <c r="S438" s="4">
        <v>10000000</v>
      </c>
      <c r="T438" s="4">
        <v>10000000</v>
      </c>
      <c r="U438" s="4">
        <v>10000000</v>
      </c>
      <c r="V438" s="4">
        <v>10000000</v>
      </c>
      <c r="W438" s="4">
        <v>10000000</v>
      </c>
      <c r="X438" s="4">
        <v>10000000</v>
      </c>
      <c r="Y438" s="4">
        <v>10000000</v>
      </c>
    </row>
    <row r="439" spans="1:25" ht="19.5" customHeight="1" x14ac:dyDescent="0.25">
      <c r="A439" s="2" t="s">
        <v>1059</v>
      </c>
      <c r="B439" s="2" t="s">
        <v>16</v>
      </c>
      <c r="C439" s="2" t="s">
        <v>1146</v>
      </c>
      <c r="D439" s="2" t="s">
        <v>1147</v>
      </c>
      <c r="E439" s="2" t="s">
        <v>1148</v>
      </c>
      <c r="F439" s="4">
        <v>67.31</v>
      </c>
      <c r="G439" s="3">
        <v>2500000</v>
      </c>
      <c r="H439" s="3">
        <v>2500000</v>
      </c>
      <c r="I439" s="3">
        <v>2500000</v>
      </c>
      <c r="J439" s="3">
        <v>2500000</v>
      </c>
      <c r="K439" s="3">
        <v>2500000</v>
      </c>
      <c r="L439" s="4">
        <v>2500000</v>
      </c>
      <c r="M439" s="4">
        <v>2500000</v>
      </c>
      <c r="N439" s="4">
        <v>2500000</v>
      </c>
      <c r="O439" s="4">
        <v>2500000</v>
      </c>
      <c r="P439" s="4">
        <v>2500000</v>
      </c>
      <c r="Q439" s="4">
        <v>2500000</v>
      </c>
      <c r="R439" s="4">
        <v>2500000</v>
      </c>
      <c r="S439" s="4">
        <v>2500000</v>
      </c>
      <c r="T439" s="4">
        <v>2500000</v>
      </c>
      <c r="U439" s="4">
        <v>2500000</v>
      </c>
      <c r="V439" s="4">
        <v>2500000</v>
      </c>
      <c r="W439" s="4">
        <v>2500000</v>
      </c>
      <c r="X439" s="4">
        <v>2500000</v>
      </c>
      <c r="Y439" s="4">
        <v>2500000</v>
      </c>
    </row>
    <row r="440" spans="1:25" ht="19.5" customHeight="1" x14ac:dyDescent="0.25">
      <c r="A440" s="2" t="s">
        <v>1059</v>
      </c>
      <c r="B440" s="2" t="s">
        <v>16</v>
      </c>
      <c r="C440" s="2" t="s">
        <v>1149</v>
      </c>
      <c r="D440" s="2" t="s">
        <v>1150</v>
      </c>
      <c r="E440" s="2" t="s">
        <v>1151</v>
      </c>
      <c r="F440" s="3">
        <v>2028290.84</v>
      </c>
      <c r="G440" s="3">
        <v>2000000</v>
      </c>
      <c r="H440" s="3">
        <v>0</v>
      </c>
      <c r="I440" s="3">
        <v>0</v>
      </c>
      <c r="J440" s="3">
        <v>0</v>
      </c>
      <c r="K440" s="3">
        <v>0</v>
      </c>
      <c r="L440" s="4">
        <v>0</v>
      </c>
      <c r="M440" s="4">
        <v>0</v>
      </c>
      <c r="N440" s="4">
        <v>0</v>
      </c>
      <c r="O440" s="4">
        <v>0</v>
      </c>
      <c r="P440" s="4">
        <v>10000000</v>
      </c>
      <c r="Q440" s="4">
        <v>0</v>
      </c>
      <c r="R440" s="4">
        <v>10000000</v>
      </c>
      <c r="S440" s="4">
        <v>0</v>
      </c>
      <c r="T440" s="4">
        <v>10000000</v>
      </c>
      <c r="U440" s="4">
        <v>0</v>
      </c>
      <c r="V440" s="4">
        <v>10000000</v>
      </c>
      <c r="W440" s="4">
        <v>0</v>
      </c>
      <c r="X440" s="4">
        <v>10000000</v>
      </c>
      <c r="Y440" s="4">
        <v>0</v>
      </c>
    </row>
    <row r="441" spans="1:25" ht="19.5" customHeight="1" x14ac:dyDescent="0.25">
      <c r="A441" s="2" t="s">
        <v>1059</v>
      </c>
      <c r="B441" s="2" t="s">
        <v>16</v>
      </c>
      <c r="C441" s="2" t="s">
        <v>1152</v>
      </c>
      <c r="D441" s="2" t="s">
        <v>1153</v>
      </c>
      <c r="E441" s="2" t="s">
        <v>1154</v>
      </c>
      <c r="F441" s="3">
        <v>1072.42</v>
      </c>
      <c r="G441" s="3">
        <v>0</v>
      </c>
      <c r="H441" s="3">
        <v>50000</v>
      </c>
      <c r="I441" s="3">
        <v>50000</v>
      </c>
      <c r="J441" s="3">
        <v>50000</v>
      </c>
      <c r="K441" s="3">
        <v>50000</v>
      </c>
      <c r="L441" s="4">
        <v>50000</v>
      </c>
      <c r="M441" s="4">
        <v>50000</v>
      </c>
      <c r="N441" s="4">
        <v>50000</v>
      </c>
      <c r="O441" s="4">
        <v>50000</v>
      </c>
      <c r="P441" s="4">
        <v>50000</v>
      </c>
      <c r="Q441" s="4">
        <v>50000</v>
      </c>
      <c r="R441" s="4">
        <v>50000</v>
      </c>
      <c r="S441" s="4">
        <v>50000</v>
      </c>
      <c r="T441" s="4">
        <v>50000</v>
      </c>
      <c r="U441" s="4">
        <v>50000</v>
      </c>
      <c r="V441" s="4">
        <v>50000</v>
      </c>
      <c r="W441" s="4">
        <v>50000</v>
      </c>
      <c r="X441" s="4">
        <v>50000</v>
      </c>
      <c r="Y441" s="4">
        <v>50000</v>
      </c>
    </row>
    <row r="442" spans="1:25" ht="19.5" customHeight="1" x14ac:dyDescent="0.25">
      <c r="A442" s="2" t="s">
        <v>1059</v>
      </c>
      <c r="B442" s="2" t="s">
        <v>16</v>
      </c>
      <c r="C442" s="2" t="s">
        <v>1155</v>
      </c>
      <c r="D442" s="2" t="s">
        <v>1156</v>
      </c>
      <c r="E442" s="2" t="s">
        <v>1157</v>
      </c>
      <c r="F442" s="3">
        <v>0</v>
      </c>
      <c r="G442" s="3">
        <v>0</v>
      </c>
      <c r="H442" s="3">
        <v>5000000</v>
      </c>
      <c r="I442" s="3">
        <v>5000000</v>
      </c>
      <c r="J442" s="3">
        <v>5000000</v>
      </c>
      <c r="K442" s="3">
        <v>5000000</v>
      </c>
      <c r="L442" s="4">
        <v>5000000</v>
      </c>
      <c r="M442" s="4">
        <v>5000000</v>
      </c>
      <c r="N442" s="4">
        <v>5000000</v>
      </c>
      <c r="O442" s="4">
        <v>5000000</v>
      </c>
      <c r="P442" s="4">
        <v>5000000</v>
      </c>
      <c r="Q442" s="4">
        <v>5000000</v>
      </c>
      <c r="R442" s="4">
        <v>5000000</v>
      </c>
      <c r="S442" s="4">
        <v>5000000</v>
      </c>
      <c r="T442" s="4">
        <v>5000000</v>
      </c>
      <c r="U442" s="4">
        <v>5000000</v>
      </c>
      <c r="V442" s="4">
        <v>5000000</v>
      </c>
      <c r="W442" s="4">
        <v>5000000</v>
      </c>
      <c r="X442" s="4">
        <v>5000000</v>
      </c>
      <c r="Y442" s="4">
        <v>5000000</v>
      </c>
    </row>
    <row r="443" spans="1:25" ht="19.5" customHeight="1" x14ac:dyDescent="0.25">
      <c r="A443" s="2" t="s">
        <v>1059</v>
      </c>
      <c r="B443" s="2" t="s">
        <v>16</v>
      </c>
      <c r="C443" s="2" t="s">
        <v>1155</v>
      </c>
      <c r="D443" s="2" t="s">
        <v>1158</v>
      </c>
      <c r="E443" s="2" t="s">
        <v>1159</v>
      </c>
      <c r="F443" s="3">
        <v>0</v>
      </c>
      <c r="G443" s="3">
        <v>0</v>
      </c>
      <c r="H443" s="3">
        <v>5000000</v>
      </c>
      <c r="I443" s="3">
        <v>5000000</v>
      </c>
      <c r="J443" s="3">
        <v>5000000</v>
      </c>
      <c r="K443" s="3">
        <v>5000000</v>
      </c>
      <c r="L443" s="4">
        <v>5000000</v>
      </c>
      <c r="M443" s="4">
        <v>5000000</v>
      </c>
      <c r="N443" s="4">
        <v>5000000</v>
      </c>
      <c r="O443" s="4">
        <v>5000000</v>
      </c>
      <c r="P443" s="4">
        <v>5000000</v>
      </c>
      <c r="Q443" s="4">
        <v>5000000</v>
      </c>
      <c r="R443" s="4">
        <v>5000000</v>
      </c>
      <c r="S443" s="4">
        <v>5000000</v>
      </c>
      <c r="T443" s="4">
        <v>5000000</v>
      </c>
      <c r="U443" s="4">
        <v>5000000</v>
      </c>
      <c r="V443" s="4">
        <v>5000000</v>
      </c>
      <c r="W443" s="4">
        <v>5000000</v>
      </c>
      <c r="X443" s="4">
        <v>5000000</v>
      </c>
      <c r="Y443" s="4">
        <v>5000000</v>
      </c>
    </row>
    <row r="444" spans="1:25" ht="19.5" customHeight="1" x14ac:dyDescent="0.25">
      <c r="A444" s="6" t="s">
        <v>1059</v>
      </c>
      <c r="B444" s="6" t="s">
        <v>16</v>
      </c>
      <c r="C444" s="6" t="s">
        <v>1160</v>
      </c>
      <c r="D444" s="7" t="s">
        <v>1161</v>
      </c>
      <c r="E444" s="6" t="s">
        <v>1162</v>
      </c>
      <c r="F444" s="4">
        <v>0</v>
      </c>
      <c r="G444" s="4">
        <v>0</v>
      </c>
      <c r="H444" s="4">
        <v>0</v>
      </c>
      <c r="I444" s="4">
        <v>0</v>
      </c>
      <c r="J444" s="4">
        <v>20000000</v>
      </c>
      <c r="K444" s="4">
        <v>0</v>
      </c>
      <c r="L444" s="4">
        <v>20000000</v>
      </c>
      <c r="M444" s="4">
        <v>0</v>
      </c>
      <c r="N444" s="4">
        <v>20000000</v>
      </c>
      <c r="O444" s="4">
        <v>0</v>
      </c>
      <c r="P444" s="4">
        <v>20000000</v>
      </c>
      <c r="Q444" s="4">
        <v>0</v>
      </c>
      <c r="R444" s="4">
        <v>20000000</v>
      </c>
      <c r="S444" s="4">
        <v>0</v>
      </c>
      <c r="T444" s="4">
        <v>20000000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</row>
    <row r="445" spans="1:25" ht="19.5" customHeight="1" x14ac:dyDescent="0.25">
      <c r="A445" s="2" t="s">
        <v>1059</v>
      </c>
      <c r="B445" s="2" t="s">
        <v>16</v>
      </c>
      <c r="C445" s="2" t="s">
        <v>1160</v>
      </c>
      <c r="D445" s="2" t="s">
        <v>1163</v>
      </c>
      <c r="E445" s="2" t="s">
        <v>1107</v>
      </c>
      <c r="F445" s="3">
        <v>0</v>
      </c>
      <c r="G445" s="3">
        <v>5000000</v>
      </c>
      <c r="H445" s="3">
        <v>0</v>
      </c>
      <c r="I445" s="3">
        <v>0</v>
      </c>
      <c r="J445" s="3">
        <v>0</v>
      </c>
      <c r="K445" s="3">
        <v>0</v>
      </c>
      <c r="L445" s="4">
        <v>0</v>
      </c>
      <c r="M445" s="4">
        <v>0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</row>
    <row r="446" spans="1:25" ht="19.5" customHeight="1" x14ac:dyDescent="0.25">
      <c r="A446" s="2" t="s">
        <v>1059</v>
      </c>
      <c r="B446" s="2" t="s">
        <v>16</v>
      </c>
      <c r="C446" s="2" t="s">
        <v>1160</v>
      </c>
      <c r="D446" s="2" t="s">
        <v>1164</v>
      </c>
      <c r="E446" s="2" t="s">
        <v>1165</v>
      </c>
      <c r="F446" s="3">
        <v>0</v>
      </c>
      <c r="G446" s="3">
        <v>100000000</v>
      </c>
      <c r="H446" s="3">
        <v>0</v>
      </c>
      <c r="I446" s="3">
        <v>0</v>
      </c>
      <c r="J446" s="3">
        <v>100000000</v>
      </c>
      <c r="K446" s="3">
        <v>0</v>
      </c>
      <c r="L446" s="4">
        <v>100000000</v>
      </c>
      <c r="M446" s="4">
        <v>0</v>
      </c>
      <c r="N446" s="4">
        <v>100000000</v>
      </c>
      <c r="O446" s="4">
        <v>0</v>
      </c>
      <c r="P446" s="4">
        <v>100000000</v>
      </c>
      <c r="Q446" s="4">
        <v>0</v>
      </c>
      <c r="R446" s="4">
        <v>100000000</v>
      </c>
      <c r="S446" s="4">
        <v>0</v>
      </c>
      <c r="T446" s="4">
        <v>100000000</v>
      </c>
      <c r="U446" s="4">
        <v>0</v>
      </c>
      <c r="V446" s="4">
        <v>100000000</v>
      </c>
      <c r="W446" s="4">
        <v>0</v>
      </c>
      <c r="X446" s="4">
        <v>100000000</v>
      </c>
      <c r="Y446" s="4">
        <v>0</v>
      </c>
    </row>
    <row r="447" spans="1:25" ht="19.5" customHeight="1" x14ac:dyDescent="0.25">
      <c r="A447" s="2" t="s">
        <v>1059</v>
      </c>
      <c r="B447" s="2" t="s">
        <v>16</v>
      </c>
      <c r="C447" s="2" t="s">
        <v>1160</v>
      </c>
      <c r="D447" s="2" t="s">
        <v>1166</v>
      </c>
      <c r="E447" s="2" t="s">
        <v>1089</v>
      </c>
      <c r="F447" s="3">
        <v>0</v>
      </c>
      <c r="G447" s="3">
        <v>25000000</v>
      </c>
      <c r="H447" s="3">
        <v>0</v>
      </c>
      <c r="I447" s="3">
        <v>0</v>
      </c>
      <c r="J447" s="3">
        <v>25000000</v>
      </c>
      <c r="K447" s="3">
        <v>0</v>
      </c>
      <c r="L447" s="4">
        <v>25000000</v>
      </c>
      <c r="M447" s="4">
        <v>0</v>
      </c>
      <c r="N447" s="4">
        <v>25000000</v>
      </c>
      <c r="O447" s="4">
        <v>0</v>
      </c>
      <c r="P447" s="4">
        <v>25000000</v>
      </c>
      <c r="Q447" s="4">
        <v>0</v>
      </c>
      <c r="R447" s="4">
        <v>25000000</v>
      </c>
      <c r="S447" s="4">
        <v>0</v>
      </c>
      <c r="T447" s="4">
        <v>25000000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</row>
    <row r="448" spans="1:25" ht="19.5" customHeight="1" x14ac:dyDescent="0.25">
      <c r="A448" s="6" t="s">
        <v>1059</v>
      </c>
      <c r="B448" s="6" t="s">
        <v>16</v>
      </c>
      <c r="C448" s="6" t="s">
        <v>1160</v>
      </c>
      <c r="D448" s="7" t="s">
        <v>1167</v>
      </c>
      <c r="E448" s="6" t="s">
        <v>1168</v>
      </c>
      <c r="F448" s="4">
        <v>0</v>
      </c>
      <c r="G448" s="4">
        <v>0</v>
      </c>
      <c r="H448" s="4">
        <v>0</v>
      </c>
      <c r="I448" s="4">
        <v>0</v>
      </c>
      <c r="J448" s="4">
        <v>10000000</v>
      </c>
      <c r="K448" s="4">
        <v>0</v>
      </c>
      <c r="L448" s="4">
        <v>10000000</v>
      </c>
      <c r="M448" s="4">
        <v>0</v>
      </c>
      <c r="N448" s="4">
        <v>10000000</v>
      </c>
      <c r="O448" s="4">
        <v>0</v>
      </c>
      <c r="P448" s="4">
        <v>10000000</v>
      </c>
      <c r="Q448" s="4">
        <v>0</v>
      </c>
      <c r="R448" s="4">
        <v>10000000</v>
      </c>
      <c r="S448" s="4">
        <v>0</v>
      </c>
      <c r="T448" s="4">
        <v>10000000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</row>
    <row r="449" spans="1:25" ht="19.5" customHeight="1" x14ac:dyDescent="0.25">
      <c r="A449" s="6" t="s">
        <v>1059</v>
      </c>
      <c r="B449" s="6" t="s">
        <v>16</v>
      </c>
      <c r="C449" s="6" t="s">
        <v>1169</v>
      </c>
      <c r="D449" s="7" t="s">
        <v>1170</v>
      </c>
      <c r="E449" s="6" t="s">
        <v>1171</v>
      </c>
      <c r="F449" s="4">
        <v>0</v>
      </c>
      <c r="G449" s="4">
        <v>0</v>
      </c>
      <c r="H449" s="4">
        <v>0</v>
      </c>
      <c r="I449" s="4">
        <v>0</v>
      </c>
      <c r="J449" s="4">
        <v>170000000</v>
      </c>
      <c r="K449" s="4">
        <v>20000000</v>
      </c>
      <c r="L449" s="4">
        <v>170000000</v>
      </c>
      <c r="M449" s="4">
        <v>20000000</v>
      </c>
      <c r="N449" s="4">
        <v>170000000</v>
      </c>
      <c r="O449" s="4">
        <v>20000000</v>
      </c>
      <c r="P449" s="4">
        <v>170000000</v>
      </c>
      <c r="Q449" s="4">
        <v>20000000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</row>
    <row r="450" spans="1:25" ht="19.5" customHeight="1" x14ac:dyDescent="0.25">
      <c r="A450" s="2" t="s">
        <v>1059</v>
      </c>
      <c r="B450" s="2" t="s">
        <v>16</v>
      </c>
      <c r="C450" s="2" t="s">
        <v>1172</v>
      </c>
      <c r="D450" s="8" t="s">
        <v>1173</v>
      </c>
      <c r="E450" s="2" t="s">
        <v>333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4">
        <v>10000000</v>
      </c>
      <c r="M450" s="4">
        <v>0</v>
      </c>
      <c r="N450" s="4">
        <v>10000000</v>
      </c>
      <c r="O450" s="4">
        <v>0</v>
      </c>
      <c r="P450" s="4">
        <v>10000000</v>
      </c>
      <c r="Q450" s="4">
        <v>0</v>
      </c>
      <c r="R450" s="4">
        <v>10000000</v>
      </c>
      <c r="S450" s="4">
        <v>0</v>
      </c>
      <c r="T450" s="4">
        <v>10000000</v>
      </c>
      <c r="U450" s="4">
        <v>0</v>
      </c>
      <c r="V450" s="4">
        <v>10000000</v>
      </c>
      <c r="W450" s="4">
        <v>0</v>
      </c>
      <c r="X450" s="4">
        <v>10000000</v>
      </c>
      <c r="Y450" s="4">
        <v>0</v>
      </c>
    </row>
    <row r="451" spans="1:25" ht="19.5" customHeight="1" x14ac:dyDescent="0.25">
      <c r="A451" s="6" t="s">
        <v>1059</v>
      </c>
      <c r="B451" s="6" t="s">
        <v>16</v>
      </c>
      <c r="C451" s="6" t="s">
        <v>1174</v>
      </c>
      <c r="D451" s="7" t="s">
        <v>1175</v>
      </c>
      <c r="E451" s="6" t="s">
        <v>1176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0</v>
      </c>
      <c r="O451" s="9">
        <v>0</v>
      </c>
      <c r="P451" s="4">
        <v>1000000</v>
      </c>
      <c r="Q451" s="4">
        <v>0</v>
      </c>
      <c r="R451" s="4">
        <v>1000000</v>
      </c>
      <c r="S451" s="4">
        <v>0</v>
      </c>
      <c r="T451" s="4">
        <v>1000000</v>
      </c>
      <c r="U451" s="4">
        <v>0</v>
      </c>
      <c r="V451" s="4">
        <v>1000000</v>
      </c>
      <c r="W451" s="4">
        <v>0</v>
      </c>
      <c r="X451" s="4">
        <v>1000000</v>
      </c>
      <c r="Y451" s="4">
        <v>0</v>
      </c>
    </row>
    <row r="452" spans="1:25" ht="19.5" customHeight="1" x14ac:dyDescent="0.25">
      <c r="A452" s="2" t="s">
        <v>1059</v>
      </c>
      <c r="B452" s="2" t="s">
        <v>16</v>
      </c>
      <c r="C452" s="2" t="s">
        <v>1122</v>
      </c>
      <c r="D452" s="8" t="s">
        <v>1123</v>
      </c>
      <c r="E452" s="2" t="s">
        <v>1124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350000000</v>
      </c>
      <c r="W452" s="4">
        <v>0</v>
      </c>
      <c r="X452" s="4">
        <v>350000000</v>
      </c>
      <c r="Y452" s="4">
        <v>0</v>
      </c>
    </row>
    <row r="453" spans="1:25" ht="19.5" customHeight="1" x14ac:dyDescent="0.25">
      <c r="A453" s="2" t="s">
        <v>1059</v>
      </c>
      <c r="B453" s="2" t="s">
        <v>16</v>
      </c>
      <c r="C453" s="2" t="s">
        <v>1125</v>
      </c>
      <c r="D453" s="8" t="s">
        <v>1126</v>
      </c>
      <c r="E453" s="2" t="s">
        <v>1127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150000000</v>
      </c>
      <c r="W453" s="4">
        <v>0</v>
      </c>
      <c r="X453" s="4">
        <v>150000000</v>
      </c>
      <c r="Y453" s="4">
        <v>0</v>
      </c>
    </row>
    <row r="454" spans="1:25" ht="19.5" customHeight="1" x14ac:dyDescent="0.25">
      <c r="A454" s="2" t="s">
        <v>1059</v>
      </c>
      <c r="B454" s="2" t="s">
        <v>16</v>
      </c>
      <c r="C454" s="2" t="s">
        <v>1177</v>
      </c>
      <c r="D454" s="2" t="s">
        <v>1178</v>
      </c>
      <c r="E454" s="2" t="s">
        <v>1179</v>
      </c>
      <c r="F454" s="3">
        <v>25414.69</v>
      </c>
      <c r="G454" s="3">
        <v>32562</v>
      </c>
      <c r="H454" s="3">
        <v>32562</v>
      </c>
      <c r="I454" s="3">
        <v>32562</v>
      </c>
      <c r="J454" s="3">
        <v>32562</v>
      </c>
      <c r="K454" s="3">
        <v>32562</v>
      </c>
      <c r="L454" s="4">
        <v>32562</v>
      </c>
      <c r="M454" s="4">
        <v>32562</v>
      </c>
      <c r="N454" s="4">
        <v>32562</v>
      </c>
      <c r="O454" s="4">
        <v>32562</v>
      </c>
      <c r="P454" s="4">
        <v>32562</v>
      </c>
      <c r="Q454" s="4">
        <v>32562</v>
      </c>
      <c r="R454" s="4">
        <v>32562</v>
      </c>
      <c r="S454" s="4">
        <v>32562</v>
      </c>
      <c r="T454" s="4">
        <v>32562</v>
      </c>
      <c r="U454" s="4">
        <v>32562</v>
      </c>
      <c r="V454" s="4">
        <v>32562</v>
      </c>
      <c r="W454" s="4">
        <v>32562</v>
      </c>
      <c r="X454" s="4">
        <v>32562</v>
      </c>
      <c r="Y454" s="4">
        <v>32562</v>
      </c>
    </row>
    <row r="455" spans="1:25" ht="19.5" customHeight="1" x14ac:dyDescent="0.25">
      <c r="A455" s="2" t="s">
        <v>1059</v>
      </c>
      <c r="B455" s="2" t="s">
        <v>16</v>
      </c>
      <c r="C455" s="2" t="s">
        <v>1180</v>
      </c>
      <c r="D455" s="2" t="s">
        <v>1181</v>
      </c>
      <c r="E455" s="2" t="s">
        <v>1182</v>
      </c>
      <c r="F455" s="3">
        <v>47080170.530000001</v>
      </c>
      <c r="G455" s="3">
        <v>55250000</v>
      </c>
      <c r="H455" s="3">
        <v>55250000</v>
      </c>
      <c r="I455" s="3">
        <v>55250000</v>
      </c>
      <c r="J455" s="3">
        <v>55250000</v>
      </c>
      <c r="K455" s="3">
        <v>55250000</v>
      </c>
      <c r="L455" s="4">
        <v>55250000</v>
      </c>
      <c r="M455" s="4">
        <v>55250000</v>
      </c>
      <c r="N455" s="4">
        <v>55250000</v>
      </c>
      <c r="O455" s="4">
        <v>55250000</v>
      </c>
      <c r="P455" s="4">
        <v>55250000</v>
      </c>
      <c r="Q455" s="4">
        <v>55250000</v>
      </c>
      <c r="R455" s="4">
        <v>55250000</v>
      </c>
      <c r="S455" s="4">
        <v>55250000</v>
      </c>
      <c r="T455" s="4">
        <v>55250000</v>
      </c>
      <c r="U455" s="4">
        <v>55250000</v>
      </c>
      <c r="V455" s="4">
        <v>55250000</v>
      </c>
      <c r="W455" s="4">
        <v>55250000</v>
      </c>
      <c r="X455" s="4">
        <v>55250000</v>
      </c>
      <c r="Y455" s="4">
        <v>55250000</v>
      </c>
    </row>
    <row r="456" spans="1:25" ht="19.5" customHeight="1" x14ac:dyDescent="0.25">
      <c r="A456" s="2" t="s">
        <v>1059</v>
      </c>
      <c r="B456" s="2" t="s">
        <v>16</v>
      </c>
      <c r="C456" s="2" t="s">
        <v>1183</v>
      </c>
      <c r="D456" s="2" t="s">
        <v>1184</v>
      </c>
      <c r="E456" s="2" t="s">
        <v>1185</v>
      </c>
      <c r="F456" s="3">
        <v>1252778.57</v>
      </c>
      <c r="G456" s="3">
        <v>100000</v>
      </c>
      <c r="H456" s="3">
        <v>0</v>
      </c>
      <c r="I456" s="3">
        <v>0</v>
      </c>
      <c r="J456" s="3">
        <v>0</v>
      </c>
      <c r="K456" s="3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</row>
    <row r="457" spans="1:25" ht="19.5" customHeight="1" x14ac:dyDescent="0.25">
      <c r="A457" s="2" t="s">
        <v>1059</v>
      </c>
      <c r="B457" s="2" t="s">
        <v>1186</v>
      </c>
      <c r="C457" s="2" t="s">
        <v>1187</v>
      </c>
      <c r="D457" s="2" t="s">
        <v>1188</v>
      </c>
      <c r="E457" s="2" t="s">
        <v>1189</v>
      </c>
      <c r="F457" s="3">
        <v>0</v>
      </c>
      <c r="G457" s="3">
        <v>18240419</v>
      </c>
      <c r="H457" s="3">
        <v>10000000</v>
      </c>
      <c r="I457" s="3">
        <v>0</v>
      </c>
      <c r="J457" s="3">
        <v>18000000</v>
      </c>
      <c r="K457" s="3">
        <v>0</v>
      </c>
      <c r="L457" s="4">
        <v>18000000</v>
      </c>
      <c r="M457" s="4">
        <v>0</v>
      </c>
      <c r="N457" s="4">
        <v>18000000</v>
      </c>
      <c r="O457" s="4">
        <v>0</v>
      </c>
      <c r="P457" s="4">
        <v>15000000</v>
      </c>
      <c r="Q457" s="4">
        <v>15000000</v>
      </c>
      <c r="R457" s="4">
        <v>15000000</v>
      </c>
      <c r="S457" s="4">
        <v>15000000</v>
      </c>
      <c r="T457" s="4">
        <v>15000000</v>
      </c>
      <c r="U457" s="4">
        <v>15000000</v>
      </c>
      <c r="V457" s="4">
        <v>15000000</v>
      </c>
      <c r="W457" s="4">
        <v>15000000</v>
      </c>
      <c r="X457" s="4">
        <v>15000000</v>
      </c>
      <c r="Y457" s="4">
        <v>15000000</v>
      </c>
    </row>
    <row r="458" spans="1:25" ht="19.5" customHeight="1" x14ac:dyDescent="0.25">
      <c r="A458" s="2" t="s">
        <v>1059</v>
      </c>
      <c r="B458" s="2" t="s">
        <v>1186</v>
      </c>
      <c r="C458" s="2" t="s">
        <v>1190</v>
      </c>
      <c r="D458" s="2" t="s">
        <v>1191</v>
      </c>
      <c r="E458" s="2" t="s">
        <v>1192</v>
      </c>
      <c r="F458" s="3">
        <v>614976.30000000005</v>
      </c>
      <c r="G458" s="3">
        <v>2500000</v>
      </c>
      <c r="H458" s="3">
        <v>2500000</v>
      </c>
      <c r="I458" s="3">
        <v>2500000</v>
      </c>
      <c r="J458" s="3">
        <v>2500000</v>
      </c>
      <c r="K458" s="3">
        <v>2500000</v>
      </c>
      <c r="L458" s="4">
        <v>2500000</v>
      </c>
      <c r="M458" s="4">
        <v>2500000</v>
      </c>
      <c r="N458" s="4">
        <v>2500000</v>
      </c>
      <c r="O458" s="4">
        <v>2500000</v>
      </c>
      <c r="P458" s="4">
        <v>2500000</v>
      </c>
      <c r="Q458" s="4">
        <v>2500000</v>
      </c>
      <c r="R458" s="4">
        <v>2500000</v>
      </c>
      <c r="S458" s="4">
        <v>2500000</v>
      </c>
      <c r="T458" s="4">
        <v>2500000</v>
      </c>
      <c r="U458" s="4">
        <v>2500000</v>
      </c>
      <c r="V458" s="4">
        <v>2500000</v>
      </c>
      <c r="W458" s="4">
        <v>2500000</v>
      </c>
      <c r="X458" s="4">
        <v>2500000</v>
      </c>
      <c r="Y458" s="4">
        <v>2500000</v>
      </c>
    </row>
    <row r="459" spans="1:25" ht="19.5" customHeight="1" x14ac:dyDescent="0.25">
      <c r="A459" s="2" t="s">
        <v>1059</v>
      </c>
      <c r="B459" s="2" t="s">
        <v>1186</v>
      </c>
      <c r="C459" s="2" t="s">
        <v>1193</v>
      </c>
      <c r="D459" s="2" t="s">
        <v>1194</v>
      </c>
      <c r="E459" s="2" t="s">
        <v>1195</v>
      </c>
      <c r="F459" s="3">
        <v>0</v>
      </c>
      <c r="G459" s="3">
        <v>10000000</v>
      </c>
      <c r="H459" s="3">
        <v>4800000</v>
      </c>
      <c r="I459" s="3">
        <v>4800000</v>
      </c>
      <c r="J459" s="3">
        <v>4800000</v>
      </c>
      <c r="K459" s="3">
        <v>4800000</v>
      </c>
      <c r="L459" s="4">
        <v>4800000</v>
      </c>
      <c r="M459" s="4">
        <v>4800000</v>
      </c>
      <c r="N459" s="4">
        <v>4800000</v>
      </c>
      <c r="O459" s="4">
        <v>4800000</v>
      </c>
      <c r="P459" s="4">
        <v>4800000</v>
      </c>
      <c r="Q459" s="4">
        <v>4800000</v>
      </c>
      <c r="R459" s="4">
        <v>4800000</v>
      </c>
      <c r="S459" s="4">
        <v>4800000</v>
      </c>
      <c r="T459" s="4">
        <v>4800000</v>
      </c>
      <c r="U459" s="4">
        <v>4800000</v>
      </c>
      <c r="V459" s="4">
        <v>4800000</v>
      </c>
      <c r="W459" s="4">
        <v>4800000</v>
      </c>
      <c r="X459" s="4">
        <v>4800000</v>
      </c>
      <c r="Y459" s="4">
        <v>4800000</v>
      </c>
    </row>
    <row r="460" spans="1:25" ht="19.5" customHeight="1" x14ac:dyDescent="0.25">
      <c r="A460" s="2" t="s">
        <v>1059</v>
      </c>
      <c r="B460" s="2" t="s">
        <v>1186</v>
      </c>
      <c r="C460" s="2" t="s">
        <v>1196</v>
      </c>
      <c r="D460" s="2" t="s">
        <v>1197</v>
      </c>
      <c r="E460" s="2" t="s">
        <v>1198</v>
      </c>
      <c r="F460" s="3">
        <v>0</v>
      </c>
      <c r="G460" s="3">
        <v>35000000</v>
      </c>
      <c r="H460" s="3">
        <v>5000000</v>
      </c>
      <c r="I460" s="3">
        <v>5000000</v>
      </c>
      <c r="J460" s="3">
        <v>5000000</v>
      </c>
      <c r="K460" s="3">
        <v>5000000</v>
      </c>
      <c r="L460" s="4">
        <v>5000000</v>
      </c>
      <c r="M460" s="4">
        <v>5000000</v>
      </c>
      <c r="N460" s="4">
        <v>5000000</v>
      </c>
      <c r="O460" s="4">
        <v>5000000</v>
      </c>
      <c r="P460" s="4">
        <v>5000000</v>
      </c>
      <c r="Q460" s="4">
        <v>5000000</v>
      </c>
      <c r="R460" s="4">
        <v>5000000</v>
      </c>
      <c r="S460" s="4">
        <v>5000000</v>
      </c>
      <c r="T460" s="4">
        <v>5000000</v>
      </c>
      <c r="U460" s="4">
        <v>5000000</v>
      </c>
      <c r="V460" s="4">
        <v>5000000</v>
      </c>
      <c r="W460" s="4">
        <v>5000000</v>
      </c>
      <c r="X460" s="4">
        <v>5000000</v>
      </c>
      <c r="Y460" s="4">
        <v>5000000</v>
      </c>
    </row>
    <row r="461" spans="1:25" ht="19.5" customHeight="1" x14ac:dyDescent="0.25">
      <c r="A461" s="2" t="s">
        <v>1059</v>
      </c>
      <c r="B461" s="2" t="s">
        <v>1186</v>
      </c>
      <c r="C461" s="2" t="s">
        <v>1199</v>
      </c>
      <c r="D461" s="2" t="s">
        <v>1200</v>
      </c>
      <c r="E461" s="2" t="s">
        <v>1201</v>
      </c>
      <c r="F461" s="3">
        <v>0</v>
      </c>
      <c r="G461" s="3">
        <v>99000000</v>
      </c>
      <c r="H461" s="3">
        <v>152000000</v>
      </c>
      <c r="I461" s="3">
        <v>50000000</v>
      </c>
      <c r="J461" s="3">
        <v>152000000</v>
      </c>
      <c r="K461" s="3">
        <v>50000000</v>
      </c>
      <c r="L461" s="4">
        <v>152000000</v>
      </c>
      <c r="M461" s="4">
        <v>50000000</v>
      </c>
      <c r="N461" s="4">
        <v>152000000</v>
      </c>
      <c r="O461" s="4">
        <v>50000000</v>
      </c>
      <c r="P461" s="4">
        <v>152000000</v>
      </c>
      <c r="Q461" s="4">
        <v>50000000</v>
      </c>
      <c r="R461" s="4">
        <v>152000000</v>
      </c>
      <c r="S461" s="4">
        <v>50000000</v>
      </c>
      <c r="T461" s="4">
        <v>152000000</v>
      </c>
      <c r="U461" s="4">
        <v>50000000</v>
      </c>
      <c r="V461" s="4">
        <v>152000000</v>
      </c>
      <c r="W461" s="4">
        <v>50000000</v>
      </c>
      <c r="X461" s="4">
        <v>152000000</v>
      </c>
      <c r="Y461" s="4">
        <v>50000000</v>
      </c>
    </row>
    <row r="462" spans="1:25" ht="19.5" customHeight="1" x14ac:dyDescent="0.25">
      <c r="A462" s="2" t="s">
        <v>1059</v>
      </c>
      <c r="B462" s="2" t="s">
        <v>44</v>
      </c>
      <c r="C462" s="2" t="s">
        <v>1202</v>
      </c>
      <c r="D462" s="2" t="s">
        <v>1203</v>
      </c>
      <c r="E462" s="2" t="s">
        <v>1204</v>
      </c>
      <c r="F462" s="3">
        <v>40761.339999999997</v>
      </c>
      <c r="G462" s="3">
        <v>3500000</v>
      </c>
      <c r="H462" s="3">
        <v>5500000</v>
      </c>
      <c r="I462" s="3">
        <v>5500000</v>
      </c>
      <c r="J462" s="3">
        <v>5500000</v>
      </c>
      <c r="K462" s="3">
        <v>5500000</v>
      </c>
      <c r="L462" s="4">
        <v>5500000</v>
      </c>
      <c r="M462" s="4">
        <v>5500000</v>
      </c>
      <c r="N462" s="4">
        <v>5500000</v>
      </c>
      <c r="O462" s="4">
        <v>5500000</v>
      </c>
      <c r="P462" s="4">
        <v>5500000</v>
      </c>
      <c r="Q462" s="4">
        <v>5500000</v>
      </c>
      <c r="R462" s="4">
        <v>5500000</v>
      </c>
      <c r="S462" s="4">
        <v>5500000</v>
      </c>
      <c r="T462" s="4">
        <v>5500000</v>
      </c>
      <c r="U462" s="4">
        <v>5500000</v>
      </c>
      <c r="V462" s="4">
        <v>5500000</v>
      </c>
      <c r="W462" s="4">
        <v>5500000</v>
      </c>
      <c r="X462" s="4">
        <v>5500000</v>
      </c>
      <c r="Y462" s="4">
        <v>5500000</v>
      </c>
    </row>
    <row r="463" spans="1:25" ht="19.5" customHeight="1" x14ac:dyDescent="0.25">
      <c r="A463" s="2" t="s">
        <v>1059</v>
      </c>
      <c r="B463" s="2" t="s">
        <v>44</v>
      </c>
      <c r="C463" s="2" t="s">
        <v>1202</v>
      </c>
      <c r="D463" s="2" t="s">
        <v>1205</v>
      </c>
      <c r="E463" s="2" t="s">
        <v>1206</v>
      </c>
      <c r="F463" s="4">
        <v>7808508.2300000004</v>
      </c>
      <c r="G463" s="3">
        <v>73400000</v>
      </c>
      <c r="H463" s="3">
        <v>12000000</v>
      </c>
      <c r="I463" s="3">
        <v>12000000</v>
      </c>
      <c r="J463" s="3">
        <v>12000000</v>
      </c>
      <c r="K463" s="3">
        <v>12000000</v>
      </c>
      <c r="L463" s="4">
        <v>12000000</v>
      </c>
      <c r="M463" s="4">
        <v>12000000</v>
      </c>
      <c r="N463" s="4">
        <v>12000000</v>
      </c>
      <c r="O463" s="4">
        <v>12000000</v>
      </c>
      <c r="P463" s="4">
        <v>12000000</v>
      </c>
      <c r="Q463" s="4">
        <v>12000000</v>
      </c>
      <c r="R463" s="4">
        <v>12000000</v>
      </c>
      <c r="S463" s="4">
        <v>12000000</v>
      </c>
      <c r="T463" s="4">
        <v>12000000</v>
      </c>
      <c r="U463" s="4">
        <v>12000000</v>
      </c>
      <c r="V463" s="4">
        <v>12000000</v>
      </c>
      <c r="W463" s="4">
        <v>12000000</v>
      </c>
      <c r="X463" s="4">
        <v>12000000</v>
      </c>
      <c r="Y463" s="4">
        <v>12000000</v>
      </c>
    </row>
    <row r="464" spans="1:25" ht="19.5" customHeight="1" x14ac:dyDescent="0.25">
      <c r="A464" s="2" t="s">
        <v>1059</v>
      </c>
      <c r="B464" s="2" t="s">
        <v>44</v>
      </c>
      <c r="C464" s="2" t="s">
        <v>1202</v>
      </c>
      <c r="D464" s="2" t="s">
        <v>1207</v>
      </c>
      <c r="E464" s="2" t="s">
        <v>1208</v>
      </c>
      <c r="F464" s="3">
        <v>4559217.01</v>
      </c>
      <c r="G464" s="3">
        <v>5271381</v>
      </c>
      <c r="H464" s="3">
        <v>5271381</v>
      </c>
      <c r="I464" s="3">
        <v>5271381</v>
      </c>
      <c r="J464" s="3">
        <v>5271381</v>
      </c>
      <c r="K464" s="3">
        <v>5271381</v>
      </c>
      <c r="L464" s="4">
        <v>5271381</v>
      </c>
      <c r="M464" s="4">
        <v>5271381</v>
      </c>
      <c r="N464" s="4">
        <v>5271381</v>
      </c>
      <c r="O464" s="4">
        <v>5271381</v>
      </c>
      <c r="P464" s="4">
        <v>5271381</v>
      </c>
      <c r="Q464" s="4">
        <v>5271381</v>
      </c>
      <c r="R464" s="4">
        <v>5271381</v>
      </c>
      <c r="S464" s="4">
        <v>5271381</v>
      </c>
      <c r="T464" s="4">
        <v>5271381</v>
      </c>
      <c r="U464" s="4">
        <v>5271381</v>
      </c>
      <c r="V464" s="4">
        <v>5271381</v>
      </c>
      <c r="W464" s="4">
        <v>5271381</v>
      </c>
      <c r="X464" s="4">
        <v>5271381</v>
      </c>
      <c r="Y464" s="4">
        <v>5271381</v>
      </c>
    </row>
    <row r="465" spans="1:25" ht="19.5" customHeight="1" x14ac:dyDescent="0.25">
      <c r="A465" s="2" t="s">
        <v>1059</v>
      </c>
      <c r="B465" s="2" t="s">
        <v>44</v>
      </c>
      <c r="C465" s="2" t="s">
        <v>1202</v>
      </c>
      <c r="D465" s="2" t="s">
        <v>1209</v>
      </c>
      <c r="E465" s="2" t="s">
        <v>1210</v>
      </c>
      <c r="F465" s="3">
        <v>2126665.75</v>
      </c>
      <c r="G465" s="3">
        <v>4000000</v>
      </c>
      <c r="H465" s="3">
        <v>4000000</v>
      </c>
      <c r="I465" s="3">
        <v>4000000</v>
      </c>
      <c r="J465" s="3">
        <v>4000000</v>
      </c>
      <c r="K465" s="3">
        <v>4000000</v>
      </c>
      <c r="L465" s="4">
        <v>4000000</v>
      </c>
      <c r="M465" s="4">
        <v>4000000</v>
      </c>
      <c r="N465" s="4">
        <v>4000000</v>
      </c>
      <c r="O465" s="4">
        <v>4000000</v>
      </c>
      <c r="P465" s="4">
        <v>4000000</v>
      </c>
      <c r="Q465" s="4">
        <v>4000000</v>
      </c>
      <c r="R465" s="4">
        <v>4000000</v>
      </c>
      <c r="S465" s="4">
        <v>4000000</v>
      </c>
      <c r="T465" s="4">
        <v>4000000</v>
      </c>
      <c r="U465" s="4">
        <v>4000000</v>
      </c>
      <c r="V465" s="4">
        <v>4000000</v>
      </c>
      <c r="W465" s="4">
        <v>4000000</v>
      </c>
      <c r="X465" s="4">
        <v>4000000</v>
      </c>
      <c r="Y465" s="4">
        <v>4000000</v>
      </c>
    </row>
    <row r="466" spans="1:25" ht="19.5" customHeight="1" x14ac:dyDescent="0.25">
      <c r="A466" s="2" t="s">
        <v>1059</v>
      </c>
      <c r="B466" s="2" t="s">
        <v>44</v>
      </c>
      <c r="C466" s="2" t="s">
        <v>1202</v>
      </c>
      <c r="D466" s="2" t="s">
        <v>1211</v>
      </c>
      <c r="E466" s="2" t="s">
        <v>1212</v>
      </c>
      <c r="F466" s="3">
        <v>15683299.199999999</v>
      </c>
      <c r="G466" s="3">
        <v>20000000</v>
      </c>
      <c r="H466" s="3">
        <v>20000000</v>
      </c>
      <c r="I466" s="3">
        <v>20000000</v>
      </c>
      <c r="J466" s="3">
        <v>20000000</v>
      </c>
      <c r="K466" s="3">
        <v>20000000</v>
      </c>
      <c r="L466" s="4">
        <v>20000000</v>
      </c>
      <c r="M466" s="4">
        <v>20000000</v>
      </c>
      <c r="N466" s="4">
        <v>20000000</v>
      </c>
      <c r="O466" s="4">
        <v>20000000</v>
      </c>
      <c r="P466" s="4">
        <v>20000000</v>
      </c>
      <c r="Q466" s="4">
        <v>20000000</v>
      </c>
      <c r="R466" s="4">
        <v>20000000</v>
      </c>
      <c r="S466" s="4">
        <v>20000000</v>
      </c>
      <c r="T466" s="4">
        <v>20000000</v>
      </c>
      <c r="U466" s="4">
        <v>20000000</v>
      </c>
      <c r="V466" s="4">
        <v>20000000</v>
      </c>
      <c r="W466" s="4">
        <v>20000000</v>
      </c>
      <c r="X466" s="4">
        <v>20000000</v>
      </c>
      <c r="Y466" s="4">
        <v>20000000</v>
      </c>
    </row>
    <row r="467" spans="1:25" ht="19.5" customHeight="1" x14ac:dyDescent="0.25">
      <c r="A467" s="2" t="s">
        <v>1059</v>
      </c>
      <c r="B467" s="2" t="s">
        <v>44</v>
      </c>
      <c r="C467" s="2" t="s">
        <v>1202</v>
      </c>
      <c r="D467" s="2" t="s">
        <v>1213</v>
      </c>
      <c r="E467" s="2" t="s">
        <v>1214</v>
      </c>
      <c r="F467" s="3">
        <v>5566042.6699999999</v>
      </c>
      <c r="G467" s="3">
        <v>11720000</v>
      </c>
      <c r="H467" s="3">
        <v>6300000</v>
      </c>
      <c r="I467" s="3">
        <v>6300000</v>
      </c>
      <c r="J467" s="3">
        <v>6300000</v>
      </c>
      <c r="K467" s="3">
        <v>6300000</v>
      </c>
      <c r="L467" s="4">
        <v>6300000</v>
      </c>
      <c r="M467" s="4">
        <v>6300000</v>
      </c>
      <c r="N467" s="4">
        <v>6300000</v>
      </c>
      <c r="O467" s="4">
        <v>6300000</v>
      </c>
      <c r="P467" s="4">
        <v>6300000</v>
      </c>
      <c r="Q467" s="4">
        <v>6300000</v>
      </c>
      <c r="R467" s="4">
        <v>6300000</v>
      </c>
      <c r="S467" s="4">
        <v>6300000</v>
      </c>
      <c r="T467" s="4">
        <v>6300000</v>
      </c>
      <c r="U467" s="4">
        <v>6300000</v>
      </c>
      <c r="V467" s="4">
        <v>6300000</v>
      </c>
      <c r="W467" s="4">
        <v>6300000</v>
      </c>
      <c r="X467" s="4">
        <v>6300000</v>
      </c>
      <c r="Y467" s="4">
        <v>6300000</v>
      </c>
    </row>
    <row r="468" spans="1:25" ht="19.5" customHeight="1" x14ac:dyDescent="0.25">
      <c r="A468" s="2" t="s">
        <v>1059</v>
      </c>
      <c r="B468" s="2" t="s">
        <v>44</v>
      </c>
      <c r="C468" s="2" t="s">
        <v>1202</v>
      </c>
      <c r="D468" s="2" t="s">
        <v>1215</v>
      </c>
      <c r="E468" s="2" t="s">
        <v>1216</v>
      </c>
      <c r="F468" s="3">
        <v>822154.12</v>
      </c>
      <c r="G468" s="3">
        <v>750000</v>
      </c>
      <c r="H468" s="3">
        <v>1000000</v>
      </c>
      <c r="I468" s="3">
        <v>1000000</v>
      </c>
      <c r="J468" s="3">
        <v>1000000</v>
      </c>
      <c r="K468" s="3">
        <v>1000000</v>
      </c>
      <c r="L468" s="4">
        <v>1000000</v>
      </c>
      <c r="M468" s="4">
        <v>1000000</v>
      </c>
      <c r="N468" s="4">
        <v>1000000</v>
      </c>
      <c r="O468" s="4">
        <v>1000000</v>
      </c>
      <c r="P468" s="4">
        <v>1000000</v>
      </c>
      <c r="Q468" s="4">
        <v>1000000</v>
      </c>
      <c r="R468" s="4">
        <v>1000000</v>
      </c>
      <c r="S468" s="4">
        <v>1000000</v>
      </c>
      <c r="T468" s="4">
        <v>1000000</v>
      </c>
      <c r="U468" s="4">
        <v>1000000</v>
      </c>
      <c r="V468" s="4">
        <v>1000000</v>
      </c>
      <c r="W468" s="4">
        <v>1000000</v>
      </c>
      <c r="X468" s="4">
        <v>1000000</v>
      </c>
      <c r="Y468" s="4">
        <v>1000000</v>
      </c>
    </row>
    <row r="469" spans="1:25" ht="19.5" customHeight="1" x14ac:dyDescent="0.25">
      <c r="A469" s="2" t="s">
        <v>1059</v>
      </c>
      <c r="B469" s="2" t="s">
        <v>44</v>
      </c>
      <c r="C469" s="2" t="s">
        <v>1202</v>
      </c>
      <c r="D469" s="2" t="s">
        <v>1217</v>
      </c>
      <c r="E469" s="2" t="s">
        <v>1218</v>
      </c>
      <c r="F469" s="3">
        <v>693176.72</v>
      </c>
      <c r="G469" s="3">
        <v>1000000</v>
      </c>
      <c r="H469" s="3">
        <v>1000000</v>
      </c>
      <c r="I469" s="3">
        <v>1000000</v>
      </c>
      <c r="J469" s="3">
        <v>1000000</v>
      </c>
      <c r="K469" s="3">
        <v>1000000</v>
      </c>
      <c r="L469" s="4">
        <v>1000000</v>
      </c>
      <c r="M469" s="4">
        <v>1000000</v>
      </c>
      <c r="N469" s="4">
        <v>1000000</v>
      </c>
      <c r="O469" s="4">
        <v>1000000</v>
      </c>
      <c r="P469" s="4">
        <v>1000000</v>
      </c>
      <c r="Q469" s="4">
        <v>1000000</v>
      </c>
      <c r="R469" s="4">
        <v>1000000</v>
      </c>
      <c r="S469" s="4">
        <v>1000000</v>
      </c>
      <c r="T469" s="4">
        <v>1000000</v>
      </c>
      <c r="U469" s="4">
        <v>1000000</v>
      </c>
      <c r="V469" s="4">
        <v>1000000</v>
      </c>
      <c r="W469" s="4">
        <v>1000000</v>
      </c>
      <c r="X469" s="4">
        <v>1000000</v>
      </c>
      <c r="Y469" s="4">
        <v>1000000</v>
      </c>
    </row>
    <row r="470" spans="1:25" ht="19.5" customHeight="1" x14ac:dyDescent="0.25">
      <c r="A470" s="2" t="s">
        <v>1059</v>
      </c>
      <c r="B470" s="2" t="s">
        <v>44</v>
      </c>
      <c r="C470" s="2" t="s">
        <v>1219</v>
      </c>
      <c r="D470" s="2" t="s">
        <v>1220</v>
      </c>
      <c r="E470" s="2" t="s">
        <v>1221</v>
      </c>
      <c r="F470" s="3">
        <v>147743.09</v>
      </c>
      <c r="G470" s="3">
        <v>350000</v>
      </c>
      <c r="H470" s="3">
        <v>350000</v>
      </c>
      <c r="I470" s="3">
        <v>350000</v>
      </c>
      <c r="J470" s="3">
        <v>350000</v>
      </c>
      <c r="K470" s="3">
        <v>350000</v>
      </c>
      <c r="L470" s="4">
        <v>350000</v>
      </c>
      <c r="M470" s="4">
        <v>350000</v>
      </c>
      <c r="N470" s="4">
        <v>350000</v>
      </c>
      <c r="O470" s="4">
        <v>350000</v>
      </c>
      <c r="P470" s="4">
        <v>350000</v>
      </c>
      <c r="Q470" s="4">
        <v>350000</v>
      </c>
      <c r="R470" s="4">
        <v>350000</v>
      </c>
      <c r="S470" s="4">
        <v>350000</v>
      </c>
      <c r="T470" s="4">
        <v>350000</v>
      </c>
      <c r="U470" s="4">
        <v>350000</v>
      </c>
      <c r="V470" s="4">
        <v>350000</v>
      </c>
      <c r="W470" s="4">
        <v>350000</v>
      </c>
      <c r="X470" s="4">
        <v>350000</v>
      </c>
      <c r="Y470" s="4">
        <v>350000</v>
      </c>
    </row>
    <row r="471" spans="1:25" ht="19.5" customHeight="1" x14ac:dyDescent="0.25">
      <c r="A471" s="2" t="s">
        <v>1059</v>
      </c>
      <c r="B471" s="2" t="s">
        <v>44</v>
      </c>
      <c r="C471" s="2" t="s">
        <v>1222</v>
      </c>
      <c r="D471" s="2" t="s">
        <v>1223</v>
      </c>
      <c r="E471" s="2" t="s">
        <v>1224</v>
      </c>
      <c r="F471" s="3">
        <v>594187.87</v>
      </c>
      <c r="G471" s="3">
        <v>800000</v>
      </c>
      <c r="H471" s="3">
        <v>2000000</v>
      </c>
      <c r="I471" s="3">
        <v>2000000</v>
      </c>
      <c r="J471" s="3">
        <v>2000000</v>
      </c>
      <c r="K471" s="3">
        <v>2000000</v>
      </c>
      <c r="L471" s="4">
        <v>2000000</v>
      </c>
      <c r="M471" s="4">
        <v>2000000</v>
      </c>
      <c r="N471" s="4">
        <v>2000000</v>
      </c>
      <c r="O471" s="4">
        <v>2000000</v>
      </c>
      <c r="P471" s="4">
        <v>2000000</v>
      </c>
      <c r="Q471" s="4">
        <v>2000000</v>
      </c>
      <c r="R471" s="4">
        <v>2000000</v>
      </c>
      <c r="S471" s="4">
        <v>2000000</v>
      </c>
      <c r="T471" s="4">
        <v>2000000</v>
      </c>
      <c r="U471" s="4">
        <v>2000000</v>
      </c>
      <c r="V471" s="4">
        <v>2000000</v>
      </c>
      <c r="W471" s="4">
        <v>2000000</v>
      </c>
      <c r="X471" s="4">
        <v>2000000</v>
      </c>
      <c r="Y471" s="4">
        <v>2000000</v>
      </c>
    </row>
    <row r="472" spans="1:25" ht="19.5" customHeight="1" x14ac:dyDescent="0.25">
      <c r="A472" s="2" t="s">
        <v>1059</v>
      </c>
      <c r="B472" s="2" t="s">
        <v>44</v>
      </c>
      <c r="C472" s="2" t="s">
        <v>1225</v>
      </c>
      <c r="D472" s="2" t="s">
        <v>1226</v>
      </c>
      <c r="E472" s="2" t="s">
        <v>1227</v>
      </c>
      <c r="F472" s="3">
        <v>3135297.55</v>
      </c>
      <c r="G472" s="3">
        <v>8000000</v>
      </c>
      <c r="H472" s="3">
        <v>8000000</v>
      </c>
      <c r="I472" s="3">
        <v>8000000</v>
      </c>
      <c r="J472" s="3">
        <v>8000000</v>
      </c>
      <c r="K472" s="3">
        <v>8000000</v>
      </c>
      <c r="L472" s="4">
        <v>8000000</v>
      </c>
      <c r="M472" s="4">
        <v>8000000</v>
      </c>
      <c r="N472" s="4">
        <v>8000000</v>
      </c>
      <c r="O472" s="4">
        <v>8000000</v>
      </c>
      <c r="P472" s="4">
        <v>8000000</v>
      </c>
      <c r="Q472" s="4">
        <v>8000000</v>
      </c>
      <c r="R472" s="4">
        <v>8000000</v>
      </c>
      <c r="S472" s="4">
        <v>8000000</v>
      </c>
      <c r="T472" s="4">
        <v>8000000</v>
      </c>
      <c r="U472" s="4">
        <v>8000000</v>
      </c>
      <c r="V472" s="4">
        <v>8000000</v>
      </c>
      <c r="W472" s="4">
        <v>8000000</v>
      </c>
      <c r="X472" s="4">
        <v>8000000</v>
      </c>
      <c r="Y472" s="4">
        <v>8000000</v>
      </c>
    </row>
    <row r="473" spans="1:25" ht="19.5" customHeight="1" x14ac:dyDescent="0.25">
      <c r="A473" s="2" t="s">
        <v>1059</v>
      </c>
      <c r="B473" s="2" t="s">
        <v>44</v>
      </c>
      <c r="C473" s="2" t="s">
        <v>1225</v>
      </c>
      <c r="D473" s="2" t="s">
        <v>1228</v>
      </c>
      <c r="E473" s="2" t="s">
        <v>1229</v>
      </c>
      <c r="F473" s="3">
        <v>0</v>
      </c>
      <c r="G473" s="3">
        <v>2260953</v>
      </c>
      <c r="H473" s="3">
        <v>0</v>
      </c>
      <c r="I473" s="3">
        <v>0</v>
      </c>
      <c r="J473" s="3">
        <v>0</v>
      </c>
      <c r="K473" s="3">
        <v>0</v>
      </c>
      <c r="L473" s="4">
        <v>0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</row>
    <row r="474" spans="1:25" ht="19.5" customHeight="1" x14ac:dyDescent="0.25">
      <c r="A474" s="2" t="s">
        <v>1059</v>
      </c>
      <c r="B474" s="2" t="s">
        <v>44</v>
      </c>
      <c r="C474" s="2" t="s">
        <v>1230</v>
      </c>
      <c r="D474" s="2" t="s">
        <v>1231</v>
      </c>
      <c r="E474" s="2" t="s">
        <v>1232</v>
      </c>
      <c r="F474" s="4">
        <v>44603845.100000001</v>
      </c>
      <c r="G474" s="3">
        <v>142200000</v>
      </c>
      <c r="H474" s="3">
        <v>60000000</v>
      </c>
      <c r="I474" s="3">
        <v>60000000</v>
      </c>
      <c r="J474" s="3">
        <v>60000000</v>
      </c>
      <c r="K474" s="3">
        <v>60000000</v>
      </c>
      <c r="L474" s="4">
        <v>60000000</v>
      </c>
      <c r="M474" s="4">
        <v>60000000</v>
      </c>
      <c r="N474" s="4">
        <v>60000000</v>
      </c>
      <c r="O474" s="4">
        <v>60000000</v>
      </c>
      <c r="P474" s="4">
        <v>60000000</v>
      </c>
      <c r="Q474" s="4">
        <v>60000000</v>
      </c>
      <c r="R474" s="4">
        <v>60000000</v>
      </c>
      <c r="S474" s="4">
        <v>60000000</v>
      </c>
      <c r="T474" s="4">
        <v>60000000</v>
      </c>
      <c r="U474" s="4">
        <v>60000000</v>
      </c>
      <c r="V474" s="4">
        <v>60000000</v>
      </c>
      <c r="W474" s="4">
        <v>60000000</v>
      </c>
      <c r="X474" s="4">
        <v>60000000</v>
      </c>
      <c r="Y474" s="4">
        <v>60000000</v>
      </c>
    </row>
    <row r="475" spans="1:25" ht="19.5" customHeight="1" x14ac:dyDescent="0.25">
      <c r="A475" s="2" t="s">
        <v>1059</v>
      </c>
      <c r="B475" s="2" t="s">
        <v>44</v>
      </c>
      <c r="C475" s="2" t="s">
        <v>1233</v>
      </c>
      <c r="D475" s="2" t="s">
        <v>1234</v>
      </c>
      <c r="E475" s="2" t="s">
        <v>1235</v>
      </c>
      <c r="F475" s="3">
        <v>138911320.28999999</v>
      </c>
      <c r="G475" s="3">
        <v>202707717</v>
      </c>
      <c r="H475" s="3">
        <v>165000000</v>
      </c>
      <c r="I475" s="3">
        <v>165000000</v>
      </c>
      <c r="J475" s="3">
        <v>165000000</v>
      </c>
      <c r="K475" s="3">
        <v>165000000</v>
      </c>
      <c r="L475" s="4">
        <v>165000000</v>
      </c>
      <c r="M475" s="4">
        <v>165000000</v>
      </c>
      <c r="N475" s="4">
        <v>165000000</v>
      </c>
      <c r="O475" s="4">
        <v>165000000</v>
      </c>
      <c r="P475" s="4">
        <v>165000000</v>
      </c>
      <c r="Q475" s="4">
        <v>165000000</v>
      </c>
      <c r="R475" s="4">
        <v>165000000</v>
      </c>
      <c r="S475" s="4">
        <v>165000000</v>
      </c>
      <c r="T475" s="4">
        <v>165000000</v>
      </c>
      <c r="U475" s="4">
        <v>165000000</v>
      </c>
      <c r="V475" s="4">
        <v>165000000</v>
      </c>
      <c r="W475" s="4">
        <v>165000000</v>
      </c>
      <c r="X475" s="4">
        <v>165000000</v>
      </c>
      <c r="Y475" s="4">
        <v>165000000</v>
      </c>
    </row>
    <row r="476" spans="1:25" ht="19.5" customHeight="1" x14ac:dyDescent="0.25">
      <c r="A476" s="2" t="s">
        <v>1059</v>
      </c>
      <c r="B476" s="2" t="s">
        <v>44</v>
      </c>
      <c r="C476" s="2" t="s">
        <v>1233</v>
      </c>
      <c r="D476" s="2" t="s">
        <v>1236</v>
      </c>
      <c r="E476" s="2" t="s">
        <v>1237</v>
      </c>
      <c r="F476" s="3">
        <v>27414972.440000001</v>
      </c>
      <c r="G476" s="4">
        <v>35000000</v>
      </c>
      <c r="H476" s="4">
        <v>40000000</v>
      </c>
      <c r="I476" s="4">
        <v>40000000</v>
      </c>
      <c r="J476" s="4">
        <v>40000000</v>
      </c>
      <c r="K476" s="4">
        <v>40000000</v>
      </c>
      <c r="L476" s="4">
        <v>40000000</v>
      </c>
      <c r="M476" s="4">
        <v>40000000</v>
      </c>
      <c r="N476" s="4">
        <v>40000000</v>
      </c>
      <c r="O476" s="4">
        <v>40000000</v>
      </c>
      <c r="P476" s="4">
        <v>40000000</v>
      </c>
      <c r="Q476" s="4">
        <v>40000000</v>
      </c>
      <c r="R476" s="4">
        <v>40000000</v>
      </c>
      <c r="S476" s="4">
        <v>40000000</v>
      </c>
      <c r="T476" s="4">
        <v>40000000</v>
      </c>
      <c r="U476" s="4">
        <v>40000000</v>
      </c>
      <c r="V476" s="4">
        <v>40000000</v>
      </c>
      <c r="W476" s="4">
        <v>40000000</v>
      </c>
      <c r="X476" s="4">
        <v>40000000</v>
      </c>
      <c r="Y476" s="4">
        <v>40000000</v>
      </c>
    </row>
    <row r="477" spans="1:25" ht="19.5" customHeight="1" x14ac:dyDescent="0.25">
      <c r="A477" s="2" t="s">
        <v>1059</v>
      </c>
      <c r="B477" s="2" t="s">
        <v>44</v>
      </c>
      <c r="C477" s="2" t="s">
        <v>1238</v>
      </c>
      <c r="D477" s="2" t="s">
        <v>1239</v>
      </c>
      <c r="E477" s="2" t="s">
        <v>1240</v>
      </c>
      <c r="F477" s="3">
        <v>31697858.149999999</v>
      </c>
      <c r="G477" s="3">
        <v>68000000</v>
      </c>
      <c r="H477" s="3">
        <v>28000000</v>
      </c>
      <c r="I477" s="3">
        <v>28000000</v>
      </c>
      <c r="J477" s="3">
        <v>28000000</v>
      </c>
      <c r="K477" s="3">
        <v>28000000</v>
      </c>
      <c r="L477" s="4">
        <v>28000000</v>
      </c>
      <c r="M477" s="4">
        <v>28000000</v>
      </c>
      <c r="N477" s="4">
        <v>28000000</v>
      </c>
      <c r="O477" s="4">
        <v>28000000</v>
      </c>
      <c r="P477" s="4">
        <v>28000000</v>
      </c>
      <c r="Q477" s="4">
        <v>28000000</v>
      </c>
      <c r="R477" s="4">
        <v>28000000</v>
      </c>
      <c r="S477" s="4">
        <v>28000000</v>
      </c>
      <c r="T477" s="4">
        <v>28000000</v>
      </c>
      <c r="U477" s="4">
        <v>28000000</v>
      </c>
      <c r="V477" s="4">
        <v>28000000</v>
      </c>
      <c r="W477" s="4">
        <v>28000000</v>
      </c>
      <c r="X477" s="4">
        <v>28000000</v>
      </c>
      <c r="Y477" s="4">
        <v>28000000</v>
      </c>
    </row>
    <row r="478" spans="1:25" ht="19.5" customHeight="1" x14ac:dyDescent="0.25">
      <c r="A478" s="2" t="s">
        <v>1059</v>
      </c>
      <c r="B478" s="2" t="s">
        <v>44</v>
      </c>
      <c r="C478" s="2" t="s">
        <v>1241</v>
      </c>
      <c r="D478" s="2" t="s">
        <v>1242</v>
      </c>
      <c r="E478" s="2" t="s">
        <v>1243</v>
      </c>
      <c r="F478" s="3">
        <v>22978368.77</v>
      </c>
      <c r="G478" s="3">
        <v>35000000</v>
      </c>
      <c r="H478" s="3">
        <v>35000000</v>
      </c>
      <c r="I478" s="3">
        <v>35000000</v>
      </c>
      <c r="J478" s="3">
        <v>35000000</v>
      </c>
      <c r="K478" s="3">
        <v>35000000</v>
      </c>
      <c r="L478" s="4">
        <v>35000000</v>
      </c>
      <c r="M478" s="4">
        <v>35000000</v>
      </c>
      <c r="N478" s="4">
        <v>35000000</v>
      </c>
      <c r="O478" s="4">
        <v>35000000</v>
      </c>
      <c r="P478" s="4">
        <v>35000000</v>
      </c>
      <c r="Q478" s="4">
        <v>35000000</v>
      </c>
      <c r="R478" s="4">
        <v>35000000</v>
      </c>
      <c r="S478" s="4">
        <v>35000000</v>
      </c>
      <c r="T478" s="4">
        <v>35000000</v>
      </c>
      <c r="U478" s="4">
        <v>35000000</v>
      </c>
      <c r="V478" s="4">
        <v>35000000</v>
      </c>
      <c r="W478" s="4">
        <v>35000000</v>
      </c>
      <c r="X478" s="4">
        <v>35000000</v>
      </c>
      <c r="Y478" s="4">
        <v>35000000</v>
      </c>
    </row>
    <row r="479" spans="1:25" ht="19.5" customHeight="1" x14ac:dyDescent="0.25">
      <c r="A479" s="2" t="s">
        <v>1059</v>
      </c>
      <c r="B479" s="2" t="s">
        <v>54</v>
      </c>
      <c r="C479" s="2" t="s">
        <v>54</v>
      </c>
      <c r="D479" s="2" t="s">
        <v>1244</v>
      </c>
      <c r="E479" s="2" t="s">
        <v>1245</v>
      </c>
      <c r="F479" s="4">
        <v>215006.39</v>
      </c>
      <c r="G479" s="3">
        <v>152368</v>
      </c>
      <c r="H479" s="3">
        <v>175000</v>
      </c>
      <c r="I479" s="3">
        <v>175000</v>
      </c>
      <c r="J479" s="3">
        <v>175000</v>
      </c>
      <c r="K479" s="3">
        <v>175000</v>
      </c>
      <c r="L479" s="4">
        <v>175000</v>
      </c>
      <c r="M479" s="4">
        <v>175000</v>
      </c>
      <c r="N479" s="4">
        <v>175000</v>
      </c>
      <c r="O479" s="4">
        <v>175000</v>
      </c>
      <c r="P479" s="4">
        <v>175000</v>
      </c>
      <c r="Q479" s="4">
        <v>175000</v>
      </c>
      <c r="R479" s="4">
        <v>175000</v>
      </c>
      <c r="S479" s="4">
        <v>175000</v>
      </c>
      <c r="T479" s="4">
        <v>175000</v>
      </c>
      <c r="U479" s="4">
        <v>175000</v>
      </c>
      <c r="V479" s="4">
        <v>175000</v>
      </c>
      <c r="W479" s="4">
        <v>175000</v>
      </c>
      <c r="X479" s="4">
        <v>175000</v>
      </c>
      <c r="Y479" s="4">
        <v>175000</v>
      </c>
    </row>
    <row r="480" spans="1:25" ht="19.5" customHeight="1" x14ac:dyDescent="0.25">
      <c r="A480" s="2" t="s">
        <v>1059</v>
      </c>
      <c r="B480" s="2" t="s">
        <v>54</v>
      </c>
      <c r="C480" s="2" t="s">
        <v>54</v>
      </c>
      <c r="D480" s="2" t="s">
        <v>1246</v>
      </c>
      <c r="E480" s="2" t="s">
        <v>1247</v>
      </c>
      <c r="F480" s="3">
        <v>1707843.12</v>
      </c>
      <c r="G480" s="4">
        <v>1696358</v>
      </c>
      <c r="H480" s="4">
        <v>5794141</v>
      </c>
      <c r="I480" s="4">
        <v>5794141</v>
      </c>
      <c r="J480" s="4">
        <v>5794141</v>
      </c>
      <c r="K480" s="4">
        <v>5794141</v>
      </c>
      <c r="L480" s="4">
        <v>5794141</v>
      </c>
      <c r="M480" s="4">
        <v>5794141</v>
      </c>
      <c r="N480" s="4">
        <v>5794141</v>
      </c>
      <c r="O480" s="4">
        <v>5794141</v>
      </c>
      <c r="P480" s="4">
        <v>5919141</v>
      </c>
      <c r="Q480" s="4">
        <v>5919141</v>
      </c>
      <c r="R480" s="4">
        <v>5919141</v>
      </c>
      <c r="S480" s="4">
        <v>5919141</v>
      </c>
      <c r="T480" s="4">
        <v>5919141</v>
      </c>
      <c r="U480" s="4">
        <v>5919141</v>
      </c>
      <c r="V480" s="4">
        <v>5919141</v>
      </c>
      <c r="W480" s="4">
        <v>5919141</v>
      </c>
      <c r="X480" s="4">
        <v>5919141</v>
      </c>
      <c r="Y480" s="4">
        <v>5919141</v>
      </c>
    </row>
    <row r="481" spans="1:25" ht="19.5" customHeight="1" x14ac:dyDescent="0.25">
      <c r="A481" s="2" t="s">
        <v>1059</v>
      </c>
      <c r="B481" s="2" t="s">
        <v>54</v>
      </c>
      <c r="C481" s="2" t="s">
        <v>54</v>
      </c>
      <c r="D481" s="2" t="s">
        <v>1248</v>
      </c>
      <c r="E481" s="2" t="s">
        <v>1249</v>
      </c>
      <c r="F481" s="3">
        <v>2219512.5699999998</v>
      </c>
      <c r="G481" s="4">
        <v>1849280.49</v>
      </c>
      <c r="H481" s="4">
        <v>3905000</v>
      </c>
      <c r="I481" s="4">
        <v>3905000</v>
      </c>
      <c r="J481" s="4">
        <v>3905000</v>
      </c>
      <c r="K481" s="4">
        <v>3905000</v>
      </c>
      <c r="L481" s="4">
        <v>3905000</v>
      </c>
      <c r="M481" s="4">
        <v>3905000</v>
      </c>
      <c r="N481" s="4">
        <v>3905000</v>
      </c>
      <c r="O481" s="4">
        <v>3905000</v>
      </c>
      <c r="P481" s="4">
        <v>3905000</v>
      </c>
      <c r="Q481" s="4">
        <v>3905000</v>
      </c>
      <c r="R481" s="4">
        <v>3905000</v>
      </c>
      <c r="S481" s="4">
        <v>3905000</v>
      </c>
      <c r="T481" s="4">
        <v>3905000</v>
      </c>
      <c r="U481" s="4">
        <v>3905000</v>
      </c>
      <c r="V481" s="4">
        <v>3905000</v>
      </c>
      <c r="W481" s="4">
        <v>3905000</v>
      </c>
      <c r="X481" s="4">
        <v>3905000</v>
      </c>
      <c r="Y481" s="4">
        <v>3905000</v>
      </c>
    </row>
    <row r="482" spans="1:25" ht="19.5" customHeight="1" x14ac:dyDescent="0.25">
      <c r="A482" s="2" t="s">
        <v>1059</v>
      </c>
      <c r="B482" s="2" t="s">
        <v>54</v>
      </c>
      <c r="C482" s="2" t="s">
        <v>54</v>
      </c>
      <c r="D482" s="2" t="s">
        <v>1250</v>
      </c>
      <c r="E482" s="2" t="s">
        <v>1251</v>
      </c>
      <c r="F482" s="3">
        <v>1063497.28</v>
      </c>
      <c r="G482" s="3">
        <v>817000</v>
      </c>
      <c r="H482" s="3">
        <v>1000000</v>
      </c>
      <c r="I482" s="3">
        <v>1000000</v>
      </c>
      <c r="J482" s="3">
        <v>1000000</v>
      </c>
      <c r="K482" s="3">
        <v>1000000</v>
      </c>
      <c r="L482" s="4">
        <v>1000000</v>
      </c>
      <c r="M482" s="4">
        <v>1000000</v>
      </c>
      <c r="N482" s="4">
        <v>1000000</v>
      </c>
      <c r="O482" s="4">
        <v>1000000</v>
      </c>
      <c r="P482" s="4">
        <v>1000000</v>
      </c>
      <c r="Q482" s="4">
        <v>1000000</v>
      </c>
      <c r="R482" s="4">
        <v>1000000</v>
      </c>
      <c r="S482" s="4">
        <v>1000000</v>
      </c>
      <c r="T482" s="4">
        <v>1000000</v>
      </c>
      <c r="U482" s="4">
        <v>1000000</v>
      </c>
      <c r="V482" s="4">
        <v>1000000</v>
      </c>
      <c r="W482" s="4">
        <v>1000000</v>
      </c>
      <c r="X482" s="4">
        <v>1000000</v>
      </c>
      <c r="Y482" s="4">
        <v>1000000</v>
      </c>
    </row>
    <row r="483" spans="1:25" ht="19.5" customHeight="1" x14ac:dyDescent="0.25">
      <c r="A483" s="2" t="s">
        <v>1059</v>
      </c>
      <c r="B483" s="2" t="s">
        <v>54</v>
      </c>
      <c r="C483" s="2" t="s">
        <v>54</v>
      </c>
      <c r="D483" s="2" t="s">
        <v>1252</v>
      </c>
      <c r="E483" s="2" t="s">
        <v>1253</v>
      </c>
      <c r="F483" s="3">
        <v>8315512.6600000001</v>
      </c>
      <c r="G483" s="3">
        <v>857120</v>
      </c>
      <c r="H483" s="3">
        <v>800000</v>
      </c>
      <c r="I483" s="3">
        <v>800000</v>
      </c>
      <c r="J483" s="3">
        <v>800000</v>
      </c>
      <c r="K483" s="3">
        <v>800000</v>
      </c>
      <c r="L483" s="4">
        <v>800000</v>
      </c>
      <c r="M483" s="4">
        <v>800000</v>
      </c>
      <c r="N483" s="4">
        <v>800000</v>
      </c>
      <c r="O483" s="4">
        <v>800000</v>
      </c>
      <c r="P483" s="4">
        <v>800000</v>
      </c>
      <c r="Q483" s="4">
        <v>800000</v>
      </c>
      <c r="R483" s="4">
        <v>800000</v>
      </c>
      <c r="S483" s="4">
        <v>800000</v>
      </c>
      <c r="T483" s="4">
        <v>800000</v>
      </c>
      <c r="U483" s="4">
        <v>800000</v>
      </c>
      <c r="V483" s="4">
        <v>806000</v>
      </c>
      <c r="W483" s="4">
        <v>806000</v>
      </c>
      <c r="X483" s="4">
        <v>806000</v>
      </c>
      <c r="Y483" s="4">
        <v>806000</v>
      </c>
    </row>
    <row r="484" spans="1:25" ht="19.5" customHeight="1" x14ac:dyDescent="0.25">
      <c r="A484" s="2" t="s">
        <v>1059</v>
      </c>
      <c r="B484" s="2" t="s">
        <v>54</v>
      </c>
      <c r="C484" s="2" t="s">
        <v>54</v>
      </c>
      <c r="D484" s="2" t="s">
        <v>1254</v>
      </c>
      <c r="E484" s="2" t="s">
        <v>1255</v>
      </c>
      <c r="F484" s="3">
        <v>2942268.57</v>
      </c>
      <c r="G484" s="3">
        <v>3057174</v>
      </c>
      <c r="H484" s="3">
        <v>3500000</v>
      </c>
      <c r="I484" s="3">
        <v>3500000</v>
      </c>
      <c r="J484" s="3">
        <v>3500000</v>
      </c>
      <c r="K484" s="3">
        <v>3500000</v>
      </c>
      <c r="L484" s="4">
        <v>3500000</v>
      </c>
      <c r="M484" s="4">
        <v>3500000</v>
      </c>
      <c r="N484" s="4">
        <v>3500000</v>
      </c>
      <c r="O484" s="4">
        <v>3500000</v>
      </c>
      <c r="P484" s="4">
        <v>3500000</v>
      </c>
      <c r="Q484" s="4">
        <v>3500000</v>
      </c>
      <c r="R484" s="4">
        <v>3500000</v>
      </c>
      <c r="S484" s="4">
        <v>3500000</v>
      </c>
      <c r="T484" s="4">
        <v>3500000</v>
      </c>
      <c r="U484" s="4">
        <v>3500000</v>
      </c>
      <c r="V484" s="4">
        <v>3500000</v>
      </c>
      <c r="W484" s="4">
        <v>3500000</v>
      </c>
      <c r="X484" s="4">
        <v>3500000</v>
      </c>
      <c r="Y484" s="4">
        <v>3500000</v>
      </c>
    </row>
    <row r="485" spans="1:25" ht="19.5" customHeight="1" x14ac:dyDescent="0.25">
      <c r="A485" s="2" t="s">
        <v>1059</v>
      </c>
      <c r="B485" s="2" t="s">
        <v>54</v>
      </c>
      <c r="C485" s="2" t="s">
        <v>54</v>
      </c>
      <c r="D485" s="2" t="s">
        <v>1256</v>
      </c>
      <c r="E485" s="2" t="s">
        <v>1257</v>
      </c>
      <c r="F485" s="3">
        <v>9706971.0099999998</v>
      </c>
      <c r="G485" s="3">
        <v>13050000</v>
      </c>
      <c r="H485" s="3">
        <v>6500000</v>
      </c>
      <c r="I485" s="3">
        <v>6500000</v>
      </c>
      <c r="J485" s="3">
        <v>6500000</v>
      </c>
      <c r="K485" s="3">
        <v>6500000</v>
      </c>
      <c r="L485" s="4">
        <v>6500000</v>
      </c>
      <c r="M485" s="4">
        <v>6500000</v>
      </c>
      <c r="N485" s="4">
        <v>6500000</v>
      </c>
      <c r="O485" s="4">
        <v>6500000</v>
      </c>
      <c r="P485" s="4">
        <v>6500000</v>
      </c>
      <c r="Q485" s="4">
        <v>6500000</v>
      </c>
      <c r="R485" s="4">
        <v>6500000</v>
      </c>
      <c r="S485" s="4">
        <v>6500000</v>
      </c>
      <c r="T485" s="4">
        <v>6500000</v>
      </c>
      <c r="U485" s="4">
        <v>6500000</v>
      </c>
      <c r="V485" s="4">
        <v>6500000</v>
      </c>
      <c r="W485" s="4">
        <v>6500000</v>
      </c>
      <c r="X485" s="4">
        <v>6500000</v>
      </c>
      <c r="Y485" s="4">
        <v>6500000</v>
      </c>
    </row>
    <row r="486" spans="1:25" ht="19.5" customHeight="1" x14ac:dyDescent="0.25">
      <c r="A486" s="2" t="s">
        <v>1059</v>
      </c>
      <c r="B486" s="2" t="s">
        <v>54</v>
      </c>
      <c r="C486" s="2" t="s">
        <v>54</v>
      </c>
      <c r="D486" s="2" t="s">
        <v>1258</v>
      </c>
      <c r="E486" s="2" t="s">
        <v>1259</v>
      </c>
      <c r="F486" s="3">
        <v>1120817.26</v>
      </c>
      <c r="G486" s="3">
        <v>1125000</v>
      </c>
      <c r="H486" s="3">
        <v>1250000</v>
      </c>
      <c r="I486" s="3">
        <v>1250000</v>
      </c>
      <c r="J486" s="3">
        <v>1250000</v>
      </c>
      <c r="K486" s="3">
        <v>1250000</v>
      </c>
      <c r="L486" s="4">
        <v>1250000</v>
      </c>
      <c r="M486" s="4">
        <v>1250000</v>
      </c>
      <c r="N486" s="4">
        <v>1250000</v>
      </c>
      <c r="O486" s="4">
        <v>1250000</v>
      </c>
      <c r="P486" s="4">
        <v>1250000</v>
      </c>
      <c r="Q486" s="4">
        <v>1250000</v>
      </c>
      <c r="R486" s="4">
        <v>1250000</v>
      </c>
      <c r="S486" s="4">
        <v>1250000</v>
      </c>
      <c r="T486" s="4">
        <v>1250000</v>
      </c>
      <c r="U486" s="4">
        <v>1250000</v>
      </c>
      <c r="V486" s="4">
        <v>1250000</v>
      </c>
      <c r="W486" s="4">
        <v>1250000</v>
      </c>
      <c r="X486" s="4">
        <v>1250000</v>
      </c>
      <c r="Y486" s="4">
        <v>1250000</v>
      </c>
    </row>
    <row r="487" spans="1:25" ht="19.5" customHeight="1" x14ac:dyDescent="0.25">
      <c r="A487" s="2" t="s">
        <v>1059</v>
      </c>
      <c r="B487" s="2" t="s">
        <v>54</v>
      </c>
      <c r="C487" s="2" t="s">
        <v>54</v>
      </c>
      <c r="D487" s="2" t="s">
        <v>1260</v>
      </c>
      <c r="E487" s="2" t="s">
        <v>1261</v>
      </c>
      <c r="F487" s="3">
        <v>8143807.3700000001</v>
      </c>
      <c r="G487" s="3">
        <v>12776856</v>
      </c>
      <c r="H487" s="3">
        <v>13200000</v>
      </c>
      <c r="I487" s="3">
        <v>13200000</v>
      </c>
      <c r="J487" s="3">
        <v>13200000</v>
      </c>
      <c r="K487" s="3">
        <v>13200000</v>
      </c>
      <c r="L487" s="4">
        <v>13200000</v>
      </c>
      <c r="M487" s="4">
        <v>13200000</v>
      </c>
      <c r="N487" s="4">
        <v>13200000</v>
      </c>
      <c r="O487" s="4">
        <v>13200000</v>
      </c>
      <c r="P487" s="4">
        <v>13200000</v>
      </c>
      <c r="Q487" s="4">
        <v>13200000</v>
      </c>
      <c r="R487" s="4">
        <v>13200000</v>
      </c>
      <c r="S487" s="4">
        <v>13200000</v>
      </c>
      <c r="T487" s="4">
        <v>13200000</v>
      </c>
      <c r="U487" s="4">
        <v>13200000</v>
      </c>
      <c r="V487" s="4">
        <v>13200000</v>
      </c>
      <c r="W487" s="4">
        <v>13200000</v>
      </c>
      <c r="X487" s="4">
        <v>13200000</v>
      </c>
      <c r="Y487" s="4">
        <v>13200000</v>
      </c>
    </row>
    <row r="488" spans="1:25" ht="19.5" customHeight="1" x14ac:dyDescent="0.25">
      <c r="A488" s="2" t="s">
        <v>1059</v>
      </c>
      <c r="B488" s="2" t="s">
        <v>54</v>
      </c>
      <c r="C488" s="2" t="s">
        <v>54</v>
      </c>
      <c r="D488" s="2" t="s">
        <v>1262</v>
      </c>
      <c r="E488" s="2" t="s">
        <v>1263</v>
      </c>
      <c r="F488" s="4">
        <v>199964.1</v>
      </c>
      <c r="G488" s="3">
        <v>160000</v>
      </c>
      <c r="H488" s="3">
        <v>0</v>
      </c>
      <c r="I488" s="3">
        <v>0</v>
      </c>
      <c r="J488" s="3">
        <v>200000</v>
      </c>
      <c r="K488" s="3">
        <v>200000</v>
      </c>
      <c r="L488" s="4">
        <v>200000</v>
      </c>
      <c r="M488" s="4">
        <v>200000</v>
      </c>
      <c r="N488" s="4">
        <v>200000</v>
      </c>
      <c r="O488" s="4">
        <v>200000</v>
      </c>
      <c r="P488" s="4">
        <v>200000</v>
      </c>
      <c r="Q488" s="4">
        <v>200000</v>
      </c>
      <c r="R488" s="4">
        <v>200000</v>
      </c>
      <c r="S488" s="4">
        <v>200000</v>
      </c>
      <c r="T488" s="4">
        <v>200000</v>
      </c>
      <c r="U488" s="4">
        <v>200000</v>
      </c>
      <c r="V488" s="4">
        <v>200000</v>
      </c>
      <c r="W488" s="4">
        <v>200000</v>
      </c>
      <c r="X488" s="4">
        <v>200000</v>
      </c>
      <c r="Y488" s="4">
        <v>200000</v>
      </c>
    </row>
    <row r="489" spans="1:25" ht="19.5" customHeight="1" x14ac:dyDescent="0.25">
      <c r="A489" s="2" t="s">
        <v>1059</v>
      </c>
      <c r="B489" s="2" t="s">
        <v>54</v>
      </c>
      <c r="C489" s="2" t="s">
        <v>54</v>
      </c>
      <c r="D489" s="2" t="s">
        <v>1264</v>
      </c>
      <c r="E489" s="2" t="s">
        <v>1265</v>
      </c>
      <c r="F489" s="3">
        <v>598800.84</v>
      </c>
      <c r="G489" s="3">
        <v>660000</v>
      </c>
      <c r="H489" s="3">
        <v>11400000</v>
      </c>
      <c r="I489" s="3">
        <v>9150000</v>
      </c>
      <c r="J489" s="3">
        <v>18800000</v>
      </c>
      <c r="K489" s="3">
        <v>16500000</v>
      </c>
      <c r="L489" s="4">
        <v>18900000</v>
      </c>
      <c r="M489" s="4">
        <v>16500000</v>
      </c>
      <c r="N489" s="4">
        <v>18900000</v>
      </c>
      <c r="O489" s="4">
        <v>16500000</v>
      </c>
      <c r="P489" s="4">
        <v>19810000</v>
      </c>
      <c r="Q489" s="4">
        <v>15850000</v>
      </c>
      <c r="R489" s="4">
        <v>22210000</v>
      </c>
      <c r="S489" s="4">
        <v>16950000</v>
      </c>
      <c r="T489" s="4">
        <v>22210000</v>
      </c>
      <c r="U489" s="4">
        <v>16950000</v>
      </c>
      <c r="V489" s="4">
        <v>24610000</v>
      </c>
      <c r="W489" s="4">
        <v>17700000</v>
      </c>
      <c r="X489" s="4">
        <v>24610000</v>
      </c>
      <c r="Y489" s="4">
        <v>17700000</v>
      </c>
    </row>
    <row r="490" spans="1:25" ht="19.5" customHeight="1" x14ac:dyDescent="0.25">
      <c r="A490" s="2" t="s">
        <v>1059</v>
      </c>
      <c r="B490" s="2" t="s">
        <v>54</v>
      </c>
      <c r="C490" s="2" t="s">
        <v>54</v>
      </c>
      <c r="D490" s="2" t="s">
        <v>1266</v>
      </c>
      <c r="E490" s="2" t="s">
        <v>1267</v>
      </c>
      <c r="F490" s="3">
        <v>150000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</row>
    <row r="491" spans="1:25" ht="19.5" customHeight="1" x14ac:dyDescent="0.25">
      <c r="A491" s="2" t="s">
        <v>1059</v>
      </c>
      <c r="B491" s="2" t="s">
        <v>54</v>
      </c>
      <c r="C491" s="2" t="s">
        <v>54</v>
      </c>
      <c r="D491" s="2" t="s">
        <v>1268</v>
      </c>
      <c r="E491" s="2" t="s">
        <v>1253</v>
      </c>
      <c r="F491" s="3">
        <v>67428.679999999993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</row>
    <row r="492" spans="1:25" ht="19.5" customHeight="1" x14ac:dyDescent="0.25">
      <c r="A492" s="2" t="s">
        <v>1059</v>
      </c>
      <c r="B492" s="2" t="s">
        <v>54</v>
      </c>
      <c r="C492" s="2" t="s">
        <v>54</v>
      </c>
      <c r="D492" s="2" t="s">
        <v>1269</v>
      </c>
      <c r="E492" s="2" t="s">
        <v>1270</v>
      </c>
      <c r="F492" s="3">
        <v>205647.84</v>
      </c>
      <c r="G492" s="3">
        <v>200000</v>
      </c>
      <c r="H492" s="3">
        <v>0</v>
      </c>
      <c r="I492" s="3">
        <v>0</v>
      </c>
      <c r="J492" s="3">
        <v>200000</v>
      </c>
      <c r="K492" s="3">
        <v>200000</v>
      </c>
      <c r="L492" s="4">
        <v>200000</v>
      </c>
      <c r="M492" s="4">
        <v>200000</v>
      </c>
      <c r="N492" s="4">
        <v>200000</v>
      </c>
      <c r="O492" s="4">
        <v>200000</v>
      </c>
      <c r="P492" s="4">
        <v>250000</v>
      </c>
      <c r="Q492" s="4">
        <v>250000</v>
      </c>
      <c r="R492" s="4">
        <v>250000</v>
      </c>
      <c r="S492" s="4">
        <v>250000</v>
      </c>
      <c r="T492" s="4">
        <v>250000</v>
      </c>
      <c r="U492" s="4">
        <v>250000</v>
      </c>
      <c r="V492" s="4">
        <v>250000</v>
      </c>
      <c r="W492" s="4">
        <v>250000</v>
      </c>
      <c r="X492" s="4">
        <v>250000</v>
      </c>
      <c r="Y492" s="4">
        <v>250000</v>
      </c>
    </row>
    <row r="493" spans="1:25" ht="19.5" customHeight="1" x14ac:dyDescent="0.25">
      <c r="A493" s="2" t="s">
        <v>1059</v>
      </c>
      <c r="B493" s="2" t="s">
        <v>54</v>
      </c>
      <c r="C493" s="2" t="s">
        <v>54</v>
      </c>
      <c r="D493" s="2" t="s">
        <v>1271</v>
      </c>
      <c r="E493" s="2" t="s">
        <v>1272</v>
      </c>
      <c r="F493" s="3">
        <v>0</v>
      </c>
      <c r="G493" s="3">
        <v>2500000</v>
      </c>
      <c r="H493" s="3">
        <v>2500000</v>
      </c>
      <c r="I493" s="3">
        <v>2500000</v>
      </c>
      <c r="J493" s="3">
        <v>2500000</v>
      </c>
      <c r="K493" s="3">
        <v>2500000</v>
      </c>
      <c r="L493" s="4">
        <v>2500000</v>
      </c>
      <c r="M493" s="4">
        <v>2500000</v>
      </c>
      <c r="N493" s="4">
        <v>2500000</v>
      </c>
      <c r="O493" s="4">
        <v>2500000</v>
      </c>
      <c r="P493" s="4">
        <v>7500000</v>
      </c>
      <c r="Q493" s="4">
        <v>2500000</v>
      </c>
      <c r="R493" s="4">
        <v>7500000</v>
      </c>
      <c r="S493" s="4">
        <v>2500000</v>
      </c>
      <c r="T493" s="4">
        <v>7500000</v>
      </c>
      <c r="U493" s="4">
        <v>2500000</v>
      </c>
      <c r="V493" s="4">
        <v>6000000</v>
      </c>
      <c r="W493" s="4">
        <v>2500000</v>
      </c>
      <c r="X493" s="4">
        <v>6000000</v>
      </c>
      <c r="Y493" s="4">
        <v>2500000</v>
      </c>
    </row>
    <row r="494" spans="1:25" ht="19.5" customHeight="1" x14ac:dyDescent="0.25">
      <c r="A494" s="2" t="s">
        <v>1059</v>
      </c>
      <c r="B494" s="2" t="s">
        <v>54</v>
      </c>
      <c r="C494" s="2" t="s">
        <v>54</v>
      </c>
      <c r="D494" s="2" t="s">
        <v>1273</v>
      </c>
      <c r="E494" s="2" t="s">
        <v>1107</v>
      </c>
      <c r="F494" s="3">
        <v>493416.1</v>
      </c>
      <c r="G494" s="3">
        <v>7950000</v>
      </c>
      <c r="H494" s="3">
        <v>0</v>
      </c>
      <c r="I494" s="3">
        <v>0</v>
      </c>
      <c r="J494" s="3">
        <v>0</v>
      </c>
      <c r="K494" s="3">
        <v>0</v>
      </c>
      <c r="L494" s="4">
        <v>25000000</v>
      </c>
      <c r="M494" s="4">
        <v>0</v>
      </c>
      <c r="N494" s="4">
        <v>25000000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</row>
    <row r="495" spans="1:25" ht="19.5" customHeight="1" x14ac:dyDescent="0.25">
      <c r="A495" s="6" t="s">
        <v>1059</v>
      </c>
      <c r="B495" s="6" t="s">
        <v>54</v>
      </c>
      <c r="C495" s="6" t="s">
        <v>54</v>
      </c>
      <c r="D495" s="7" t="s">
        <v>1274</v>
      </c>
      <c r="E495" s="6" t="s">
        <v>1275</v>
      </c>
      <c r="F495" s="4">
        <v>0</v>
      </c>
      <c r="G495" s="4">
        <v>0</v>
      </c>
      <c r="H495" s="4">
        <v>0</v>
      </c>
      <c r="I495" s="4">
        <v>0</v>
      </c>
      <c r="J495" s="4">
        <v>250000</v>
      </c>
      <c r="K495" s="4">
        <v>250000</v>
      </c>
      <c r="L495" s="4">
        <v>250000</v>
      </c>
      <c r="M495" s="4">
        <v>250000</v>
      </c>
      <c r="N495" s="4">
        <v>250000</v>
      </c>
      <c r="O495" s="4">
        <v>250000</v>
      </c>
      <c r="P495" s="4">
        <v>250000</v>
      </c>
      <c r="Q495" s="4">
        <v>250000</v>
      </c>
      <c r="R495" s="4">
        <v>250000</v>
      </c>
      <c r="S495" s="4">
        <v>250000</v>
      </c>
      <c r="T495" s="4">
        <v>250000</v>
      </c>
      <c r="U495" s="4">
        <v>250000</v>
      </c>
      <c r="V495" s="4">
        <v>250000</v>
      </c>
      <c r="W495" s="4">
        <v>250000</v>
      </c>
      <c r="X495" s="4">
        <v>250000</v>
      </c>
      <c r="Y495" s="4">
        <v>250000</v>
      </c>
    </row>
    <row r="496" spans="1:25" ht="19.5" customHeight="1" x14ac:dyDescent="0.25">
      <c r="A496" s="2" t="s">
        <v>1059</v>
      </c>
      <c r="B496" s="2" t="s">
        <v>54</v>
      </c>
      <c r="C496" s="2" t="s">
        <v>54</v>
      </c>
      <c r="D496" s="2" t="s">
        <v>1276</v>
      </c>
      <c r="E496" s="2" t="s">
        <v>1171</v>
      </c>
      <c r="F496" s="4">
        <v>0</v>
      </c>
      <c r="G496" s="3">
        <v>0</v>
      </c>
      <c r="H496" s="3">
        <v>20000000</v>
      </c>
      <c r="I496" s="3">
        <v>20000000</v>
      </c>
      <c r="J496" s="3">
        <v>20000000</v>
      </c>
      <c r="K496" s="3">
        <v>20000000</v>
      </c>
      <c r="L496" s="4">
        <v>20000000</v>
      </c>
      <c r="M496" s="4">
        <v>20000000</v>
      </c>
      <c r="N496" s="4">
        <v>20000000</v>
      </c>
      <c r="O496" s="4">
        <v>20000000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</row>
    <row r="497" spans="1:25" ht="19.5" customHeight="1" x14ac:dyDescent="0.25">
      <c r="A497" s="2" t="s">
        <v>1059</v>
      </c>
      <c r="B497" s="2" t="s">
        <v>54</v>
      </c>
      <c r="C497" s="2" t="s">
        <v>54</v>
      </c>
      <c r="D497" s="2" t="s">
        <v>1277</v>
      </c>
      <c r="E497" s="2" t="s">
        <v>1278</v>
      </c>
      <c r="F497" s="3">
        <v>7813233.8399999999</v>
      </c>
      <c r="G497" s="3">
        <v>7682600</v>
      </c>
      <c r="H497" s="3">
        <v>7300000</v>
      </c>
      <c r="I497" s="3">
        <v>8500000</v>
      </c>
      <c r="J497" s="3">
        <v>7300000</v>
      </c>
      <c r="K497" s="3">
        <v>8500000</v>
      </c>
      <c r="L497" s="4">
        <v>7300000</v>
      </c>
      <c r="M497" s="4">
        <v>8500000</v>
      </c>
      <c r="N497" s="4">
        <v>7300000</v>
      </c>
      <c r="O497" s="4">
        <v>8500000</v>
      </c>
      <c r="P497" s="4">
        <v>7300000</v>
      </c>
      <c r="Q497" s="4">
        <v>8500000</v>
      </c>
      <c r="R497" s="4">
        <v>7300000</v>
      </c>
      <c r="S497" s="4">
        <v>8500000</v>
      </c>
      <c r="T497" s="4">
        <v>7300000</v>
      </c>
      <c r="U497" s="4">
        <v>8500000</v>
      </c>
      <c r="V497" s="4">
        <v>7300000</v>
      </c>
      <c r="W497" s="4">
        <v>8500000</v>
      </c>
      <c r="X497" s="4">
        <v>7300000</v>
      </c>
      <c r="Y497" s="4">
        <v>8500000</v>
      </c>
    </row>
    <row r="498" spans="1:25" ht="19.5" customHeight="1" x14ac:dyDescent="0.25">
      <c r="A498" s="2" t="s">
        <v>1059</v>
      </c>
      <c r="B498" s="2" t="s">
        <v>54</v>
      </c>
      <c r="C498" s="2" t="s">
        <v>54</v>
      </c>
      <c r="D498" s="2" t="s">
        <v>1279</v>
      </c>
      <c r="E498" s="2" t="s">
        <v>1280</v>
      </c>
      <c r="F498" s="3">
        <v>81377687.230000004</v>
      </c>
      <c r="G498" s="3">
        <v>87403000</v>
      </c>
      <c r="H498" s="3">
        <v>69000000</v>
      </c>
      <c r="I498" s="3">
        <v>76000000</v>
      </c>
      <c r="J498" s="3">
        <v>69000000</v>
      </c>
      <c r="K498" s="3">
        <v>76000000</v>
      </c>
      <c r="L498" s="4">
        <v>69000000</v>
      </c>
      <c r="M498" s="4">
        <v>76000000</v>
      </c>
      <c r="N498" s="4">
        <v>69000000</v>
      </c>
      <c r="O498" s="4">
        <v>76000000</v>
      </c>
      <c r="P498" s="4">
        <v>69000000</v>
      </c>
      <c r="Q498" s="4">
        <v>76000000</v>
      </c>
      <c r="R498" s="4">
        <v>69000000</v>
      </c>
      <c r="S498" s="4">
        <v>76000000</v>
      </c>
      <c r="T498" s="4">
        <v>69000000</v>
      </c>
      <c r="U498" s="4">
        <v>76000000</v>
      </c>
      <c r="V498" s="4">
        <v>69000000</v>
      </c>
      <c r="W498" s="4">
        <v>76000000</v>
      </c>
      <c r="X498" s="4">
        <v>69000000</v>
      </c>
      <c r="Y498" s="4">
        <v>76000000</v>
      </c>
    </row>
    <row r="499" spans="1:25" ht="19.5" customHeight="1" x14ac:dyDescent="0.25">
      <c r="A499" s="2" t="s">
        <v>1059</v>
      </c>
      <c r="B499" s="2" t="s">
        <v>54</v>
      </c>
      <c r="C499" s="2" t="s">
        <v>54</v>
      </c>
      <c r="D499" s="2" t="s">
        <v>1281</v>
      </c>
      <c r="E499" s="2" t="s">
        <v>1282</v>
      </c>
      <c r="F499" s="3">
        <v>15498966.810000001</v>
      </c>
      <c r="G499" s="3">
        <v>9879900</v>
      </c>
      <c r="H499" s="3">
        <v>4605000</v>
      </c>
      <c r="I499" s="3">
        <v>4605000</v>
      </c>
      <c r="J499" s="3">
        <v>4605000</v>
      </c>
      <c r="K499" s="3">
        <v>4605000</v>
      </c>
      <c r="L499" s="4">
        <v>4605000</v>
      </c>
      <c r="M499" s="4">
        <v>4605000</v>
      </c>
      <c r="N499" s="4">
        <v>4605000</v>
      </c>
      <c r="O499" s="4">
        <v>4605000</v>
      </c>
      <c r="P499" s="4">
        <v>4605000</v>
      </c>
      <c r="Q499" s="4">
        <v>4605000</v>
      </c>
      <c r="R499" s="4">
        <v>4605000</v>
      </c>
      <c r="S499" s="4">
        <v>4605000</v>
      </c>
      <c r="T499" s="4">
        <v>4605000</v>
      </c>
      <c r="U499" s="4">
        <v>4605000</v>
      </c>
      <c r="V499" s="4">
        <v>4605000</v>
      </c>
      <c r="W499" s="4">
        <v>4605000</v>
      </c>
      <c r="X499" s="4">
        <v>4605000</v>
      </c>
      <c r="Y499" s="4">
        <v>4605000</v>
      </c>
    </row>
    <row r="500" spans="1:25" ht="19.5" customHeight="1" x14ac:dyDescent="0.25">
      <c r="A500" s="2" t="s">
        <v>1059</v>
      </c>
      <c r="B500" s="2" t="s">
        <v>243</v>
      </c>
      <c r="C500" s="2" t="s">
        <v>1283</v>
      </c>
      <c r="D500" s="2" t="s">
        <v>1284</v>
      </c>
      <c r="E500" s="2" t="s">
        <v>1285</v>
      </c>
      <c r="F500" s="3">
        <v>10953557.689999999</v>
      </c>
      <c r="G500" s="3">
        <v>12000000</v>
      </c>
      <c r="H500" s="3">
        <v>12000000</v>
      </c>
      <c r="I500" s="3">
        <v>12000000</v>
      </c>
      <c r="J500" s="3">
        <v>12000000</v>
      </c>
      <c r="K500" s="3">
        <v>12000000</v>
      </c>
      <c r="L500" s="4">
        <v>12000000</v>
      </c>
      <c r="M500" s="4">
        <v>12000000</v>
      </c>
      <c r="N500" s="4">
        <v>12000000</v>
      </c>
      <c r="O500" s="4">
        <v>12000000</v>
      </c>
      <c r="P500" s="4">
        <v>12000000</v>
      </c>
      <c r="Q500" s="4">
        <v>12000000</v>
      </c>
      <c r="R500" s="4">
        <v>12000000</v>
      </c>
      <c r="S500" s="4">
        <v>12000000</v>
      </c>
      <c r="T500" s="4">
        <v>12000000</v>
      </c>
      <c r="U500" s="4">
        <v>12000000</v>
      </c>
      <c r="V500" s="4">
        <v>12000000</v>
      </c>
      <c r="W500" s="4">
        <v>12000000</v>
      </c>
      <c r="X500" s="4">
        <v>12000000</v>
      </c>
      <c r="Y500" s="4">
        <v>12000000</v>
      </c>
    </row>
    <row r="501" spans="1:25" ht="19.5" customHeight="1" x14ac:dyDescent="0.25">
      <c r="A501" s="2" t="s">
        <v>1059</v>
      </c>
      <c r="B501" s="2" t="s">
        <v>243</v>
      </c>
      <c r="C501" s="2" t="s">
        <v>1286</v>
      </c>
      <c r="D501" s="2" t="s">
        <v>1287</v>
      </c>
      <c r="E501" s="2" t="s">
        <v>1288</v>
      </c>
      <c r="F501" s="3">
        <v>4725.97</v>
      </c>
      <c r="G501" s="3">
        <v>125000</v>
      </c>
      <c r="H501" s="3">
        <v>125000</v>
      </c>
      <c r="I501" s="3">
        <v>125000</v>
      </c>
      <c r="J501" s="3">
        <v>125000</v>
      </c>
      <c r="K501" s="3">
        <v>125000</v>
      </c>
      <c r="L501" s="4">
        <v>125000</v>
      </c>
      <c r="M501" s="4">
        <v>125000</v>
      </c>
      <c r="N501" s="4">
        <v>125000</v>
      </c>
      <c r="O501" s="4">
        <v>125000</v>
      </c>
      <c r="P501" s="4">
        <v>125000</v>
      </c>
      <c r="Q501" s="4">
        <v>125000</v>
      </c>
      <c r="R501" s="4">
        <v>125000</v>
      </c>
      <c r="S501" s="4">
        <v>125000</v>
      </c>
      <c r="T501" s="4">
        <v>125000</v>
      </c>
      <c r="U501" s="4">
        <v>125000</v>
      </c>
      <c r="V501" s="4">
        <v>125000</v>
      </c>
      <c r="W501" s="4">
        <v>125000</v>
      </c>
      <c r="X501" s="4">
        <v>125000</v>
      </c>
      <c r="Y501" s="4">
        <v>125000</v>
      </c>
    </row>
    <row r="502" spans="1:25" ht="19.5" customHeight="1" x14ac:dyDescent="0.25">
      <c r="A502" s="2" t="s">
        <v>1289</v>
      </c>
      <c r="B502" s="2" t="s">
        <v>248</v>
      </c>
      <c r="C502" s="2" t="s">
        <v>1290</v>
      </c>
      <c r="D502" s="2" t="s">
        <v>1291</v>
      </c>
      <c r="E502" s="2" t="s">
        <v>1292</v>
      </c>
      <c r="F502" s="3">
        <v>180967.9</v>
      </c>
      <c r="G502" s="3">
        <v>301796</v>
      </c>
      <c r="H502" s="3">
        <v>301796</v>
      </c>
      <c r="I502" s="3">
        <v>301796</v>
      </c>
      <c r="J502" s="3">
        <v>301796</v>
      </c>
      <c r="K502" s="3">
        <v>301796</v>
      </c>
      <c r="L502" s="4">
        <v>301796</v>
      </c>
      <c r="M502" s="4">
        <v>301796</v>
      </c>
      <c r="N502" s="4">
        <v>301796</v>
      </c>
      <c r="O502" s="4">
        <v>301796</v>
      </c>
      <c r="P502" s="4">
        <v>301796</v>
      </c>
      <c r="Q502" s="4">
        <v>301796</v>
      </c>
      <c r="R502" s="4">
        <v>301796</v>
      </c>
      <c r="S502" s="4">
        <v>301796</v>
      </c>
      <c r="T502" s="4">
        <v>301796</v>
      </c>
      <c r="U502" s="4">
        <v>301796</v>
      </c>
      <c r="V502" s="4">
        <v>301796</v>
      </c>
      <c r="W502" s="4">
        <v>301796</v>
      </c>
      <c r="X502" s="4">
        <v>301796</v>
      </c>
      <c r="Y502" s="4">
        <v>301796</v>
      </c>
    </row>
    <row r="503" spans="1:25" ht="19.5" customHeight="1" x14ac:dyDescent="0.25">
      <c r="A503" s="2" t="s">
        <v>1289</v>
      </c>
      <c r="B503" s="2" t="s">
        <v>16</v>
      </c>
      <c r="C503" s="2" t="s">
        <v>1293</v>
      </c>
      <c r="D503" s="2" t="s">
        <v>1294</v>
      </c>
      <c r="E503" s="2" t="s">
        <v>1295</v>
      </c>
      <c r="F503" s="3">
        <v>1401473.16</v>
      </c>
      <c r="G503" s="3">
        <v>1719324</v>
      </c>
      <c r="H503" s="3">
        <v>2009943</v>
      </c>
      <c r="I503" s="3">
        <v>2062630</v>
      </c>
      <c r="J503" s="3">
        <v>2009943</v>
      </c>
      <c r="K503" s="3">
        <v>2062630</v>
      </c>
      <c r="L503" s="4">
        <v>2009943</v>
      </c>
      <c r="M503" s="4">
        <v>2062630</v>
      </c>
      <c r="N503" s="4">
        <v>2009943</v>
      </c>
      <c r="O503" s="4">
        <v>2062630</v>
      </c>
      <c r="P503" s="4">
        <v>2009943</v>
      </c>
      <c r="Q503" s="4">
        <v>2062630</v>
      </c>
      <c r="R503" s="4">
        <v>2009943</v>
      </c>
      <c r="S503" s="4">
        <v>2062630</v>
      </c>
      <c r="T503" s="4">
        <v>2009943</v>
      </c>
      <c r="U503" s="4">
        <v>2062630</v>
      </c>
      <c r="V503" s="4">
        <v>2009943</v>
      </c>
      <c r="W503" s="4">
        <v>2062630</v>
      </c>
      <c r="X503" s="4">
        <v>2009943</v>
      </c>
      <c r="Y503" s="4">
        <v>2062630</v>
      </c>
    </row>
    <row r="504" spans="1:25" ht="19.5" customHeight="1" x14ac:dyDescent="0.25">
      <c r="A504" s="2" t="s">
        <v>1289</v>
      </c>
      <c r="B504" s="2" t="s">
        <v>16</v>
      </c>
      <c r="C504" s="2" t="s">
        <v>1296</v>
      </c>
      <c r="D504" s="2" t="s">
        <v>1297</v>
      </c>
      <c r="E504" s="2" t="s">
        <v>1298</v>
      </c>
      <c r="F504" s="3">
        <v>750666.49</v>
      </c>
      <c r="G504" s="3">
        <v>927128</v>
      </c>
      <c r="H504" s="3">
        <v>998229</v>
      </c>
      <c r="I504" s="3">
        <v>1002531</v>
      </c>
      <c r="J504" s="3">
        <v>998229</v>
      </c>
      <c r="K504" s="3">
        <v>1002531</v>
      </c>
      <c r="L504" s="4">
        <v>998229</v>
      </c>
      <c r="M504" s="4">
        <v>1002531</v>
      </c>
      <c r="N504" s="4">
        <v>998229</v>
      </c>
      <c r="O504" s="4">
        <v>1002531</v>
      </c>
      <c r="P504" s="4">
        <v>998229</v>
      </c>
      <c r="Q504" s="4">
        <v>1002531</v>
      </c>
      <c r="R504" s="4">
        <v>998229</v>
      </c>
      <c r="S504" s="4">
        <v>1002531</v>
      </c>
      <c r="T504" s="4">
        <v>998229</v>
      </c>
      <c r="U504" s="4">
        <v>1002531</v>
      </c>
      <c r="V504" s="4">
        <v>998229</v>
      </c>
      <c r="W504" s="4">
        <v>1002531</v>
      </c>
      <c r="X504" s="4">
        <v>998229</v>
      </c>
      <c r="Y504" s="4">
        <v>1002531</v>
      </c>
    </row>
    <row r="505" spans="1:25" ht="19.5" customHeight="1" x14ac:dyDescent="0.25">
      <c r="A505" s="2" t="s">
        <v>1289</v>
      </c>
      <c r="B505" s="2" t="s">
        <v>16</v>
      </c>
      <c r="C505" s="2" t="s">
        <v>1299</v>
      </c>
      <c r="D505" s="2" t="s">
        <v>1300</v>
      </c>
      <c r="E505" s="2" t="s">
        <v>1301</v>
      </c>
      <c r="F505" s="3">
        <v>279579.59999999998</v>
      </c>
      <c r="G505" s="3">
        <v>329782</v>
      </c>
      <c r="H505" s="3">
        <v>341177</v>
      </c>
      <c r="I505" s="3">
        <v>351329</v>
      </c>
      <c r="J505" s="3">
        <v>341177</v>
      </c>
      <c r="K505" s="3">
        <v>351329</v>
      </c>
      <c r="L505" s="4">
        <v>341177</v>
      </c>
      <c r="M505" s="4">
        <v>351329</v>
      </c>
      <c r="N505" s="4">
        <v>341177</v>
      </c>
      <c r="O505" s="4">
        <v>351329</v>
      </c>
      <c r="P505" s="4">
        <v>341177</v>
      </c>
      <c r="Q505" s="4">
        <v>351329</v>
      </c>
      <c r="R505" s="4">
        <v>341177</v>
      </c>
      <c r="S505" s="4">
        <v>351329</v>
      </c>
      <c r="T505" s="4">
        <v>341177</v>
      </c>
      <c r="U505" s="4">
        <v>351329</v>
      </c>
      <c r="V505" s="4">
        <v>341177</v>
      </c>
      <c r="W505" s="4">
        <v>351329</v>
      </c>
      <c r="X505" s="4">
        <v>341177</v>
      </c>
      <c r="Y505" s="4">
        <v>351329</v>
      </c>
    </row>
    <row r="506" spans="1:25" ht="19.5" customHeight="1" x14ac:dyDescent="0.25">
      <c r="A506" s="2" t="s">
        <v>1289</v>
      </c>
      <c r="B506" s="2" t="s">
        <v>16</v>
      </c>
      <c r="C506" s="2" t="s">
        <v>1302</v>
      </c>
      <c r="D506" s="2" t="s">
        <v>1303</v>
      </c>
      <c r="E506" s="2" t="s">
        <v>1304</v>
      </c>
      <c r="F506" s="3">
        <v>38715.699999999997</v>
      </c>
      <c r="G506" s="3">
        <v>54000</v>
      </c>
      <c r="H506" s="3">
        <v>100000</v>
      </c>
      <c r="I506" s="3">
        <v>100000</v>
      </c>
      <c r="J506" s="3">
        <v>100000</v>
      </c>
      <c r="K506" s="3">
        <v>100000</v>
      </c>
      <c r="L506" s="4">
        <v>100000</v>
      </c>
      <c r="M506" s="4">
        <v>100000</v>
      </c>
      <c r="N506" s="4">
        <v>100000</v>
      </c>
      <c r="O506" s="4">
        <v>100000</v>
      </c>
      <c r="P506" s="4">
        <v>100000</v>
      </c>
      <c r="Q506" s="4">
        <v>100000</v>
      </c>
      <c r="R506" s="4">
        <v>100000</v>
      </c>
      <c r="S506" s="4">
        <v>100000</v>
      </c>
      <c r="T506" s="4">
        <v>100000</v>
      </c>
      <c r="U506" s="4">
        <v>100000</v>
      </c>
      <c r="V506" s="4">
        <v>100000</v>
      </c>
      <c r="W506" s="4">
        <v>100000</v>
      </c>
      <c r="X506" s="4">
        <v>100000</v>
      </c>
      <c r="Y506" s="4">
        <v>100000</v>
      </c>
    </row>
    <row r="507" spans="1:25" ht="19.5" customHeight="1" x14ac:dyDescent="0.25">
      <c r="A507" s="2" t="s">
        <v>1289</v>
      </c>
      <c r="B507" s="2" t="s">
        <v>16</v>
      </c>
      <c r="C507" s="2" t="s">
        <v>1305</v>
      </c>
      <c r="D507" s="2" t="s">
        <v>1306</v>
      </c>
      <c r="E507" s="2" t="s">
        <v>1307</v>
      </c>
      <c r="F507" s="3">
        <v>8668193.7599999998</v>
      </c>
      <c r="G507" s="3">
        <v>10312871</v>
      </c>
      <c r="H507" s="3">
        <v>8312871</v>
      </c>
      <c r="I507" s="3">
        <v>8312871</v>
      </c>
      <c r="J507" s="3">
        <v>8312871</v>
      </c>
      <c r="K507" s="3">
        <v>8312871</v>
      </c>
      <c r="L507" s="4">
        <v>8312871</v>
      </c>
      <c r="M507" s="4">
        <v>8312871</v>
      </c>
      <c r="N507" s="4">
        <v>8312871</v>
      </c>
      <c r="O507" s="4">
        <v>8312871</v>
      </c>
      <c r="P507" s="4">
        <v>8312871</v>
      </c>
      <c r="Q507" s="4">
        <v>8312871</v>
      </c>
      <c r="R507" s="4">
        <v>8312871</v>
      </c>
      <c r="S507" s="4">
        <v>8312871</v>
      </c>
      <c r="T507" s="4">
        <v>8312871</v>
      </c>
      <c r="U507" s="4">
        <v>8312871</v>
      </c>
      <c r="V507" s="4">
        <v>8312871</v>
      </c>
      <c r="W507" s="4">
        <v>8312871</v>
      </c>
      <c r="X507" s="4">
        <v>8312871</v>
      </c>
      <c r="Y507" s="4">
        <v>8312871</v>
      </c>
    </row>
    <row r="508" spans="1:25" ht="19.5" customHeight="1" x14ac:dyDescent="0.25">
      <c r="A508" s="2" t="s">
        <v>1289</v>
      </c>
      <c r="B508" s="2" t="s">
        <v>16</v>
      </c>
      <c r="C508" s="2" t="s">
        <v>1308</v>
      </c>
      <c r="D508" s="2" t="s">
        <v>1309</v>
      </c>
      <c r="E508" s="2" t="s">
        <v>1310</v>
      </c>
      <c r="F508" s="3">
        <v>4734278.01</v>
      </c>
      <c r="G508" s="3">
        <v>6701943</v>
      </c>
      <c r="H508" s="3">
        <v>8599989</v>
      </c>
      <c r="I508" s="3">
        <v>5799989</v>
      </c>
      <c r="J508" s="3">
        <v>8599989</v>
      </c>
      <c r="K508" s="3">
        <v>5799989</v>
      </c>
      <c r="L508" s="4">
        <v>8599989</v>
      </c>
      <c r="M508" s="4">
        <v>5799989</v>
      </c>
      <c r="N508" s="4">
        <v>8599989</v>
      </c>
      <c r="O508" s="4">
        <v>5799989</v>
      </c>
      <c r="P508" s="4">
        <v>8599989</v>
      </c>
      <c r="Q508" s="4">
        <v>5799989</v>
      </c>
      <c r="R508" s="4">
        <v>8599989</v>
      </c>
      <c r="S508" s="4">
        <v>5799989</v>
      </c>
      <c r="T508" s="4">
        <v>8599989</v>
      </c>
      <c r="U508" s="4">
        <v>5799989</v>
      </c>
      <c r="V508" s="4">
        <v>8599989</v>
      </c>
      <c r="W508" s="4">
        <v>5799989</v>
      </c>
      <c r="X508" s="4">
        <v>8599989</v>
      </c>
      <c r="Y508" s="4">
        <v>5799989</v>
      </c>
    </row>
    <row r="509" spans="1:25" ht="19.5" customHeight="1" x14ac:dyDescent="0.25">
      <c r="A509" s="2" t="s">
        <v>1289</v>
      </c>
      <c r="B509" s="2" t="s">
        <v>16</v>
      </c>
      <c r="C509" s="2" t="s">
        <v>1308</v>
      </c>
      <c r="D509" s="2" t="s">
        <v>1311</v>
      </c>
      <c r="E509" s="2" t="s">
        <v>1312</v>
      </c>
      <c r="F509" s="3">
        <v>479667.77</v>
      </c>
      <c r="G509" s="3">
        <v>0</v>
      </c>
      <c r="H509" s="3">
        <v>641719</v>
      </c>
      <c r="I509" s="3">
        <v>646449</v>
      </c>
      <c r="J509" s="3">
        <v>641719</v>
      </c>
      <c r="K509" s="3">
        <v>646449</v>
      </c>
      <c r="L509" s="4">
        <v>641719</v>
      </c>
      <c r="M509" s="4">
        <v>646449</v>
      </c>
      <c r="N509" s="4">
        <v>641719</v>
      </c>
      <c r="O509" s="4">
        <v>646449</v>
      </c>
      <c r="P509" s="4">
        <v>641719</v>
      </c>
      <c r="Q509" s="4">
        <v>646449</v>
      </c>
      <c r="R509" s="4">
        <v>641719</v>
      </c>
      <c r="S509" s="4">
        <v>646449</v>
      </c>
      <c r="T509" s="4">
        <v>641719</v>
      </c>
      <c r="U509" s="4">
        <v>646449</v>
      </c>
      <c r="V509" s="4">
        <v>641719</v>
      </c>
      <c r="W509" s="4">
        <v>646449</v>
      </c>
      <c r="X509" s="4">
        <v>641719</v>
      </c>
      <c r="Y509" s="4">
        <v>646449</v>
      </c>
    </row>
    <row r="510" spans="1:25" ht="19.5" customHeight="1" x14ac:dyDescent="0.25">
      <c r="A510" s="2" t="s">
        <v>1289</v>
      </c>
      <c r="B510" s="2" t="s">
        <v>16</v>
      </c>
      <c r="C510" s="2" t="s">
        <v>1313</v>
      </c>
      <c r="D510" s="2" t="s">
        <v>1314</v>
      </c>
      <c r="E510" s="2" t="s">
        <v>1315</v>
      </c>
      <c r="F510" s="3">
        <v>29279454.329999998</v>
      </c>
      <c r="G510" s="3">
        <v>35412070</v>
      </c>
      <c r="H510" s="3">
        <v>35412070</v>
      </c>
      <c r="I510" s="3">
        <v>35412070</v>
      </c>
      <c r="J510" s="3">
        <v>35412070</v>
      </c>
      <c r="K510" s="3">
        <v>35412070</v>
      </c>
      <c r="L510" s="4">
        <v>35412070</v>
      </c>
      <c r="M510" s="4">
        <v>35412070</v>
      </c>
      <c r="N510" s="4">
        <v>35412070</v>
      </c>
      <c r="O510" s="4">
        <v>35412070</v>
      </c>
      <c r="P510" s="4">
        <v>38212070</v>
      </c>
      <c r="Q510" s="4">
        <v>35412070</v>
      </c>
      <c r="R510" s="4">
        <v>39062070</v>
      </c>
      <c r="S510" s="4">
        <v>35412070</v>
      </c>
      <c r="T510" s="4">
        <v>39062070</v>
      </c>
      <c r="U510" s="4">
        <v>35412070</v>
      </c>
      <c r="V510" s="4">
        <v>49362070</v>
      </c>
      <c r="W510" s="4">
        <v>35412070</v>
      </c>
      <c r="X510" s="4">
        <v>49362070</v>
      </c>
      <c r="Y510" s="4">
        <v>35412070</v>
      </c>
    </row>
    <row r="511" spans="1:25" ht="19.5" customHeight="1" x14ac:dyDescent="0.25">
      <c r="A511" s="2" t="s">
        <v>1289</v>
      </c>
      <c r="B511" s="2" t="s">
        <v>16</v>
      </c>
      <c r="C511" s="2" t="s">
        <v>1316</v>
      </c>
      <c r="D511" s="2" t="s">
        <v>1317</v>
      </c>
      <c r="E511" s="2" t="s">
        <v>1318</v>
      </c>
      <c r="F511" s="3">
        <v>1714637.17</v>
      </c>
      <c r="G511" s="3">
        <v>2253403</v>
      </c>
      <c r="H511" s="3">
        <v>2446910</v>
      </c>
      <c r="I511" s="3">
        <v>2446910</v>
      </c>
      <c r="J511" s="3">
        <v>2446910</v>
      </c>
      <c r="K511" s="3">
        <v>2446910</v>
      </c>
      <c r="L511" s="4">
        <v>2446910</v>
      </c>
      <c r="M511" s="4">
        <v>2446910</v>
      </c>
      <c r="N511" s="4">
        <v>2446910</v>
      </c>
      <c r="O511" s="4">
        <v>2446910</v>
      </c>
      <c r="P511" s="4">
        <v>2446910</v>
      </c>
      <c r="Q511" s="4">
        <v>2446910</v>
      </c>
      <c r="R511" s="4">
        <v>2446910</v>
      </c>
      <c r="S511" s="4">
        <v>2446910</v>
      </c>
      <c r="T511" s="4">
        <v>2446910</v>
      </c>
      <c r="U511" s="4">
        <v>2446910</v>
      </c>
      <c r="V511" s="4">
        <v>2446910</v>
      </c>
      <c r="W511" s="4">
        <v>2446910</v>
      </c>
      <c r="X511" s="4">
        <v>2446910</v>
      </c>
      <c r="Y511" s="4">
        <v>2446910</v>
      </c>
    </row>
    <row r="512" spans="1:25" ht="19.5" customHeight="1" x14ac:dyDescent="0.25">
      <c r="A512" s="2" t="s">
        <v>1289</v>
      </c>
      <c r="B512" s="2" t="s">
        <v>16</v>
      </c>
      <c r="C512" s="2" t="s">
        <v>1319</v>
      </c>
      <c r="D512" s="2" t="s">
        <v>1320</v>
      </c>
      <c r="E512" s="2" t="s">
        <v>1321</v>
      </c>
      <c r="F512" s="3">
        <v>2737788.9</v>
      </c>
      <c r="G512" s="4">
        <v>3006996</v>
      </c>
      <c r="H512" s="4">
        <v>3007006</v>
      </c>
      <c r="I512" s="4">
        <v>3007006</v>
      </c>
      <c r="J512" s="4">
        <v>3007006</v>
      </c>
      <c r="K512" s="4">
        <v>3007006</v>
      </c>
      <c r="L512" s="4">
        <v>3007006</v>
      </c>
      <c r="M512" s="4">
        <v>3007006</v>
      </c>
      <c r="N512" s="4">
        <v>3007006</v>
      </c>
      <c r="O512" s="4">
        <v>3007006</v>
      </c>
      <c r="P512" s="4">
        <v>3007006</v>
      </c>
      <c r="Q512" s="4">
        <v>3007006</v>
      </c>
      <c r="R512" s="4">
        <v>3007006</v>
      </c>
      <c r="S512" s="4">
        <v>3007006</v>
      </c>
      <c r="T512" s="4">
        <v>3007006</v>
      </c>
      <c r="U512" s="4">
        <v>3007006</v>
      </c>
      <c r="V512" s="4">
        <v>3007006</v>
      </c>
      <c r="W512" s="4">
        <v>3007006</v>
      </c>
      <c r="X512" s="4">
        <v>3007006</v>
      </c>
      <c r="Y512" s="4">
        <v>3007006</v>
      </c>
    </row>
    <row r="513" spans="1:25" ht="19.5" customHeight="1" x14ac:dyDescent="0.25">
      <c r="A513" s="2" t="s">
        <v>1289</v>
      </c>
      <c r="B513" s="2" t="s">
        <v>16</v>
      </c>
      <c r="C513" s="2" t="s">
        <v>1322</v>
      </c>
      <c r="D513" s="2" t="s">
        <v>1323</v>
      </c>
      <c r="E513" s="2" t="s">
        <v>1324</v>
      </c>
      <c r="F513" s="3">
        <v>23906150.449999999</v>
      </c>
      <c r="G513" s="3">
        <v>25446157</v>
      </c>
      <c r="H513" s="3">
        <v>28446157</v>
      </c>
      <c r="I513" s="3">
        <v>29523770</v>
      </c>
      <c r="J513" s="3">
        <v>28446157</v>
      </c>
      <c r="K513" s="3">
        <v>29523770</v>
      </c>
      <c r="L513" s="4">
        <v>28446157</v>
      </c>
      <c r="M513" s="4">
        <v>29523770</v>
      </c>
      <c r="N513" s="4">
        <v>28446157</v>
      </c>
      <c r="O513" s="4">
        <v>29523770</v>
      </c>
      <c r="P513" s="4">
        <v>28446157</v>
      </c>
      <c r="Q513" s="4">
        <v>29523770</v>
      </c>
      <c r="R513" s="4">
        <v>28446157</v>
      </c>
      <c r="S513" s="4">
        <v>29523770</v>
      </c>
      <c r="T513" s="4">
        <v>28446157</v>
      </c>
      <c r="U513" s="4">
        <v>29523770</v>
      </c>
      <c r="V513" s="4">
        <v>28446157</v>
      </c>
      <c r="W513" s="4">
        <v>29523770</v>
      </c>
      <c r="X513" s="4">
        <v>28446157</v>
      </c>
      <c r="Y513" s="4">
        <v>29523770</v>
      </c>
    </row>
    <row r="514" spans="1:25" ht="19.5" customHeight="1" x14ac:dyDescent="0.25">
      <c r="A514" s="2" t="s">
        <v>1289</v>
      </c>
      <c r="B514" s="2" t="s">
        <v>16</v>
      </c>
      <c r="C514" s="2" t="s">
        <v>1322</v>
      </c>
      <c r="D514" s="2" t="s">
        <v>1325</v>
      </c>
      <c r="E514" s="2" t="s">
        <v>1326</v>
      </c>
      <c r="F514" s="3">
        <v>9438415.6999999993</v>
      </c>
      <c r="G514" s="3">
        <v>28177215</v>
      </c>
      <c r="H514" s="3">
        <v>22481036</v>
      </c>
      <c r="I514" s="3">
        <v>22849836</v>
      </c>
      <c r="J514" s="3">
        <v>22481036</v>
      </c>
      <c r="K514" s="3">
        <v>22849836</v>
      </c>
      <c r="L514" s="4">
        <v>22481036</v>
      </c>
      <c r="M514" s="4">
        <v>22849836</v>
      </c>
      <c r="N514" s="4">
        <v>22481036</v>
      </c>
      <c r="O514" s="4">
        <v>22849836</v>
      </c>
      <c r="P514" s="4">
        <v>22481036</v>
      </c>
      <c r="Q514" s="4">
        <v>22849836</v>
      </c>
      <c r="R514" s="4">
        <v>22481036</v>
      </c>
      <c r="S514" s="4">
        <v>22849836</v>
      </c>
      <c r="T514" s="4">
        <v>22481036</v>
      </c>
      <c r="U514" s="4">
        <v>22849836</v>
      </c>
      <c r="V514" s="4">
        <v>22481036</v>
      </c>
      <c r="W514" s="4">
        <v>22849836</v>
      </c>
      <c r="X514" s="4">
        <v>22481036</v>
      </c>
      <c r="Y514" s="4">
        <v>22849836</v>
      </c>
    </row>
    <row r="515" spans="1:25" ht="19.5" customHeight="1" x14ac:dyDescent="0.25">
      <c r="A515" s="2" t="s">
        <v>1289</v>
      </c>
      <c r="B515" s="2" t="s">
        <v>16</v>
      </c>
      <c r="C515" s="2" t="s">
        <v>1327</v>
      </c>
      <c r="D515" s="2" t="s">
        <v>1328</v>
      </c>
      <c r="E515" s="2" t="s">
        <v>1329</v>
      </c>
      <c r="F515" s="3">
        <v>2801800.73</v>
      </c>
      <c r="G515" s="4">
        <v>701587</v>
      </c>
      <c r="H515" s="4">
        <v>460000</v>
      </c>
      <c r="I515" s="4">
        <v>460000</v>
      </c>
      <c r="J515" s="4">
        <v>460000</v>
      </c>
      <c r="K515" s="4">
        <v>460000</v>
      </c>
      <c r="L515" s="4">
        <v>460000</v>
      </c>
      <c r="M515" s="4">
        <v>460000</v>
      </c>
      <c r="N515" s="4">
        <v>460000</v>
      </c>
      <c r="O515" s="4">
        <v>460000</v>
      </c>
      <c r="P515" s="4">
        <v>460000</v>
      </c>
      <c r="Q515" s="4">
        <v>460000</v>
      </c>
      <c r="R515" s="4">
        <v>460000</v>
      </c>
      <c r="S515" s="4">
        <v>460000</v>
      </c>
      <c r="T515" s="4">
        <v>460000</v>
      </c>
      <c r="U515" s="4">
        <v>460000</v>
      </c>
      <c r="V515" s="4">
        <v>460000</v>
      </c>
      <c r="W515" s="4">
        <v>460000</v>
      </c>
      <c r="X515" s="4">
        <v>460000</v>
      </c>
      <c r="Y515" s="4">
        <v>460000</v>
      </c>
    </row>
    <row r="516" spans="1:25" ht="19.5" customHeight="1" x14ac:dyDescent="0.25">
      <c r="A516" s="2" t="s">
        <v>1289</v>
      </c>
      <c r="B516" s="2" t="s">
        <v>16</v>
      </c>
      <c r="C516" s="2" t="s">
        <v>1330</v>
      </c>
      <c r="D516" s="2" t="s">
        <v>1331</v>
      </c>
      <c r="E516" s="2" t="s">
        <v>1332</v>
      </c>
      <c r="F516" s="3">
        <v>230868.32</v>
      </c>
      <c r="G516" s="3">
        <v>313649</v>
      </c>
      <c r="H516" s="3">
        <v>1725494</v>
      </c>
      <c r="I516" s="3">
        <v>1582122</v>
      </c>
      <c r="J516" s="3">
        <v>1725494</v>
      </c>
      <c r="K516" s="3">
        <v>1582122</v>
      </c>
      <c r="L516" s="4">
        <v>1725494</v>
      </c>
      <c r="M516" s="4">
        <v>1582122</v>
      </c>
      <c r="N516" s="4">
        <v>1725494</v>
      </c>
      <c r="O516" s="4">
        <v>1582122</v>
      </c>
      <c r="P516" s="4">
        <v>1725494</v>
      </c>
      <c r="Q516" s="4">
        <v>1582122</v>
      </c>
      <c r="R516" s="4">
        <v>1725494</v>
      </c>
      <c r="S516" s="4">
        <v>1582122</v>
      </c>
      <c r="T516" s="4">
        <v>1725494</v>
      </c>
      <c r="U516" s="4">
        <v>1582122</v>
      </c>
      <c r="V516" s="4">
        <v>1725494</v>
      </c>
      <c r="W516" s="4">
        <v>1582122</v>
      </c>
      <c r="X516" s="4">
        <v>1725494</v>
      </c>
      <c r="Y516" s="4">
        <v>1582122</v>
      </c>
    </row>
    <row r="517" spans="1:25" ht="19.5" customHeight="1" x14ac:dyDescent="0.25">
      <c r="A517" s="2" t="s">
        <v>1289</v>
      </c>
      <c r="B517" s="2" t="s">
        <v>16</v>
      </c>
      <c r="C517" s="2" t="s">
        <v>1333</v>
      </c>
      <c r="D517" s="2" t="s">
        <v>1334</v>
      </c>
      <c r="E517" s="2" t="s">
        <v>1335</v>
      </c>
      <c r="F517" s="3">
        <v>3755379.53</v>
      </c>
      <c r="G517" s="3">
        <v>4689552</v>
      </c>
      <c r="H517" s="3">
        <v>4750000</v>
      </c>
      <c r="I517" s="3">
        <v>4800000</v>
      </c>
      <c r="J517" s="3">
        <v>4750000</v>
      </c>
      <c r="K517" s="3">
        <v>4800000</v>
      </c>
      <c r="L517" s="4">
        <v>4750000</v>
      </c>
      <c r="M517" s="4">
        <v>4800000</v>
      </c>
      <c r="N517" s="4">
        <v>4750000</v>
      </c>
      <c r="O517" s="4">
        <v>4800000</v>
      </c>
      <c r="P517" s="4">
        <v>4750000</v>
      </c>
      <c r="Q517" s="4">
        <v>4800000</v>
      </c>
      <c r="R517" s="4">
        <v>4750000</v>
      </c>
      <c r="S517" s="4">
        <v>4800000</v>
      </c>
      <c r="T517" s="4">
        <v>4750000</v>
      </c>
      <c r="U517" s="4">
        <v>4800000</v>
      </c>
      <c r="V517" s="4">
        <v>4750000</v>
      </c>
      <c r="W517" s="4">
        <v>4800000</v>
      </c>
      <c r="X517" s="4">
        <v>4750000</v>
      </c>
      <c r="Y517" s="4">
        <v>4800000</v>
      </c>
    </row>
    <row r="518" spans="1:25" ht="19.5" customHeight="1" x14ac:dyDescent="0.25">
      <c r="A518" s="2" t="s">
        <v>1289</v>
      </c>
      <c r="B518" s="2" t="s">
        <v>16</v>
      </c>
      <c r="C518" s="2" t="s">
        <v>1336</v>
      </c>
      <c r="D518" s="2" t="s">
        <v>1337</v>
      </c>
      <c r="E518" s="2" t="s">
        <v>1338</v>
      </c>
      <c r="F518" s="3">
        <v>499723.75</v>
      </c>
      <c r="G518" s="3">
        <v>2232761</v>
      </c>
      <c r="H518" s="3">
        <v>2530000</v>
      </c>
      <c r="I518" s="3">
        <v>2530000</v>
      </c>
      <c r="J518" s="3">
        <v>2530000</v>
      </c>
      <c r="K518" s="3">
        <v>2530000</v>
      </c>
      <c r="L518" s="4">
        <v>2530000</v>
      </c>
      <c r="M518" s="4">
        <v>2530000</v>
      </c>
      <c r="N518" s="4">
        <v>2530000</v>
      </c>
      <c r="O518" s="4">
        <v>2530000</v>
      </c>
      <c r="P518" s="4">
        <v>2530000</v>
      </c>
      <c r="Q518" s="4">
        <v>2530000</v>
      </c>
      <c r="R518" s="4">
        <v>2530000</v>
      </c>
      <c r="S518" s="4">
        <v>2530000</v>
      </c>
      <c r="T518" s="4">
        <v>2530000</v>
      </c>
      <c r="U518" s="4">
        <v>2530000</v>
      </c>
      <c r="V518" s="4">
        <v>2530000</v>
      </c>
      <c r="W518" s="4">
        <v>2530000</v>
      </c>
      <c r="X518" s="4">
        <v>2530000</v>
      </c>
      <c r="Y518" s="4">
        <v>2530000</v>
      </c>
    </row>
    <row r="519" spans="1:25" ht="19.5" customHeight="1" x14ac:dyDescent="0.25">
      <c r="A519" s="2" t="s">
        <v>1289</v>
      </c>
      <c r="B519" s="2" t="s">
        <v>16</v>
      </c>
      <c r="C519" s="2" t="s">
        <v>35</v>
      </c>
      <c r="D519" s="2" t="s">
        <v>1339</v>
      </c>
      <c r="E519" s="2" t="s">
        <v>1340</v>
      </c>
      <c r="F519" s="3">
        <v>0</v>
      </c>
      <c r="G519" s="3">
        <v>5000000</v>
      </c>
      <c r="H519" s="3">
        <v>2500000</v>
      </c>
      <c r="I519" s="3">
        <v>0</v>
      </c>
      <c r="J519" s="3">
        <v>2500000</v>
      </c>
      <c r="K519" s="3">
        <v>0</v>
      </c>
      <c r="L519" s="4">
        <v>2500000</v>
      </c>
      <c r="M519" s="4">
        <v>0</v>
      </c>
      <c r="N519" s="4">
        <v>2500000</v>
      </c>
      <c r="O519" s="4">
        <v>0</v>
      </c>
      <c r="P519" s="4">
        <v>2500000</v>
      </c>
      <c r="Q519" s="4">
        <v>0</v>
      </c>
      <c r="R519" s="4">
        <v>2500000</v>
      </c>
      <c r="S519" s="4">
        <v>0</v>
      </c>
      <c r="T519" s="4">
        <v>2500000</v>
      </c>
      <c r="U519" s="4">
        <v>0</v>
      </c>
      <c r="V519" s="4">
        <v>2500000</v>
      </c>
      <c r="W519" s="4">
        <v>0</v>
      </c>
      <c r="X519" s="4">
        <v>2500000</v>
      </c>
      <c r="Y519" s="4">
        <v>0</v>
      </c>
    </row>
    <row r="520" spans="1:25" ht="19.5" customHeight="1" x14ac:dyDescent="0.25">
      <c r="A520" s="2" t="s">
        <v>1289</v>
      </c>
      <c r="B520" s="2" t="s">
        <v>16</v>
      </c>
      <c r="C520" s="2" t="s">
        <v>1341</v>
      </c>
      <c r="D520" s="2" t="s">
        <v>1342</v>
      </c>
      <c r="E520" s="2" t="s">
        <v>1343</v>
      </c>
      <c r="F520" s="3">
        <v>48.89</v>
      </c>
      <c r="G520" s="3">
        <v>12000</v>
      </c>
      <c r="H520" s="3">
        <v>12000</v>
      </c>
      <c r="I520" s="3">
        <v>12000</v>
      </c>
      <c r="J520" s="3">
        <v>12000</v>
      </c>
      <c r="K520" s="3">
        <v>12000</v>
      </c>
      <c r="L520" s="4">
        <v>12000</v>
      </c>
      <c r="M520" s="4">
        <v>12000</v>
      </c>
      <c r="N520" s="4">
        <v>12000</v>
      </c>
      <c r="O520" s="4">
        <v>12000</v>
      </c>
      <c r="P520" s="4">
        <v>12000</v>
      </c>
      <c r="Q520" s="4">
        <v>12000</v>
      </c>
      <c r="R520" s="4">
        <v>12000</v>
      </c>
      <c r="S520" s="4">
        <v>12000</v>
      </c>
      <c r="T520" s="4">
        <v>12000</v>
      </c>
      <c r="U520" s="4">
        <v>12000</v>
      </c>
      <c r="V520" s="4">
        <v>12000</v>
      </c>
      <c r="W520" s="4">
        <v>12000</v>
      </c>
      <c r="X520" s="4">
        <v>12000</v>
      </c>
      <c r="Y520" s="4">
        <v>12000</v>
      </c>
    </row>
    <row r="521" spans="1:25" ht="19.5" customHeight="1" x14ac:dyDescent="0.25">
      <c r="A521" s="2" t="s">
        <v>1289</v>
      </c>
      <c r="B521" s="2" t="s">
        <v>16</v>
      </c>
      <c r="C521" s="2" t="s">
        <v>1344</v>
      </c>
      <c r="D521" s="2" t="s">
        <v>1345</v>
      </c>
      <c r="E521" s="2" t="s">
        <v>1346</v>
      </c>
      <c r="F521" s="3">
        <v>19990.38</v>
      </c>
      <c r="G521" s="3">
        <v>34000</v>
      </c>
      <c r="H521" s="3">
        <v>34000</v>
      </c>
      <c r="I521" s="3">
        <v>34000</v>
      </c>
      <c r="J521" s="3">
        <v>34000</v>
      </c>
      <c r="K521" s="3">
        <v>34000</v>
      </c>
      <c r="L521" s="4">
        <v>34000</v>
      </c>
      <c r="M521" s="4">
        <v>34000</v>
      </c>
      <c r="N521" s="4">
        <v>34000</v>
      </c>
      <c r="O521" s="4">
        <v>34000</v>
      </c>
      <c r="P521" s="4">
        <v>34000</v>
      </c>
      <c r="Q521" s="4">
        <v>34000</v>
      </c>
      <c r="R521" s="4">
        <v>34000</v>
      </c>
      <c r="S521" s="4">
        <v>34000</v>
      </c>
      <c r="T521" s="4">
        <v>34000</v>
      </c>
      <c r="U521" s="4">
        <v>34000</v>
      </c>
      <c r="V521" s="4">
        <v>34000</v>
      </c>
      <c r="W521" s="4">
        <v>34000</v>
      </c>
      <c r="X521" s="4">
        <v>34000</v>
      </c>
      <c r="Y521" s="4">
        <v>34000</v>
      </c>
    </row>
    <row r="522" spans="1:25" ht="19.5" customHeight="1" x14ac:dyDescent="0.25">
      <c r="A522" s="2" t="s">
        <v>1289</v>
      </c>
      <c r="B522" s="2" t="s">
        <v>16</v>
      </c>
      <c r="C522" s="2" t="s">
        <v>1347</v>
      </c>
      <c r="D522" s="2" t="s">
        <v>1348</v>
      </c>
      <c r="E522" s="2" t="s">
        <v>1349</v>
      </c>
      <c r="F522" s="3">
        <v>13173.27</v>
      </c>
      <c r="G522" s="3">
        <v>50000</v>
      </c>
      <c r="H522" s="3">
        <v>100000</v>
      </c>
      <c r="I522" s="3">
        <v>100000</v>
      </c>
      <c r="J522" s="3">
        <v>100000</v>
      </c>
      <c r="K522" s="3">
        <v>100000</v>
      </c>
      <c r="L522" s="4">
        <v>100000</v>
      </c>
      <c r="M522" s="4">
        <v>100000</v>
      </c>
      <c r="N522" s="4">
        <v>100000</v>
      </c>
      <c r="O522" s="4">
        <v>100000</v>
      </c>
      <c r="P522" s="4">
        <v>100000</v>
      </c>
      <c r="Q522" s="4">
        <v>100000</v>
      </c>
      <c r="R522" s="4">
        <v>100000</v>
      </c>
      <c r="S522" s="4">
        <v>100000</v>
      </c>
      <c r="T522" s="4">
        <v>100000</v>
      </c>
      <c r="U522" s="4">
        <v>100000</v>
      </c>
      <c r="V522" s="4">
        <v>100000</v>
      </c>
      <c r="W522" s="4">
        <v>100000</v>
      </c>
      <c r="X522" s="4">
        <v>100000</v>
      </c>
      <c r="Y522" s="4">
        <v>100000</v>
      </c>
    </row>
    <row r="523" spans="1:25" ht="19.5" customHeight="1" x14ac:dyDescent="0.25">
      <c r="A523" s="2" t="s">
        <v>1289</v>
      </c>
      <c r="B523" s="2" t="s">
        <v>16</v>
      </c>
      <c r="C523" s="2" t="s">
        <v>1350</v>
      </c>
      <c r="D523" s="2" t="s">
        <v>1351</v>
      </c>
      <c r="E523" s="2" t="s">
        <v>1352</v>
      </c>
      <c r="F523" s="3">
        <v>3304</v>
      </c>
      <c r="G523" s="3">
        <v>232491</v>
      </c>
      <c r="H523" s="3">
        <v>0</v>
      </c>
      <c r="I523" s="3">
        <v>0</v>
      </c>
      <c r="J523" s="3">
        <v>0</v>
      </c>
      <c r="K523" s="3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</row>
    <row r="524" spans="1:25" ht="19.5" customHeight="1" x14ac:dyDescent="0.25">
      <c r="A524" s="2" t="s">
        <v>1289</v>
      </c>
      <c r="B524" s="2" t="s">
        <v>16</v>
      </c>
      <c r="C524" s="2" t="s">
        <v>1353</v>
      </c>
      <c r="D524" s="2" t="s">
        <v>1354</v>
      </c>
      <c r="E524" s="2" t="s">
        <v>1355</v>
      </c>
      <c r="F524" s="3">
        <v>3458706.41</v>
      </c>
      <c r="G524" s="3">
        <v>7000000</v>
      </c>
      <c r="H524" s="3">
        <v>5000000</v>
      </c>
      <c r="I524" s="3">
        <v>5000000</v>
      </c>
      <c r="J524" s="3">
        <v>5000000</v>
      </c>
      <c r="K524" s="3">
        <v>5000000</v>
      </c>
      <c r="L524" s="4">
        <v>5000000</v>
      </c>
      <c r="M524" s="4">
        <v>5000000</v>
      </c>
      <c r="N524" s="4">
        <v>5000000</v>
      </c>
      <c r="O524" s="4">
        <v>5000000</v>
      </c>
      <c r="P524" s="4">
        <v>5000000</v>
      </c>
      <c r="Q524" s="4">
        <v>5000000</v>
      </c>
      <c r="R524" s="4">
        <v>5000000</v>
      </c>
      <c r="S524" s="4">
        <v>5000000</v>
      </c>
      <c r="T524" s="4">
        <v>5000000</v>
      </c>
      <c r="U524" s="4">
        <v>5000000</v>
      </c>
      <c r="V524" s="4">
        <v>5000000</v>
      </c>
      <c r="W524" s="4">
        <v>5000000</v>
      </c>
      <c r="X524" s="4">
        <v>5000000</v>
      </c>
      <c r="Y524" s="4">
        <v>5000000</v>
      </c>
    </row>
    <row r="525" spans="1:25" ht="19.5" customHeight="1" x14ac:dyDescent="0.25">
      <c r="A525" s="2" t="s">
        <v>1289</v>
      </c>
      <c r="B525" s="2" t="s">
        <v>16</v>
      </c>
      <c r="C525" s="2" t="s">
        <v>1356</v>
      </c>
      <c r="D525" s="2" t="s">
        <v>1357</v>
      </c>
      <c r="E525" s="2" t="s">
        <v>1358</v>
      </c>
      <c r="F525" s="3">
        <v>1393176.31</v>
      </c>
      <c r="G525" s="3">
        <v>1618122</v>
      </c>
      <c r="H525" s="3">
        <v>1481150</v>
      </c>
      <c r="I525" s="3">
        <v>1481150</v>
      </c>
      <c r="J525" s="3">
        <v>1481150</v>
      </c>
      <c r="K525" s="3">
        <v>1481150</v>
      </c>
      <c r="L525" s="4">
        <v>1481150</v>
      </c>
      <c r="M525" s="4">
        <v>1481150</v>
      </c>
      <c r="N525" s="4">
        <v>1481150</v>
      </c>
      <c r="O525" s="4">
        <v>1481150</v>
      </c>
      <c r="P525" s="4">
        <v>1481150</v>
      </c>
      <c r="Q525" s="4">
        <v>1481150</v>
      </c>
      <c r="R525" s="4">
        <v>1481150</v>
      </c>
      <c r="S525" s="4">
        <v>1481150</v>
      </c>
      <c r="T525" s="4">
        <v>1481150</v>
      </c>
      <c r="U525" s="4">
        <v>1481150</v>
      </c>
      <c r="V525" s="4">
        <v>1481150</v>
      </c>
      <c r="W525" s="4">
        <v>1481150</v>
      </c>
      <c r="X525" s="4">
        <v>1481150</v>
      </c>
      <c r="Y525" s="4">
        <v>1481150</v>
      </c>
    </row>
    <row r="526" spans="1:25" ht="19.5" customHeight="1" x14ac:dyDescent="0.25">
      <c r="A526" s="2" t="s">
        <v>1289</v>
      </c>
      <c r="B526" s="2" t="s">
        <v>16</v>
      </c>
      <c r="C526" s="2" t="s">
        <v>1359</v>
      </c>
      <c r="D526" s="2" t="s">
        <v>1360</v>
      </c>
      <c r="E526" s="2" t="s">
        <v>1361</v>
      </c>
      <c r="F526" s="3">
        <v>838268.35</v>
      </c>
      <c r="G526" s="3">
        <v>943698</v>
      </c>
      <c r="H526" s="3">
        <v>1166602</v>
      </c>
      <c r="I526" s="3">
        <v>1266602</v>
      </c>
      <c r="J526" s="3">
        <v>1166602</v>
      </c>
      <c r="K526" s="3">
        <v>1266602</v>
      </c>
      <c r="L526" s="4">
        <v>1166602</v>
      </c>
      <c r="M526" s="4">
        <v>1266602</v>
      </c>
      <c r="N526" s="4">
        <v>1166602</v>
      </c>
      <c r="O526" s="4">
        <v>1266602</v>
      </c>
      <c r="P526" s="4">
        <v>1166602</v>
      </c>
      <c r="Q526" s="4">
        <v>1266602</v>
      </c>
      <c r="R526" s="4">
        <v>1166602</v>
      </c>
      <c r="S526" s="4">
        <v>1266602</v>
      </c>
      <c r="T526" s="4">
        <v>1166602</v>
      </c>
      <c r="U526" s="4">
        <v>1266602</v>
      </c>
      <c r="V526" s="4">
        <v>1166602</v>
      </c>
      <c r="W526" s="4">
        <v>1266602</v>
      </c>
      <c r="X526" s="4">
        <v>1166602</v>
      </c>
      <c r="Y526" s="4">
        <v>1266602</v>
      </c>
    </row>
    <row r="527" spans="1:25" ht="19.5" customHeight="1" x14ac:dyDescent="0.25">
      <c r="A527" s="2" t="s">
        <v>1289</v>
      </c>
      <c r="B527" s="2" t="s">
        <v>16</v>
      </c>
      <c r="C527" s="2" t="s">
        <v>1362</v>
      </c>
      <c r="D527" s="2" t="s">
        <v>1363</v>
      </c>
      <c r="E527" s="2" t="s">
        <v>1364</v>
      </c>
      <c r="F527" s="3">
        <v>389850.36</v>
      </c>
      <c r="G527" s="3">
        <v>717155</v>
      </c>
      <c r="H527" s="3">
        <v>717155</v>
      </c>
      <c r="I527" s="3">
        <v>717155</v>
      </c>
      <c r="J527" s="3">
        <v>717155</v>
      </c>
      <c r="K527" s="3">
        <v>717155</v>
      </c>
      <c r="L527" s="4">
        <v>717155</v>
      </c>
      <c r="M527" s="4">
        <v>717155</v>
      </c>
      <c r="N527" s="4">
        <v>717155</v>
      </c>
      <c r="O527" s="4">
        <v>717155</v>
      </c>
      <c r="P527" s="4">
        <v>717155</v>
      </c>
      <c r="Q527" s="4">
        <v>717155</v>
      </c>
      <c r="R527" s="4">
        <v>717155</v>
      </c>
      <c r="S527" s="4">
        <v>717155</v>
      </c>
      <c r="T527" s="4">
        <v>717155</v>
      </c>
      <c r="U527" s="4">
        <v>717155</v>
      </c>
      <c r="V527" s="4">
        <v>717155</v>
      </c>
      <c r="W527" s="4">
        <v>717155</v>
      </c>
      <c r="X527" s="4">
        <v>717155</v>
      </c>
      <c r="Y527" s="4">
        <v>717155</v>
      </c>
    </row>
    <row r="528" spans="1:25" ht="19.5" customHeight="1" x14ac:dyDescent="0.25">
      <c r="A528" s="2" t="s">
        <v>1289</v>
      </c>
      <c r="B528" s="2" t="s">
        <v>16</v>
      </c>
      <c r="C528" s="2" t="s">
        <v>343</v>
      </c>
      <c r="D528" s="2" t="s">
        <v>1365</v>
      </c>
      <c r="E528" s="2" t="s">
        <v>345</v>
      </c>
      <c r="F528" s="3">
        <v>7454287.3099999996</v>
      </c>
      <c r="G528" s="3">
        <v>14391060</v>
      </c>
      <c r="H528" s="3">
        <v>25000000</v>
      </c>
      <c r="I528" s="3">
        <v>25000000</v>
      </c>
      <c r="J528" s="3">
        <v>25000000</v>
      </c>
      <c r="K528" s="3">
        <v>25000000</v>
      </c>
      <c r="L528" s="4">
        <v>25000000</v>
      </c>
      <c r="M528" s="4">
        <v>25000000</v>
      </c>
      <c r="N528" s="4">
        <v>25000000</v>
      </c>
      <c r="O528" s="4">
        <v>25000000</v>
      </c>
      <c r="P528" s="4">
        <v>25000000</v>
      </c>
      <c r="Q528" s="4">
        <v>25000000</v>
      </c>
      <c r="R528" s="4">
        <v>25000000</v>
      </c>
      <c r="S528" s="4">
        <v>25000000</v>
      </c>
      <c r="T528" s="4">
        <v>25000000</v>
      </c>
      <c r="U528" s="4">
        <v>25000000</v>
      </c>
      <c r="V528" s="4">
        <v>25000000</v>
      </c>
      <c r="W528" s="4">
        <v>25000000</v>
      </c>
      <c r="X528" s="4">
        <v>25000000</v>
      </c>
      <c r="Y528" s="4">
        <v>25000000</v>
      </c>
    </row>
    <row r="529" spans="1:25" ht="19.5" customHeight="1" x14ac:dyDescent="0.25">
      <c r="A529" s="2" t="s">
        <v>1289</v>
      </c>
      <c r="B529" s="2" t="s">
        <v>16</v>
      </c>
      <c r="C529" s="2" t="s">
        <v>1366</v>
      </c>
      <c r="D529" s="8" t="s">
        <v>1367</v>
      </c>
      <c r="E529" s="2" t="s">
        <v>1368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28600000</v>
      </c>
      <c r="W529" s="4">
        <v>0</v>
      </c>
      <c r="X529" s="4">
        <v>28600000</v>
      </c>
      <c r="Y529" s="4">
        <v>0</v>
      </c>
    </row>
    <row r="530" spans="1:25" ht="19.5" customHeight="1" x14ac:dyDescent="0.25">
      <c r="A530" s="2" t="s">
        <v>1289</v>
      </c>
      <c r="B530" s="2" t="s">
        <v>16</v>
      </c>
      <c r="C530" s="2" t="s">
        <v>1366</v>
      </c>
      <c r="D530" s="2" t="s">
        <v>1369</v>
      </c>
      <c r="E530" s="2" t="s">
        <v>1370</v>
      </c>
      <c r="F530" s="3">
        <v>56857109.329999998</v>
      </c>
      <c r="G530" s="3">
        <v>65482330</v>
      </c>
      <c r="H530" s="3">
        <v>65482330</v>
      </c>
      <c r="I530" s="3">
        <v>65482330</v>
      </c>
      <c r="J530" s="3">
        <v>65482330</v>
      </c>
      <c r="K530" s="3">
        <v>65482330</v>
      </c>
      <c r="L530" s="4">
        <v>65482330</v>
      </c>
      <c r="M530" s="4">
        <v>65482330</v>
      </c>
      <c r="N530" s="4">
        <v>65482330</v>
      </c>
      <c r="O530" s="4">
        <v>65482330</v>
      </c>
      <c r="P530" s="4">
        <v>65482330</v>
      </c>
      <c r="Q530" s="4">
        <v>65482330</v>
      </c>
      <c r="R530" s="4">
        <v>65482330</v>
      </c>
      <c r="S530" s="4">
        <v>65482330</v>
      </c>
      <c r="T530" s="4">
        <v>65482330</v>
      </c>
      <c r="U530" s="4">
        <v>65482330</v>
      </c>
      <c r="V530" s="4">
        <v>65482330</v>
      </c>
      <c r="W530" s="4">
        <v>65482330</v>
      </c>
      <c r="X530" s="4">
        <v>65482330</v>
      </c>
      <c r="Y530" s="4">
        <v>65482330</v>
      </c>
    </row>
    <row r="531" spans="1:25" ht="19.5" customHeight="1" x14ac:dyDescent="0.25">
      <c r="A531" s="2" t="s">
        <v>1289</v>
      </c>
      <c r="B531" s="2" t="s">
        <v>16</v>
      </c>
      <c r="C531" s="2" t="s">
        <v>1371</v>
      </c>
      <c r="D531" s="2" t="s">
        <v>1372</v>
      </c>
      <c r="E531" s="2" t="s">
        <v>1373</v>
      </c>
      <c r="F531" s="3">
        <v>5667859.1100000003</v>
      </c>
      <c r="G531" s="3">
        <v>6193671</v>
      </c>
      <c r="H531" s="3">
        <v>6193671</v>
      </c>
      <c r="I531" s="3">
        <v>6193671</v>
      </c>
      <c r="J531" s="3">
        <v>6193671</v>
      </c>
      <c r="K531" s="3">
        <v>6193671</v>
      </c>
      <c r="L531" s="4">
        <v>6193671</v>
      </c>
      <c r="M531" s="4">
        <v>6193671</v>
      </c>
      <c r="N531" s="4">
        <v>6193671</v>
      </c>
      <c r="O531" s="4">
        <v>6193671</v>
      </c>
      <c r="P531" s="4">
        <v>6193671</v>
      </c>
      <c r="Q531" s="4">
        <v>6193671</v>
      </c>
      <c r="R531" s="4">
        <v>6193671</v>
      </c>
      <c r="S531" s="4">
        <v>6193671</v>
      </c>
      <c r="T531" s="4">
        <v>6193671</v>
      </c>
      <c r="U531" s="4">
        <v>6193671</v>
      </c>
      <c r="V531" s="4">
        <v>6193671</v>
      </c>
      <c r="W531" s="4">
        <v>6193671</v>
      </c>
      <c r="X531" s="4">
        <v>6193671</v>
      </c>
      <c r="Y531" s="4">
        <v>6193671</v>
      </c>
    </row>
    <row r="532" spans="1:25" ht="19.5" customHeight="1" x14ac:dyDescent="0.25">
      <c r="A532" s="2" t="s">
        <v>1289</v>
      </c>
      <c r="B532" s="2" t="s">
        <v>16</v>
      </c>
      <c r="C532" s="2" t="s">
        <v>1371</v>
      </c>
      <c r="D532" s="2" t="s">
        <v>1374</v>
      </c>
      <c r="E532" s="2" t="s">
        <v>1375</v>
      </c>
      <c r="F532" s="3">
        <v>20655741.995000001</v>
      </c>
      <c r="G532" s="3">
        <v>27833504</v>
      </c>
      <c r="H532" s="3">
        <v>34527175</v>
      </c>
      <c r="I532" s="3">
        <v>34007086</v>
      </c>
      <c r="J532" s="3">
        <v>34527175</v>
      </c>
      <c r="K532" s="3">
        <v>34007086</v>
      </c>
      <c r="L532" s="4">
        <v>34527175</v>
      </c>
      <c r="M532" s="4">
        <v>34007086</v>
      </c>
      <c r="N532" s="4">
        <v>34527175</v>
      </c>
      <c r="O532" s="4">
        <v>34007086</v>
      </c>
      <c r="P532" s="4">
        <v>34527175</v>
      </c>
      <c r="Q532" s="4">
        <v>34007086</v>
      </c>
      <c r="R532" s="4">
        <v>34527175</v>
      </c>
      <c r="S532" s="4">
        <v>34007086</v>
      </c>
      <c r="T532" s="4">
        <v>34527175</v>
      </c>
      <c r="U532" s="4">
        <v>34007086</v>
      </c>
      <c r="V532" s="4">
        <v>34527175</v>
      </c>
      <c r="W532" s="4">
        <v>34007086</v>
      </c>
      <c r="X532" s="4">
        <v>34527175</v>
      </c>
      <c r="Y532" s="4">
        <v>34007086</v>
      </c>
    </row>
    <row r="533" spans="1:25" ht="19.5" customHeight="1" x14ac:dyDescent="0.25">
      <c r="A533" s="2" t="s">
        <v>1289</v>
      </c>
      <c r="B533" s="2" t="s">
        <v>16</v>
      </c>
      <c r="C533" s="2" t="s">
        <v>1376</v>
      </c>
      <c r="D533" s="2" t="s">
        <v>1377</v>
      </c>
      <c r="E533" s="2" t="s">
        <v>1378</v>
      </c>
      <c r="F533" s="3">
        <v>413657.61</v>
      </c>
      <c r="G533" s="3">
        <v>650000</v>
      </c>
      <c r="H533" s="3">
        <v>650000</v>
      </c>
      <c r="I533" s="3">
        <v>650000</v>
      </c>
      <c r="J533" s="3">
        <v>650000</v>
      </c>
      <c r="K533" s="3">
        <v>650000</v>
      </c>
      <c r="L533" s="4">
        <v>650000</v>
      </c>
      <c r="M533" s="4">
        <v>650000</v>
      </c>
      <c r="N533" s="4">
        <v>650000</v>
      </c>
      <c r="O533" s="4">
        <v>650000</v>
      </c>
      <c r="P533" s="4">
        <v>650000</v>
      </c>
      <c r="Q533" s="4">
        <v>650000</v>
      </c>
      <c r="R533" s="4">
        <v>650000</v>
      </c>
      <c r="S533" s="4">
        <v>650000</v>
      </c>
      <c r="T533" s="4">
        <v>650000</v>
      </c>
      <c r="U533" s="4">
        <v>650000</v>
      </c>
      <c r="V533" s="4">
        <v>650000</v>
      </c>
      <c r="W533" s="4">
        <v>650000</v>
      </c>
      <c r="X533" s="4">
        <v>650000</v>
      </c>
      <c r="Y533" s="4">
        <v>650000</v>
      </c>
    </row>
    <row r="534" spans="1:25" ht="19.5" customHeight="1" x14ac:dyDescent="0.25">
      <c r="A534" s="2" t="s">
        <v>1289</v>
      </c>
      <c r="B534" s="2" t="s">
        <v>16</v>
      </c>
      <c r="C534" s="2" t="s">
        <v>1379</v>
      </c>
      <c r="D534" s="2" t="s">
        <v>1380</v>
      </c>
      <c r="E534" s="2" t="s">
        <v>1381</v>
      </c>
      <c r="F534" s="4">
        <v>832856.4</v>
      </c>
      <c r="G534" s="3">
        <v>966885</v>
      </c>
      <c r="H534" s="3">
        <v>2366885</v>
      </c>
      <c r="I534" s="3">
        <v>966885</v>
      </c>
      <c r="J534" s="3">
        <v>2366885</v>
      </c>
      <c r="K534" s="3">
        <v>966885</v>
      </c>
      <c r="L534" s="4">
        <v>2366885</v>
      </c>
      <c r="M534" s="4">
        <v>966885</v>
      </c>
      <c r="N534" s="4">
        <v>2366885</v>
      </c>
      <c r="O534" s="4">
        <v>966885</v>
      </c>
      <c r="P534" s="4">
        <v>2366885</v>
      </c>
      <c r="Q534" s="4">
        <v>966885</v>
      </c>
      <c r="R534" s="4">
        <v>2366885</v>
      </c>
      <c r="S534" s="4">
        <v>966885</v>
      </c>
      <c r="T534" s="4">
        <v>2366885</v>
      </c>
      <c r="U534" s="4">
        <v>966885</v>
      </c>
      <c r="V534" s="4">
        <v>2366885</v>
      </c>
      <c r="W534" s="4">
        <v>966885</v>
      </c>
      <c r="X534" s="4">
        <v>2366885</v>
      </c>
      <c r="Y534" s="4">
        <v>966885</v>
      </c>
    </row>
    <row r="535" spans="1:25" ht="19.5" customHeight="1" x14ac:dyDescent="0.25">
      <c r="A535" s="2" t="s">
        <v>1289</v>
      </c>
      <c r="B535" s="2" t="s">
        <v>16</v>
      </c>
      <c r="C535" s="2" t="s">
        <v>1382</v>
      </c>
      <c r="D535" s="2" t="s">
        <v>1383</v>
      </c>
      <c r="E535" s="2" t="s">
        <v>1384</v>
      </c>
      <c r="F535" s="3">
        <v>2159513.34</v>
      </c>
      <c r="G535" s="3">
        <v>2000000</v>
      </c>
      <c r="H535" s="3">
        <v>2000000</v>
      </c>
      <c r="I535" s="3">
        <v>2000000</v>
      </c>
      <c r="J535" s="3">
        <v>2000000</v>
      </c>
      <c r="K535" s="3">
        <v>2000000</v>
      </c>
      <c r="L535" s="4">
        <v>2000000</v>
      </c>
      <c r="M535" s="4">
        <v>2000000</v>
      </c>
      <c r="N535" s="4">
        <v>2000000</v>
      </c>
      <c r="O535" s="4">
        <v>2000000</v>
      </c>
      <c r="P535" s="4">
        <v>2000000</v>
      </c>
      <c r="Q535" s="4">
        <v>2000000</v>
      </c>
      <c r="R535" s="4">
        <v>2000000</v>
      </c>
      <c r="S535" s="4">
        <v>2000000</v>
      </c>
      <c r="T535" s="4">
        <v>2000000</v>
      </c>
      <c r="U535" s="4">
        <v>2000000</v>
      </c>
      <c r="V535" s="4">
        <v>2000000</v>
      </c>
      <c r="W535" s="4">
        <v>2000000</v>
      </c>
      <c r="X535" s="4">
        <v>2000000</v>
      </c>
      <c r="Y535" s="4">
        <v>2000000</v>
      </c>
    </row>
    <row r="536" spans="1:25" ht="19.5" customHeight="1" x14ac:dyDescent="0.25">
      <c r="A536" s="2" t="s">
        <v>1289</v>
      </c>
      <c r="B536" s="2" t="s">
        <v>16</v>
      </c>
      <c r="C536" s="2" t="s">
        <v>1385</v>
      </c>
      <c r="D536" s="2" t="s">
        <v>1386</v>
      </c>
      <c r="E536" s="2" t="s">
        <v>1387</v>
      </c>
      <c r="F536" s="3">
        <v>1258883.6200000001</v>
      </c>
      <c r="G536" s="3">
        <v>1500000</v>
      </c>
      <c r="H536" s="3">
        <v>1500000</v>
      </c>
      <c r="I536" s="3">
        <v>1500000</v>
      </c>
      <c r="J536" s="3">
        <v>1500000</v>
      </c>
      <c r="K536" s="3">
        <v>1500000</v>
      </c>
      <c r="L536" s="4">
        <v>1500000</v>
      </c>
      <c r="M536" s="4">
        <v>1500000</v>
      </c>
      <c r="N536" s="4">
        <v>1500000</v>
      </c>
      <c r="O536" s="4">
        <v>1500000</v>
      </c>
      <c r="P536" s="4">
        <v>1500000</v>
      </c>
      <c r="Q536" s="4">
        <v>1500000</v>
      </c>
      <c r="R536" s="4">
        <v>1500000</v>
      </c>
      <c r="S536" s="4">
        <v>1500000</v>
      </c>
      <c r="T536" s="4">
        <v>1500000</v>
      </c>
      <c r="U536" s="4">
        <v>1500000</v>
      </c>
      <c r="V536" s="4">
        <v>1500000</v>
      </c>
      <c r="W536" s="4">
        <v>1500000</v>
      </c>
      <c r="X536" s="4">
        <v>1500000</v>
      </c>
      <c r="Y536" s="4">
        <v>1500000</v>
      </c>
    </row>
    <row r="537" spans="1:25" ht="19.5" customHeight="1" x14ac:dyDescent="0.25">
      <c r="A537" s="2" t="s">
        <v>1289</v>
      </c>
      <c r="B537" s="2" t="s">
        <v>16</v>
      </c>
      <c r="C537" s="2" t="s">
        <v>1388</v>
      </c>
      <c r="D537" s="2" t="s">
        <v>1389</v>
      </c>
      <c r="E537" s="2" t="s">
        <v>1390</v>
      </c>
      <c r="F537" s="3">
        <v>21762.46</v>
      </c>
      <c r="G537" s="3">
        <v>140000</v>
      </c>
      <c r="H537" s="3">
        <v>150000</v>
      </c>
      <c r="I537" s="3">
        <v>150000</v>
      </c>
      <c r="J537" s="3">
        <v>150000</v>
      </c>
      <c r="K537" s="3">
        <v>150000</v>
      </c>
      <c r="L537" s="4">
        <v>150000</v>
      </c>
      <c r="M537" s="4">
        <v>150000</v>
      </c>
      <c r="N537" s="4">
        <v>150000</v>
      </c>
      <c r="O537" s="4">
        <v>150000</v>
      </c>
      <c r="P537" s="4">
        <v>150000</v>
      </c>
      <c r="Q537" s="4">
        <v>150000</v>
      </c>
      <c r="R537" s="4">
        <v>150000</v>
      </c>
      <c r="S537" s="4">
        <v>150000</v>
      </c>
      <c r="T537" s="4">
        <v>150000</v>
      </c>
      <c r="U537" s="4">
        <v>150000</v>
      </c>
      <c r="V537" s="4">
        <v>150000</v>
      </c>
      <c r="W537" s="4">
        <v>150000</v>
      </c>
      <c r="X537" s="4">
        <v>150000</v>
      </c>
      <c r="Y537" s="4">
        <v>150000</v>
      </c>
    </row>
    <row r="538" spans="1:25" ht="19.5" customHeight="1" x14ac:dyDescent="0.25">
      <c r="A538" s="2" t="s">
        <v>1289</v>
      </c>
      <c r="B538" s="2" t="s">
        <v>16</v>
      </c>
      <c r="C538" s="2" t="s">
        <v>1391</v>
      </c>
      <c r="D538" s="2" t="s">
        <v>1392</v>
      </c>
      <c r="E538" s="2" t="s">
        <v>1393</v>
      </c>
      <c r="F538" s="3">
        <v>824389.06</v>
      </c>
      <c r="G538" s="3">
        <v>1200000</v>
      </c>
      <c r="H538" s="3">
        <v>2000000</v>
      </c>
      <c r="I538" s="3">
        <v>2000000</v>
      </c>
      <c r="J538" s="3">
        <v>2000000</v>
      </c>
      <c r="K538" s="3">
        <v>2000000</v>
      </c>
      <c r="L538" s="4">
        <v>2000000</v>
      </c>
      <c r="M538" s="4">
        <v>2000000</v>
      </c>
      <c r="N538" s="4">
        <v>2000000</v>
      </c>
      <c r="O538" s="4">
        <v>2000000</v>
      </c>
      <c r="P538" s="4">
        <v>2000000</v>
      </c>
      <c r="Q538" s="4">
        <v>2000000</v>
      </c>
      <c r="R538" s="4">
        <v>2000000</v>
      </c>
      <c r="S538" s="4">
        <v>2000000</v>
      </c>
      <c r="T538" s="4">
        <v>2000000</v>
      </c>
      <c r="U538" s="4">
        <v>2000000</v>
      </c>
      <c r="V538" s="4">
        <v>2000000</v>
      </c>
      <c r="W538" s="4">
        <v>2000000</v>
      </c>
      <c r="X538" s="4">
        <v>2000000</v>
      </c>
      <c r="Y538" s="4">
        <v>2000000</v>
      </c>
    </row>
    <row r="539" spans="1:25" ht="19.5" customHeight="1" x14ac:dyDescent="0.25">
      <c r="A539" s="2" t="s">
        <v>1289</v>
      </c>
      <c r="B539" s="2" t="s">
        <v>44</v>
      </c>
      <c r="C539" s="2" t="s">
        <v>1394</v>
      </c>
      <c r="D539" s="2" t="s">
        <v>1395</v>
      </c>
      <c r="E539" s="2" t="s">
        <v>1396</v>
      </c>
      <c r="F539" s="3">
        <v>283147</v>
      </c>
      <c r="G539" s="3">
        <v>335000</v>
      </c>
      <c r="H539" s="3">
        <v>335000</v>
      </c>
      <c r="I539" s="3">
        <v>335000</v>
      </c>
      <c r="J539" s="3">
        <v>335000</v>
      </c>
      <c r="K539" s="3">
        <v>335000</v>
      </c>
      <c r="L539" s="4">
        <v>335000</v>
      </c>
      <c r="M539" s="4">
        <v>335000</v>
      </c>
      <c r="N539" s="4">
        <v>335000</v>
      </c>
      <c r="O539" s="4">
        <v>335000</v>
      </c>
      <c r="P539" s="4">
        <v>335000</v>
      </c>
      <c r="Q539" s="4">
        <v>335000</v>
      </c>
      <c r="R539" s="4">
        <v>335000</v>
      </c>
      <c r="S539" s="4">
        <v>335000</v>
      </c>
      <c r="T539" s="4">
        <v>335000</v>
      </c>
      <c r="U539" s="4">
        <v>335000</v>
      </c>
      <c r="V539" s="4">
        <v>335000</v>
      </c>
      <c r="W539" s="4">
        <v>335000</v>
      </c>
      <c r="X539" s="4">
        <v>335000</v>
      </c>
      <c r="Y539" s="4">
        <v>335000</v>
      </c>
    </row>
    <row r="540" spans="1:25" ht="19.5" customHeight="1" x14ac:dyDescent="0.25">
      <c r="A540" s="2" t="s">
        <v>1289</v>
      </c>
      <c r="B540" s="2" t="s">
        <v>44</v>
      </c>
      <c r="C540" s="2" t="s">
        <v>1397</v>
      </c>
      <c r="D540" s="2" t="s">
        <v>1398</v>
      </c>
      <c r="E540" s="2" t="s">
        <v>1399</v>
      </c>
      <c r="F540" s="3">
        <v>749769.95</v>
      </c>
      <c r="G540" s="3">
        <v>350000</v>
      </c>
      <c r="H540" s="3">
        <v>500000</v>
      </c>
      <c r="I540" s="3">
        <v>500000</v>
      </c>
      <c r="J540" s="3">
        <v>500000</v>
      </c>
      <c r="K540" s="3">
        <v>500000</v>
      </c>
      <c r="L540" s="4">
        <v>500000</v>
      </c>
      <c r="M540" s="4">
        <v>500000</v>
      </c>
      <c r="N540" s="4">
        <v>500000</v>
      </c>
      <c r="O540" s="4">
        <v>500000</v>
      </c>
      <c r="P540" s="4">
        <v>500000</v>
      </c>
      <c r="Q540" s="4">
        <v>500000</v>
      </c>
      <c r="R540" s="4">
        <v>500000</v>
      </c>
      <c r="S540" s="4">
        <v>500000</v>
      </c>
      <c r="T540" s="4">
        <v>500000</v>
      </c>
      <c r="U540" s="4">
        <v>500000</v>
      </c>
      <c r="V540" s="4">
        <v>500000</v>
      </c>
      <c r="W540" s="4">
        <v>500000</v>
      </c>
      <c r="X540" s="4">
        <v>500000</v>
      </c>
      <c r="Y540" s="4">
        <v>500000</v>
      </c>
    </row>
    <row r="541" spans="1:25" ht="19.5" customHeight="1" x14ac:dyDescent="0.25">
      <c r="A541" s="2" t="s">
        <v>1289</v>
      </c>
      <c r="B541" s="2" t="s">
        <v>44</v>
      </c>
      <c r="C541" s="2" t="s">
        <v>1400</v>
      </c>
      <c r="D541" s="2" t="s">
        <v>1401</v>
      </c>
      <c r="E541" s="2" t="s">
        <v>1402</v>
      </c>
      <c r="F541" s="3">
        <v>190489.61</v>
      </c>
      <c r="G541" s="3">
        <v>350000</v>
      </c>
      <c r="H541" s="3">
        <v>125000</v>
      </c>
      <c r="I541" s="3">
        <v>125000</v>
      </c>
      <c r="J541" s="3">
        <v>125000</v>
      </c>
      <c r="K541" s="3">
        <v>125000</v>
      </c>
      <c r="L541" s="4">
        <v>125000</v>
      </c>
      <c r="M541" s="4">
        <v>125000</v>
      </c>
      <c r="N541" s="4">
        <v>125000</v>
      </c>
      <c r="O541" s="4">
        <v>125000</v>
      </c>
      <c r="P541" s="4">
        <v>125000</v>
      </c>
      <c r="Q541" s="4">
        <v>125000</v>
      </c>
      <c r="R541" s="4">
        <v>125000</v>
      </c>
      <c r="S541" s="4">
        <v>125000</v>
      </c>
      <c r="T541" s="4">
        <v>125000</v>
      </c>
      <c r="U541" s="4">
        <v>125000</v>
      </c>
      <c r="V541" s="4">
        <v>125000</v>
      </c>
      <c r="W541" s="4">
        <v>125000</v>
      </c>
      <c r="X541" s="4">
        <v>125000</v>
      </c>
      <c r="Y541" s="4">
        <v>125000</v>
      </c>
    </row>
    <row r="542" spans="1:25" ht="19.5" customHeight="1" x14ac:dyDescent="0.25">
      <c r="A542" s="2" t="s">
        <v>1289</v>
      </c>
      <c r="B542" s="2" t="s">
        <v>44</v>
      </c>
      <c r="C542" s="2" t="s">
        <v>1403</v>
      </c>
      <c r="D542" s="2" t="s">
        <v>1404</v>
      </c>
      <c r="E542" s="2" t="s">
        <v>1405</v>
      </c>
      <c r="F542" s="3">
        <v>9887202.8900000006</v>
      </c>
      <c r="G542" s="3">
        <v>20345760</v>
      </c>
      <c r="H542" s="3">
        <v>13825000</v>
      </c>
      <c r="I542" s="3">
        <v>14145000</v>
      </c>
      <c r="J542" s="3">
        <v>13825000</v>
      </c>
      <c r="K542" s="3">
        <v>14145000</v>
      </c>
      <c r="L542" s="4">
        <v>13825000</v>
      </c>
      <c r="M542" s="4">
        <v>14145000</v>
      </c>
      <c r="N542" s="4">
        <v>13825000</v>
      </c>
      <c r="O542" s="4">
        <v>14145000</v>
      </c>
      <c r="P542" s="4">
        <v>13825000</v>
      </c>
      <c r="Q542" s="4">
        <v>14145000</v>
      </c>
      <c r="R542" s="4">
        <v>13825000</v>
      </c>
      <c r="S542" s="4">
        <v>14145000</v>
      </c>
      <c r="T542" s="4">
        <v>13825000</v>
      </c>
      <c r="U542" s="4">
        <v>14145000</v>
      </c>
      <c r="V542" s="4">
        <v>13825000</v>
      </c>
      <c r="W542" s="4">
        <v>14145000</v>
      </c>
      <c r="X542" s="4">
        <v>13825000</v>
      </c>
      <c r="Y542" s="4">
        <v>14145000</v>
      </c>
    </row>
    <row r="543" spans="1:25" ht="19.5" customHeight="1" x14ac:dyDescent="0.25">
      <c r="A543" s="2" t="s">
        <v>1289</v>
      </c>
      <c r="B543" s="2" t="s">
        <v>44</v>
      </c>
      <c r="C543" s="2" t="s">
        <v>1406</v>
      </c>
      <c r="D543" s="2" t="s">
        <v>1407</v>
      </c>
      <c r="E543" s="2" t="s">
        <v>1408</v>
      </c>
      <c r="F543" s="3">
        <v>2924296.93</v>
      </c>
      <c r="G543" s="4">
        <v>8674626</v>
      </c>
      <c r="H543" s="4">
        <v>10800000</v>
      </c>
      <c r="I543" s="4">
        <v>10800000</v>
      </c>
      <c r="J543" s="4">
        <v>10800000</v>
      </c>
      <c r="K543" s="4">
        <v>10800000</v>
      </c>
      <c r="L543" s="4">
        <v>10800000</v>
      </c>
      <c r="M543" s="4">
        <v>10800000</v>
      </c>
      <c r="N543" s="4">
        <v>10800000</v>
      </c>
      <c r="O543" s="4">
        <v>10800000</v>
      </c>
      <c r="P543" s="4">
        <v>10800000</v>
      </c>
      <c r="Q543" s="4">
        <v>10800000</v>
      </c>
      <c r="R543" s="4">
        <v>10800000</v>
      </c>
      <c r="S543" s="4">
        <v>10800000</v>
      </c>
      <c r="T543" s="4">
        <v>10800000</v>
      </c>
      <c r="U543" s="4">
        <v>10800000</v>
      </c>
      <c r="V543" s="4">
        <v>10800000</v>
      </c>
      <c r="W543" s="4">
        <v>10800000</v>
      </c>
      <c r="X543" s="4">
        <v>10800000</v>
      </c>
      <c r="Y543" s="4">
        <v>10800000</v>
      </c>
    </row>
    <row r="544" spans="1:25" ht="19.5" customHeight="1" x14ac:dyDescent="0.25">
      <c r="A544" s="2" t="s">
        <v>1289</v>
      </c>
      <c r="B544" s="2" t="s">
        <v>44</v>
      </c>
      <c r="C544" s="2" t="s">
        <v>1409</v>
      </c>
      <c r="D544" s="2" t="s">
        <v>1410</v>
      </c>
      <c r="E544" s="2" t="s">
        <v>1411</v>
      </c>
      <c r="F544" s="3">
        <v>1562378.75</v>
      </c>
      <c r="G544" s="3">
        <v>1769696</v>
      </c>
      <c r="H544" s="3">
        <v>1800000</v>
      </c>
      <c r="I544" s="3">
        <v>1800000</v>
      </c>
      <c r="J544" s="3">
        <v>1800000</v>
      </c>
      <c r="K544" s="3">
        <v>1800000</v>
      </c>
      <c r="L544" s="4">
        <v>1800000</v>
      </c>
      <c r="M544" s="4">
        <v>1800000</v>
      </c>
      <c r="N544" s="4">
        <v>1800000</v>
      </c>
      <c r="O544" s="4">
        <v>1800000</v>
      </c>
      <c r="P544" s="4">
        <v>1800000</v>
      </c>
      <c r="Q544" s="4">
        <v>1800000</v>
      </c>
      <c r="R544" s="4">
        <v>1800000</v>
      </c>
      <c r="S544" s="4">
        <v>1800000</v>
      </c>
      <c r="T544" s="4">
        <v>1800000</v>
      </c>
      <c r="U544" s="4">
        <v>1800000</v>
      </c>
      <c r="V544" s="4">
        <v>1800000</v>
      </c>
      <c r="W544" s="4">
        <v>1800000</v>
      </c>
      <c r="X544" s="4">
        <v>1800000</v>
      </c>
      <c r="Y544" s="4">
        <v>1800000</v>
      </c>
    </row>
    <row r="545" spans="1:25" ht="19.5" customHeight="1" x14ac:dyDescent="0.25">
      <c r="A545" s="2" t="s">
        <v>1289</v>
      </c>
      <c r="B545" s="2" t="s">
        <v>44</v>
      </c>
      <c r="C545" s="2" t="s">
        <v>1412</v>
      </c>
      <c r="D545" s="2" t="s">
        <v>1413</v>
      </c>
      <c r="E545" s="2" t="s">
        <v>1414</v>
      </c>
      <c r="F545" s="3">
        <v>155787.03</v>
      </c>
      <c r="G545" s="3">
        <v>310000</v>
      </c>
      <c r="H545" s="3">
        <v>260000</v>
      </c>
      <c r="I545" s="3">
        <v>260000</v>
      </c>
      <c r="J545" s="3">
        <v>260000</v>
      </c>
      <c r="K545" s="3">
        <v>260000</v>
      </c>
      <c r="L545" s="4">
        <v>260000</v>
      </c>
      <c r="M545" s="4">
        <v>260000</v>
      </c>
      <c r="N545" s="4">
        <v>260000</v>
      </c>
      <c r="O545" s="4">
        <v>260000</v>
      </c>
      <c r="P545" s="4">
        <v>260000</v>
      </c>
      <c r="Q545" s="4">
        <v>260000</v>
      </c>
      <c r="R545" s="4">
        <v>260000</v>
      </c>
      <c r="S545" s="4">
        <v>260000</v>
      </c>
      <c r="T545" s="4">
        <v>260000</v>
      </c>
      <c r="U545" s="4">
        <v>260000</v>
      </c>
      <c r="V545" s="4">
        <v>260000</v>
      </c>
      <c r="W545" s="4">
        <v>260000</v>
      </c>
      <c r="X545" s="4">
        <v>260000</v>
      </c>
      <c r="Y545" s="4">
        <v>260000</v>
      </c>
    </row>
    <row r="546" spans="1:25" ht="19.5" customHeight="1" x14ac:dyDescent="0.25">
      <c r="A546" s="2" t="s">
        <v>1289</v>
      </c>
      <c r="B546" s="2" t="s">
        <v>44</v>
      </c>
      <c r="C546" s="2" t="s">
        <v>1415</v>
      </c>
      <c r="D546" s="2" t="s">
        <v>1416</v>
      </c>
      <c r="E546" s="2" t="s">
        <v>1417</v>
      </c>
      <c r="F546" s="3">
        <v>146872.6</v>
      </c>
      <c r="G546" s="3">
        <v>147000</v>
      </c>
      <c r="H546" s="3">
        <v>147000</v>
      </c>
      <c r="I546" s="3">
        <v>147000</v>
      </c>
      <c r="J546" s="3">
        <v>147000</v>
      </c>
      <c r="K546" s="3">
        <v>147000</v>
      </c>
      <c r="L546" s="4">
        <v>147000</v>
      </c>
      <c r="M546" s="4">
        <v>147000</v>
      </c>
      <c r="N546" s="4">
        <v>147000</v>
      </c>
      <c r="O546" s="4">
        <v>147000</v>
      </c>
      <c r="P546" s="4">
        <v>147000</v>
      </c>
      <c r="Q546" s="4">
        <v>147000</v>
      </c>
      <c r="R546" s="4">
        <v>147000</v>
      </c>
      <c r="S546" s="4">
        <v>147000</v>
      </c>
      <c r="T546" s="4">
        <v>147000</v>
      </c>
      <c r="U546" s="4">
        <v>147000</v>
      </c>
      <c r="V546" s="4">
        <v>147000</v>
      </c>
      <c r="W546" s="4">
        <v>147000</v>
      </c>
      <c r="X546" s="4">
        <v>147000</v>
      </c>
      <c r="Y546" s="4">
        <v>147000</v>
      </c>
    </row>
    <row r="547" spans="1:25" ht="19.5" customHeight="1" x14ac:dyDescent="0.25">
      <c r="A547" s="2" t="s">
        <v>1289</v>
      </c>
      <c r="B547" s="2" t="s">
        <v>44</v>
      </c>
      <c r="C547" s="2" t="s">
        <v>1418</v>
      </c>
      <c r="D547" s="2" t="s">
        <v>1419</v>
      </c>
      <c r="E547" s="2" t="s">
        <v>1420</v>
      </c>
      <c r="F547" s="3">
        <v>3583510.81</v>
      </c>
      <c r="G547" s="3">
        <v>2820185</v>
      </c>
      <c r="H547" s="3">
        <v>2820185</v>
      </c>
      <c r="I547" s="3">
        <v>2820185</v>
      </c>
      <c r="J547" s="3">
        <v>2820185</v>
      </c>
      <c r="K547" s="3">
        <v>2820185</v>
      </c>
      <c r="L547" s="4">
        <v>2820185</v>
      </c>
      <c r="M547" s="4">
        <v>2820185</v>
      </c>
      <c r="N547" s="4">
        <v>2820185</v>
      </c>
      <c r="O547" s="4">
        <v>2820185</v>
      </c>
      <c r="P547" s="4">
        <v>2820185</v>
      </c>
      <c r="Q547" s="4">
        <v>2820185</v>
      </c>
      <c r="R547" s="4">
        <v>2820185</v>
      </c>
      <c r="S547" s="4">
        <v>2820185</v>
      </c>
      <c r="T547" s="4">
        <v>2820185</v>
      </c>
      <c r="U547" s="4">
        <v>2820185</v>
      </c>
      <c r="V547" s="4">
        <v>2820185</v>
      </c>
      <c r="W547" s="4">
        <v>2820185</v>
      </c>
      <c r="X547" s="4">
        <v>2820185</v>
      </c>
      <c r="Y547" s="4">
        <v>2820185</v>
      </c>
    </row>
    <row r="548" spans="1:25" ht="19.5" customHeight="1" x14ac:dyDescent="0.25">
      <c r="A548" s="2" t="s">
        <v>1289</v>
      </c>
      <c r="B548" s="2" t="s">
        <v>44</v>
      </c>
      <c r="C548" s="2" t="s">
        <v>1421</v>
      </c>
      <c r="D548" s="2" t="s">
        <v>1422</v>
      </c>
      <c r="E548" s="2" t="s">
        <v>1423</v>
      </c>
      <c r="F548" s="3">
        <v>111174.7</v>
      </c>
      <c r="G548" s="3">
        <v>152000</v>
      </c>
      <c r="H548" s="3">
        <v>251310</v>
      </c>
      <c r="I548" s="3">
        <v>264746</v>
      </c>
      <c r="J548" s="3">
        <v>251310</v>
      </c>
      <c r="K548" s="3">
        <v>264746</v>
      </c>
      <c r="L548" s="4">
        <v>251310</v>
      </c>
      <c r="M548" s="4">
        <v>264746</v>
      </c>
      <c r="N548" s="4">
        <v>251310</v>
      </c>
      <c r="O548" s="4">
        <v>264746</v>
      </c>
      <c r="P548" s="4">
        <v>251310</v>
      </c>
      <c r="Q548" s="4">
        <v>264746</v>
      </c>
      <c r="R548" s="4">
        <v>251310</v>
      </c>
      <c r="S548" s="4">
        <v>264746</v>
      </c>
      <c r="T548" s="4">
        <v>251310</v>
      </c>
      <c r="U548" s="4">
        <v>264746</v>
      </c>
      <c r="V548" s="4">
        <v>251310</v>
      </c>
      <c r="W548" s="4">
        <v>264746</v>
      </c>
      <c r="X548" s="4">
        <v>251310</v>
      </c>
      <c r="Y548" s="4">
        <v>264746</v>
      </c>
    </row>
    <row r="549" spans="1:25" ht="19.5" customHeight="1" x14ac:dyDescent="0.25">
      <c r="A549" s="2" t="s">
        <v>1289</v>
      </c>
      <c r="B549" s="2" t="s">
        <v>44</v>
      </c>
      <c r="C549" s="2" t="s">
        <v>1424</v>
      </c>
      <c r="D549" s="2" t="s">
        <v>1425</v>
      </c>
      <c r="E549" s="2" t="s">
        <v>1426</v>
      </c>
      <c r="F549" s="3">
        <v>675638.5</v>
      </c>
      <c r="G549" s="4">
        <v>900000</v>
      </c>
      <c r="H549" s="4">
        <v>1000000</v>
      </c>
      <c r="I549" s="4">
        <v>1000000</v>
      </c>
      <c r="J549" s="4">
        <v>1000000</v>
      </c>
      <c r="K549" s="4">
        <v>1000000</v>
      </c>
      <c r="L549" s="4">
        <v>1000000</v>
      </c>
      <c r="M549" s="4">
        <v>1000000</v>
      </c>
      <c r="N549" s="4">
        <v>1000000</v>
      </c>
      <c r="O549" s="4">
        <v>1000000</v>
      </c>
      <c r="P549" s="4">
        <v>1000000</v>
      </c>
      <c r="Q549" s="4">
        <v>1000000</v>
      </c>
      <c r="R549" s="4">
        <v>1000000</v>
      </c>
      <c r="S549" s="4">
        <v>1000000</v>
      </c>
      <c r="T549" s="4">
        <v>1000000</v>
      </c>
      <c r="U549" s="4">
        <v>1000000</v>
      </c>
      <c r="V549" s="4">
        <v>1000000</v>
      </c>
      <c r="W549" s="4">
        <v>1000000</v>
      </c>
      <c r="X549" s="4">
        <v>1000000</v>
      </c>
      <c r="Y549" s="4">
        <v>1000000</v>
      </c>
    </row>
    <row r="550" spans="1:25" ht="19.5" customHeight="1" x14ac:dyDescent="0.25">
      <c r="A550" s="2" t="s">
        <v>1289</v>
      </c>
      <c r="B550" s="2" t="s">
        <v>44</v>
      </c>
      <c r="C550" s="2" t="s">
        <v>1427</v>
      </c>
      <c r="D550" s="2" t="s">
        <v>1428</v>
      </c>
      <c r="E550" s="2" t="s">
        <v>1429</v>
      </c>
      <c r="F550" s="3">
        <v>990259.42</v>
      </c>
      <c r="G550" s="3">
        <v>1852034</v>
      </c>
      <c r="H550" s="3">
        <v>3159175</v>
      </c>
      <c r="I550" s="3">
        <v>3161429</v>
      </c>
      <c r="J550" s="3">
        <v>3159175</v>
      </c>
      <c r="K550" s="3">
        <v>3161429</v>
      </c>
      <c r="L550" s="4">
        <v>3159175</v>
      </c>
      <c r="M550" s="4">
        <v>3161429</v>
      </c>
      <c r="N550" s="4">
        <v>3159175</v>
      </c>
      <c r="O550" s="4">
        <v>3161429</v>
      </c>
      <c r="P550" s="4">
        <v>3159175</v>
      </c>
      <c r="Q550" s="4">
        <v>3161429</v>
      </c>
      <c r="R550" s="4">
        <v>3159175</v>
      </c>
      <c r="S550" s="4">
        <v>3161429</v>
      </c>
      <c r="T550" s="4">
        <v>3159175</v>
      </c>
      <c r="U550" s="4">
        <v>3161429</v>
      </c>
      <c r="V550" s="4">
        <v>3159175</v>
      </c>
      <c r="W550" s="4">
        <v>3161429</v>
      </c>
      <c r="X550" s="4">
        <v>3159175</v>
      </c>
      <c r="Y550" s="4">
        <v>3161429</v>
      </c>
    </row>
    <row r="551" spans="1:25" ht="19.5" customHeight="1" x14ac:dyDescent="0.25">
      <c r="A551" s="2" t="s">
        <v>1289</v>
      </c>
      <c r="B551" s="2" t="s">
        <v>887</v>
      </c>
      <c r="C551" s="2" t="s">
        <v>1430</v>
      </c>
      <c r="D551" s="2" t="s">
        <v>1431</v>
      </c>
      <c r="E551" s="2" t="s">
        <v>1432</v>
      </c>
      <c r="F551" s="3">
        <v>8009.87</v>
      </c>
      <c r="G551" s="3">
        <v>20219</v>
      </c>
      <c r="H551" s="3">
        <v>20219</v>
      </c>
      <c r="I551" s="3">
        <v>20219</v>
      </c>
      <c r="J551" s="3">
        <v>20219</v>
      </c>
      <c r="K551" s="3">
        <v>20219</v>
      </c>
      <c r="L551" s="4">
        <v>20219</v>
      </c>
      <c r="M551" s="4">
        <v>20219</v>
      </c>
      <c r="N551" s="4">
        <v>20219</v>
      </c>
      <c r="O551" s="4">
        <v>20219</v>
      </c>
      <c r="P551" s="4">
        <v>20219</v>
      </c>
      <c r="Q551" s="4">
        <v>20219</v>
      </c>
      <c r="R551" s="4">
        <v>20219</v>
      </c>
      <c r="S551" s="4">
        <v>20219</v>
      </c>
      <c r="T551" s="4">
        <v>20219</v>
      </c>
      <c r="U551" s="4">
        <v>20219</v>
      </c>
      <c r="V551" s="4">
        <v>20219</v>
      </c>
      <c r="W551" s="4">
        <v>20219</v>
      </c>
      <c r="X551" s="4">
        <v>20219</v>
      </c>
      <c r="Y551" s="4">
        <v>20219</v>
      </c>
    </row>
    <row r="552" spans="1:25" ht="19.5" customHeight="1" x14ac:dyDescent="0.25">
      <c r="A552" s="2" t="s">
        <v>1289</v>
      </c>
      <c r="B552" s="2" t="s">
        <v>54</v>
      </c>
      <c r="C552" s="2" t="s">
        <v>54</v>
      </c>
      <c r="D552" s="2" t="s">
        <v>1433</v>
      </c>
      <c r="E552" s="2" t="s">
        <v>1434</v>
      </c>
      <c r="F552" s="3">
        <v>1773000</v>
      </c>
      <c r="G552" s="3">
        <v>1773000</v>
      </c>
      <c r="H552" s="3">
        <v>1595700</v>
      </c>
      <c r="I552" s="3">
        <v>1595700</v>
      </c>
      <c r="J552" s="3">
        <v>1595700</v>
      </c>
      <c r="K552" s="3">
        <v>1595700</v>
      </c>
      <c r="L552" s="4">
        <v>1595700</v>
      </c>
      <c r="M552" s="4">
        <v>1595700</v>
      </c>
      <c r="N552" s="4">
        <v>1595700</v>
      </c>
      <c r="O552" s="4">
        <v>1595700</v>
      </c>
      <c r="P552" s="4">
        <v>1595700</v>
      </c>
      <c r="Q552" s="4">
        <v>1595700</v>
      </c>
      <c r="R552" s="4">
        <v>1595700</v>
      </c>
      <c r="S552" s="4">
        <v>1595700</v>
      </c>
      <c r="T552" s="4">
        <v>1595700</v>
      </c>
      <c r="U552" s="4">
        <v>1595700</v>
      </c>
      <c r="V552" s="4">
        <v>1595700</v>
      </c>
      <c r="W552" s="4">
        <v>1595700</v>
      </c>
      <c r="X552" s="4">
        <v>1595700</v>
      </c>
      <c r="Y552" s="4">
        <v>1595700</v>
      </c>
    </row>
    <row r="553" spans="1:25" ht="19.5" customHeight="1" x14ac:dyDescent="0.25">
      <c r="A553" s="2" t="s">
        <v>1289</v>
      </c>
      <c r="B553" s="2" t="s">
        <v>54</v>
      </c>
      <c r="C553" s="2" t="s">
        <v>54</v>
      </c>
      <c r="D553" s="2" t="s">
        <v>1435</v>
      </c>
      <c r="E553" s="2" t="s">
        <v>1436</v>
      </c>
      <c r="F553" s="3">
        <v>47428225.740000002</v>
      </c>
      <c r="G553" s="3">
        <v>48993763</v>
      </c>
      <c r="H553" s="3">
        <v>64000000</v>
      </c>
      <c r="I553" s="3">
        <v>76500000</v>
      </c>
      <c r="J553" s="3">
        <v>64000000</v>
      </c>
      <c r="K553" s="3">
        <v>76500000</v>
      </c>
      <c r="L553" s="4">
        <v>64000000</v>
      </c>
      <c r="M553" s="4">
        <v>76500000</v>
      </c>
      <c r="N553" s="4">
        <v>64000000</v>
      </c>
      <c r="O553" s="4">
        <v>76500000</v>
      </c>
      <c r="P553" s="4">
        <v>64000000</v>
      </c>
      <c r="Q553" s="4">
        <v>76500000</v>
      </c>
      <c r="R553" s="4">
        <v>64000000</v>
      </c>
      <c r="S553" s="4">
        <v>76500000</v>
      </c>
      <c r="T553" s="4">
        <v>64000000</v>
      </c>
      <c r="U553" s="4">
        <v>76500000</v>
      </c>
      <c r="V553" s="4">
        <v>64000000</v>
      </c>
      <c r="W553" s="4">
        <v>76500000</v>
      </c>
      <c r="X553" s="4">
        <v>64000000</v>
      </c>
      <c r="Y553" s="4">
        <v>76500000</v>
      </c>
    </row>
    <row r="554" spans="1:25" ht="19.5" customHeight="1" x14ac:dyDescent="0.25">
      <c r="A554" s="2" t="s">
        <v>1289</v>
      </c>
      <c r="B554" s="2" t="s">
        <v>54</v>
      </c>
      <c r="C554" s="2" t="s">
        <v>54</v>
      </c>
      <c r="D554" s="2" t="s">
        <v>1437</v>
      </c>
      <c r="E554" s="2" t="s">
        <v>1298</v>
      </c>
      <c r="F554" s="3">
        <v>130950</v>
      </c>
      <c r="G554" s="3">
        <v>130950</v>
      </c>
      <c r="H554" s="3">
        <v>117855</v>
      </c>
      <c r="I554" s="3">
        <v>117855</v>
      </c>
      <c r="J554" s="3">
        <v>117855</v>
      </c>
      <c r="K554" s="3">
        <v>117855</v>
      </c>
      <c r="L554" s="4">
        <v>117855</v>
      </c>
      <c r="M554" s="4">
        <v>117855</v>
      </c>
      <c r="N554" s="4">
        <v>117855</v>
      </c>
      <c r="O554" s="4">
        <v>117855</v>
      </c>
      <c r="P554" s="4">
        <v>117855</v>
      </c>
      <c r="Q554" s="4">
        <v>117855</v>
      </c>
      <c r="R554" s="4">
        <v>117855</v>
      </c>
      <c r="S554" s="4">
        <v>117855</v>
      </c>
      <c r="T554" s="4">
        <v>117855</v>
      </c>
      <c r="U554" s="4">
        <v>117855</v>
      </c>
      <c r="V554" s="4">
        <v>117855</v>
      </c>
      <c r="W554" s="4">
        <v>117855</v>
      </c>
      <c r="X554" s="4">
        <v>117855</v>
      </c>
      <c r="Y554" s="4">
        <v>117855</v>
      </c>
    </row>
    <row r="555" spans="1:25" ht="19.5" customHeight="1" x14ac:dyDescent="0.25">
      <c r="A555" s="2" t="s">
        <v>1289</v>
      </c>
      <c r="B555" s="2" t="s">
        <v>54</v>
      </c>
      <c r="C555" s="2" t="s">
        <v>54</v>
      </c>
      <c r="D555" s="2" t="s">
        <v>1438</v>
      </c>
      <c r="E555" s="2" t="s">
        <v>1439</v>
      </c>
      <c r="F555" s="3">
        <v>1024215.49</v>
      </c>
      <c r="G555" s="3">
        <v>1000000</v>
      </c>
      <c r="H555" s="3">
        <v>900000</v>
      </c>
      <c r="I555" s="3">
        <v>900000</v>
      </c>
      <c r="J555" s="3">
        <v>900000</v>
      </c>
      <c r="K555" s="3">
        <v>900000</v>
      </c>
      <c r="L555" s="4">
        <v>900000</v>
      </c>
      <c r="M555" s="4">
        <v>900000</v>
      </c>
      <c r="N555" s="4">
        <v>900000</v>
      </c>
      <c r="O555" s="4">
        <v>900000</v>
      </c>
      <c r="P555" s="4">
        <v>900000</v>
      </c>
      <c r="Q555" s="4">
        <v>900000</v>
      </c>
      <c r="R555" s="4">
        <v>900000</v>
      </c>
      <c r="S555" s="4">
        <v>900000</v>
      </c>
      <c r="T555" s="4">
        <v>900000</v>
      </c>
      <c r="U555" s="4">
        <v>900000</v>
      </c>
      <c r="V555" s="4">
        <v>900000</v>
      </c>
      <c r="W555" s="4">
        <v>900000</v>
      </c>
      <c r="X555" s="4">
        <v>900000</v>
      </c>
      <c r="Y555" s="4">
        <v>900000</v>
      </c>
    </row>
    <row r="556" spans="1:25" ht="19.5" customHeight="1" x14ac:dyDescent="0.25">
      <c r="A556" s="2" t="s">
        <v>1289</v>
      </c>
      <c r="B556" s="2" t="s">
        <v>54</v>
      </c>
      <c r="C556" s="2" t="s">
        <v>54</v>
      </c>
      <c r="D556" s="2" t="s">
        <v>1440</v>
      </c>
      <c r="E556" s="2" t="s">
        <v>1441</v>
      </c>
      <c r="F556" s="3">
        <v>2981203.11</v>
      </c>
      <c r="G556" s="3">
        <v>2796340</v>
      </c>
      <c r="H556" s="3">
        <v>2800000</v>
      </c>
      <c r="I556" s="3">
        <v>2900000</v>
      </c>
      <c r="J556" s="3">
        <v>2800000</v>
      </c>
      <c r="K556" s="3">
        <v>2900000</v>
      </c>
      <c r="L556" s="4">
        <v>2800000</v>
      </c>
      <c r="M556" s="4">
        <v>2900000</v>
      </c>
      <c r="N556" s="4">
        <v>2800000</v>
      </c>
      <c r="O556" s="4">
        <v>2900000</v>
      </c>
      <c r="P556" s="4">
        <v>2800000</v>
      </c>
      <c r="Q556" s="4">
        <v>2900000</v>
      </c>
      <c r="R556" s="4">
        <v>2800000</v>
      </c>
      <c r="S556" s="4">
        <v>2900000</v>
      </c>
      <c r="T556" s="4">
        <v>2800000</v>
      </c>
      <c r="U556" s="4">
        <v>2900000</v>
      </c>
      <c r="V556" s="4">
        <v>2800000</v>
      </c>
      <c r="W556" s="4">
        <v>2900000</v>
      </c>
      <c r="X556" s="4">
        <v>2800000</v>
      </c>
      <c r="Y556" s="4">
        <v>2900000</v>
      </c>
    </row>
    <row r="557" spans="1:25" ht="19.5" customHeight="1" x14ac:dyDescent="0.25">
      <c r="A557" s="2" t="s">
        <v>1289</v>
      </c>
      <c r="B557" s="2" t="s">
        <v>54</v>
      </c>
      <c r="C557" s="2" t="s">
        <v>54</v>
      </c>
      <c r="D557" s="2" t="s">
        <v>1442</v>
      </c>
      <c r="E557" s="2" t="s">
        <v>1121</v>
      </c>
      <c r="F557" s="3">
        <v>2000000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</row>
    <row r="558" spans="1:25" ht="19.5" customHeight="1" x14ac:dyDescent="0.25">
      <c r="A558" s="2" t="s">
        <v>1289</v>
      </c>
      <c r="B558" s="2" t="s">
        <v>54</v>
      </c>
      <c r="C558" s="2" t="s">
        <v>54</v>
      </c>
      <c r="D558" s="2" t="s">
        <v>1443</v>
      </c>
      <c r="E558" s="2" t="s">
        <v>1444</v>
      </c>
      <c r="F558" s="3">
        <v>19600843.75</v>
      </c>
      <c r="G558" s="3">
        <v>20314570</v>
      </c>
      <c r="H558" s="3">
        <v>20600000</v>
      </c>
      <c r="I558" s="3">
        <v>23000000</v>
      </c>
      <c r="J558" s="3">
        <v>20600000</v>
      </c>
      <c r="K558" s="3">
        <v>23000000</v>
      </c>
      <c r="L558" s="4">
        <v>20600000</v>
      </c>
      <c r="M558" s="4">
        <v>23000000</v>
      </c>
      <c r="N558" s="4">
        <v>20600000</v>
      </c>
      <c r="O558" s="4">
        <v>23000000</v>
      </c>
      <c r="P558" s="4">
        <v>20600000</v>
      </c>
      <c r="Q558" s="4">
        <v>23000000</v>
      </c>
      <c r="R558" s="4">
        <v>20600000</v>
      </c>
      <c r="S558" s="4">
        <v>23000000</v>
      </c>
      <c r="T558" s="4">
        <v>20600000</v>
      </c>
      <c r="U558" s="4">
        <v>23000000</v>
      </c>
      <c r="V558" s="4">
        <v>20600000</v>
      </c>
      <c r="W558" s="4">
        <v>23000000</v>
      </c>
      <c r="X558" s="4">
        <v>20600000</v>
      </c>
      <c r="Y558" s="4">
        <v>23000000</v>
      </c>
    </row>
    <row r="559" spans="1:25" ht="19.5" customHeight="1" x14ac:dyDescent="0.25">
      <c r="A559" s="2" t="s">
        <v>1289</v>
      </c>
      <c r="B559" s="2" t="s">
        <v>54</v>
      </c>
      <c r="C559" s="2" t="s">
        <v>54</v>
      </c>
      <c r="D559" s="2" t="s">
        <v>1445</v>
      </c>
      <c r="E559" s="2" t="s">
        <v>1446</v>
      </c>
      <c r="F559" s="3">
        <v>5018345.6500000004</v>
      </c>
      <c r="G559" s="3">
        <v>4965023</v>
      </c>
      <c r="H559" s="3">
        <v>6965023</v>
      </c>
      <c r="I559" s="3">
        <v>6965023</v>
      </c>
      <c r="J559" s="3">
        <v>6965023</v>
      </c>
      <c r="K559" s="3">
        <v>6965023</v>
      </c>
      <c r="L559" s="4">
        <v>6965023</v>
      </c>
      <c r="M559" s="4">
        <v>6965023</v>
      </c>
      <c r="N559" s="4">
        <v>6965023</v>
      </c>
      <c r="O559" s="4">
        <v>6965023</v>
      </c>
      <c r="P559" s="4">
        <v>6965023</v>
      </c>
      <c r="Q559" s="4">
        <v>6965023</v>
      </c>
      <c r="R559" s="4">
        <v>6965023</v>
      </c>
      <c r="S559" s="4">
        <v>6965023</v>
      </c>
      <c r="T559" s="4">
        <v>6965023</v>
      </c>
      <c r="U559" s="4">
        <v>6965023</v>
      </c>
      <c r="V559" s="4">
        <v>6965023</v>
      </c>
      <c r="W559" s="4">
        <v>6965023</v>
      </c>
      <c r="X559" s="4">
        <v>6965023</v>
      </c>
      <c r="Y559" s="4">
        <v>6965023</v>
      </c>
    </row>
    <row r="560" spans="1:25" ht="19.5" customHeight="1" x14ac:dyDescent="0.25">
      <c r="A560" s="2" t="s">
        <v>1289</v>
      </c>
      <c r="B560" s="2" t="s">
        <v>54</v>
      </c>
      <c r="C560" s="2" t="s">
        <v>54</v>
      </c>
      <c r="D560" s="2" t="s">
        <v>1447</v>
      </c>
      <c r="E560" s="2" t="s">
        <v>1448</v>
      </c>
      <c r="F560" s="3">
        <v>175420.89</v>
      </c>
      <c r="G560" s="4">
        <v>0</v>
      </c>
      <c r="H560" s="4">
        <v>181478</v>
      </c>
      <c r="I560" s="4">
        <v>181478</v>
      </c>
      <c r="J560" s="4">
        <v>181478</v>
      </c>
      <c r="K560" s="4">
        <v>181478</v>
      </c>
      <c r="L560" s="4">
        <v>181478</v>
      </c>
      <c r="M560" s="4">
        <v>181478</v>
      </c>
      <c r="N560" s="4">
        <v>181478</v>
      </c>
      <c r="O560" s="4">
        <v>181478</v>
      </c>
      <c r="P560" s="4">
        <v>181478</v>
      </c>
      <c r="Q560" s="4">
        <v>181478</v>
      </c>
      <c r="R560" s="4">
        <v>181478</v>
      </c>
      <c r="S560" s="4">
        <v>181478</v>
      </c>
      <c r="T560" s="4">
        <v>181478</v>
      </c>
      <c r="U560" s="4">
        <v>181478</v>
      </c>
      <c r="V560" s="4">
        <v>181478</v>
      </c>
      <c r="W560" s="4">
        <v>181478</v>
      </c>
      <c r="X560" s="4">
        <v>181478</v>
      </c>
      <c r="Y560" s="4">
        <v>181478</v>
      </c>
    </row>
    <row r="561" spans="1:25" ht="19.5" customHeight="1" x14ac:dyDescent="0.25">
      <c r="A561" s="2" t="s">
        <v>1289</v>
      </c>
      <c r="B561" s="2" t="s">
        <v>54</v>
      </c>
      <c r="C561" s="2" t="s">
        <v>54</v>
      </c>
      <c r="D561" s="2" t="s">
        <v>1449</v>
      </c>
      <c r="E561" s="2" t="s">
        <v>1450</v>
      </c>
      <c r="F561" s="3">
        <v>37076899.484999999</v>
      </c>
      <c r="G561" s="3">
        <v>37105509</v>
      </c>
      <c r="H561" s="3">
        <v>39829739</v>
      </c>
      <c r="I561" s="3">
        <v>39829739</v>
      </c>
      <c r="J561" s="3">
        <v>39829739</v>
      </c>
      <c r="K561" s="3">
        <v>39829739</v>
      </c>
      <c r="L561" s="4">
        <v>39829739</v>
      </c>
      <c r="M561" s="4">
        <v>39829739</v>
      </c>
      <c r="N561" s="4">
        <v>39829739</v>
      </c>
      <c r="O561" s="4">
        <v>39829739</v>
      </c>
      <c r="P561" s="4">
        <v>39829739</v>
      </c>
      <c r="Q561" s="4">
        <v>39829739</v>
      </c>
      <c r="R561" s="4">
        <v>39829739</v>
      </c>
      <c r="S561" s="4">
        <v>39829739</v>
      </c>
      <c r="T561" s="4">
        <v>39829739</v>
      </c>
      <c r="U561" s="4">
        <v>39829739</v>
      </c>
      <c r="V561" s="4">
        <v>39829739</v>
      </c>
      <c r="W561" s="4">
        <v>39829739</v>
      </c>
      <c r="X561" s="4">
        <v>39829739</v>
      </c>
      <c r="Y561" s="4">
        <v>39829739</v>
      </c>
    </row>
    <row r="562" spans="1:25" ht="19.5" customHeight="1" x14ac:dyDescent="0.25">
      <c r="A562" s="2" t="s">
        <v>1289</v>
      </c>
      <c r="B562" s="2" t="s">
        <v>54</v>
      </c>
      <c r="C562" s="2" t="s">
        <v>54</v>
      </c>
      <c r="D562" s="2" t="s">
        <v>1451</v>
      </c>
      <c r="E562" s="2" t="s">
        <v>1452</v>
      </c>
      <c r="F562" s="3">
        <v>2099871.37</v>
      </c>
      <c r="G562" s="3">
        <v>2035650</v>
      </c>
      <c r="H562" s="3">
        <v>2035650</v>
      </c>
      <c r="I562" s="3">
        <v>2035650</v>
      </c>
      <c r="J562" s="3">
        <v>2035650</v>
      </c>
      <c r="K562" s="3">
        <v>2035650</v>
      </c>
      <c r="L562" s="4">
        <v>2035650</v>
      </c>
      <c r="M562" s="4">
        <v>2035650</v>
      </c>
      <c r="N562" s="4">
        <v>2035650</v>
      </c>
      <c r="O562" s="4">
        <v>2035650</v>
      </c>
      <c r="P562" s="4">
        <v>2035650</v>
      </c>
      <c r="Q562" s="4">
        <v>2035650</v>
      </c>
      <c r="R562" s="4">
        <v>2035650</v>
      </c>
      <c r="S562" s="4">
        <v>2035650</v>
      </c>
      <c r="T562" s="4">
        <v>2035650</v>
      </c>
      <c r="U562" s="4">
        <v>2035650</v>
      </c>
      <c r="V562" s="4">
        <v>2035650</v>
      </c>
      <c r="W562" s="4">
        <v>2035650</v>
      </c>
      <c r="X562" s="4">
        <v>2035650</v>
      </c>
      <c r="Y562" s="4">
        <v>2035650</v>
      </c>
    </row>
    <row r="563" spans="1:25" ht="19.5" customHeight="1" x14ac:dyDescent="0.25">
      <c r="A563" s="2" t="s">
        <v>1289</v>
      </c>
      <c r="B563" s="2" t="s">
        <v>54</v>
      </c>
      <c r="C563" s="2" t="s">
        <v>54</v>
      </c>
      <c r="D563" s="2" t="s">
        <v>1453</v>
      </c>
      <c r="E563" s="2" t="s">
        <v>1454</v>
      </c>
      <c r="F563" s="3">
        <v>1659930.02</v>
      </c>
      <c r="G563" s="4">
        <v>1692044</v>
      </c>
      <c r="H563" s="4">
        <v>1692044</v>
      </c>
      <c r="I563" s="4">
        <v>1692044</v>
      </c>
      <c r="J563" s="4">
        <v>1692044</v>
      </c>
      <c r="K563" s="4">
        <v>1692044</v>
      </c>
      <c r="L563" s="4">
        <v>1692044</v>
      </c>
      <c r="M563" s="4">
        <v>1692044</v>
      </c>
      <c r="N563" s="4">
        <v>1692044</v>
      </c>
      <c r="O563" s="4">
        <v>1692044</v>
      </c>
      <c r="P563" s="4">
        <v>1692044</v>
      </c>
      <c r="Q563" s="4">
        <v>1692044</v>
      </c>
      <c r="R563" s="4">
        <v>1692044</v>
      </c>
      <c r="S563" s="4">
        <v>1692044</v>
      </c>
      <c r="T563" s="4">
        <v>1692044</v>
      </c>
      <c r="U563" s="4">
        <v>1692044</v>
      </c>
      <c r="V563" s="4">
        <v>1692044</v>
      </c>
      <c r="W563" s="4">
        <v>1692044</v>
      </c>
      <c r="X563" s="4">
        <v>1692044</v>
      </c>
      <c r="Y563" s="4">
        <v>1692044</v>
      </c>
    </row>
    <row r="564" spans="1:25" ht="19.5" customHeight="1" x14ac:dyDescent="0.25">
      <c r="A564" s="2" t="s">
        <v>1289</v>
      </c>
      <c r="B564" s="2" t="s">
        <v>54</v>
      </c>
      <c r="C564" s="2" t="s">
        <v>54</v>
      </c>
      <c r="D564" s="2" t="s">
        <v>1455</v>
      </c>
      <c r="E564" s="2" t="s">
        <v>1456</v>
      </c>
      <c r="F564" s="3">
        <v>726017.75</v>
      </c>
      <c r="G564" s="3">
        <v>728322</v>
      </c>
      <c r="H564" s="3">
        <v>728322</v>
      </c>
      <c r="I564" s="3">
        <v>728322</v>
      </c>
      <c r="J564" s="3">
        <v>728322</v>
      </c>
      <c r="K564" s="3">
        <v>728322</v>
      </c>
      <c r="L564" s="4">
        <v>728322</v>
      </c>
      <c r="M564" s="4">
        <v>728322</v>
      </c>
      <c r="N564" s="4">
        <v>728322</v>
      </c>
      <c r="O564" s="4">
        <v>728322</v>
      </c>
      <c r="P564" s="4">
        <v>728322</v>
      </c>
      <c r="Q564" s="4">
        <v>728322</v>
      </c>
      <c r="R564" s="4">
        <v>728322</v>
      </c>
      <c r="S564" s="4">
        <v>728322</v>
      </c>
      <c r="T564" s="4">
        <v>728322</v>
      </c>
      <c r="U564" s="4">
        <v>728322</v>
      </c>
      <c r="V564" s="4">
        <v>728322</v>
      </c>
      <c r="W564" s="4">
        <v>728322</v>
      </c>
      <c r="X564" s="4">
        <v>728322</v>
      </c>
      <c r="Y564" s="4">
        <v>728322</v>
      </c>
    </row>
    <row r="565" spans="1:25" ht="19.5" customHeight="1" x14ac:dyDescent="0.25">
      <c r="A565" s="2" t="s">
        <v>1289</v>
      </c>
      <c r="B565" s="2" t="s">
        <v>54</v>
      </c>
      <c r="C565" s="2" t="s">
        <v>54</v>
      </c>
      <c r="D565" s="2" t="s">
        <v>1457</v>
      </c>
      <c r="E565" s="2" t="s">
        <v>1458</v>
      </c>
      <c r="F565" s="3">
        <v>2410531.2400000002</v>
      </c>
      <c r="G565" s="3">
        <v>4246134</v>
      </c>
      <c r="H565" s="3">
        <v>3696134</v>
      </c>
      <c r="I565" s="3">
        <v>3696134</v>
      </c>
      <c r="J565" s="3">
        <v>3696134</v>
      </c>
      <c r="K565" s="3">
        <v>3696134</v>
      </c>
      <c r="L565" s="4">
        <v>3696134</v>
      </c>
      <c r="M565" s="4">
        <v>3696134</v>
      </c>
      <c r="N565" s="4">
        <v>3696134</v>
      </c>
      <c r="O565" s="4">
        <v>3696134</v>
      </c>
      <c r="P565" s="4">
        <v>3696134</v>
      </c>
      <c r="Q565" s="4">
        <v>3696134</v>
      </c>
      <c r="R565" s="4">
        <v>3696134</v>
      </c>
      <c r="S565" s="4">
        <v>3696134</v>
      </c>
      <c r="T565" s="4">
        <v>3696134</v>
      </c>
      <c r="U565" s="4">
        <v>3696134</v>
      </c>
      <c r="V565" s="4">
        <v>3696134</v>
      </c>
      <c r="W565" s="4">
        <v>3696134</v>
      </c>
      <c r="X565" s="4">
        <v>3696134</v>
      </c>
      <c r="Y565" s="4">
        <v>3696134</v>
      </c>
    </row>
    <row r="566" spans="1:25" ht="19.5" customHeight="1" x14ac:dyDescent="0.25">
      <c r="A566" s="2" t="s">
        <v>1289</v>
      </c>
      <c r="B566" s="2" t="s">
        <v>227</v>
      </c>
      <c r="C566" s="2" t="s">
        <v>1459</v>
      </c>
      <c r="D566" s="2" t="s">
        <v>1460</v>
      </c>
      <c r="E566" s="2" t="s">
        <v>1461</v>
      </c>
      <c r="F566" s="3">
        <v>481500</v>
      </c>
      <c r="G566" s="3">
        <v>528993</v>
      </c>
      <c r="H566" s="3">
        <v>554730</v>
      </c>
      <c r="I566" s="3">
        <v>554730</v>
      </c>
      <c r="J566" s="3">
        <v>554730</v>
      </c>
      <c r="K566" s="3">
        <v>554730</v>
      </c>
      <c r="L566" s="4">
        <v>554730</v>
      </c>
      <c r="M566" s="4">
        <v>554730</v>
      </c>
      <c r="N566" s="4">
        <v>554730</v>
      </c>
      <c r="O566" s="4">
        <v>554730</v>
      </c>
      <c r="P566" s="4">
        <v>554730</v>
      </c>
      <c r="Q566" s="4">
        <v>554730</v>
      </c>
      <c r="R566" s="4">
        <v>554730</v>
      </c>
      <c r="S566" s="4">
        <v>554730</v>
      </c>
      <c r="T566" s="4">
        <v>554730</v>
      </c>
      <c r="U566" s="4">
        <v>554730</v>
      </c>
      <c r="V566" s="4">
        <v>554730</v>
      </c>
      <c r="W566" s="4">
        <v>554730</v>
      </c>
      <c r="X566" s="4">
        <v>554730</v>
      </c>
      <c r="Y566" s="4">
        <v>554730</v>
      </c>
    </row>
    <row r="567" spans="1:25" ht="19.5" customHeight="1" x14ac:dyDescent="0.25">
      <c r="A567" s="2" t="s">
        <v>1289</v>
      </c>
      <c r="B567" s="2" t="s">
        <v>227</v>
      </c>
      <c r="C567" s="2" t="s">
        <v>1462</v>
      </c>
      <c r="D567" s="2" t="s">
        <v>1463</v>
      </c>
      <c r="E567" s="2" t="s">
        <v>1464</v>
      </c>
      <c r="F567" s="3">
        <v>1503466.01</v>
      </c>
      <c r="G567" s="3">
        <v>2400000</v>
      </c>
      <c r="H567" s="3">
        <v>2400000</v>
      </c>
      <c r="I567" s="3">
        <v>2400000</v>
      </c>
      <c r="J567" s="3">
        <v>2400000</v>
      </c>
      <c r="K567" s="3">
        <v>2400000</v>
      </c>
      <c r="L567" s="4">
        <v>2400000</v>
      </c>
      <c r="M567" s="4">
        <v>2400000</v>
      </c>
      <c r="N567" s="4">
        <v>2400000</v>
      </c>
      <c r="O567" s="4">
        <v>2400000</v>
      </c>
      <c r="P567" s="4">
        <v>2400000</v>
      </c>
      <c r="Q567" s="4">
        <v>2400000</v>
      </c>
      <c r="R567" s="4">
        <v>2400000</v>
      </c>
      <c r="S567" s="4">
        <v>2400000</v>
      </c>
      <c r="T567" s="4">
        <v>2400000</v>
      </c>
      <c r="U567" s="4">
        <v>2400000</v>
      </c>
      <c r="V567" s="4">
        <v>2400000</v>
      </c>
      <c r="W567" s="4">
        <v>2400000</v>
      </c>
      <c r="X567" s="4">
        <v>2400000</v>
      </c>
      <c r="Y567" s="4">
        <v>2400000</v>
      </c>
    </row>
    <row r="568" spans="1:25" ht="19.5" customHeight="1" x14ac:dyDescent="0.25">
      <c r="A568" s="2" t="s">
        <v>1289</v>
      </c>
      <c r="B568" s="2" t="s">
        <v>243</v>
      </c>
      <c r="C568" s="2" t="s">
        <v>1465</v>
      </c>
      <c r="D568" s="2" t="s">
        <v>1466</v>
      </c>
      <c r="E568" s="2" t="s">
        <v>1467</v>
      </c>
      <c r="F568" s="3">
        <v>1108522.23</v>
      </c>
      <c r="G568" s="3">
        <v>1000439</v>
      </c>
      <c r="H568" s="3">
        <v>1800392</v>
      </c>
      <c r="I568" s="3">
        <v>1625481</v>
      </c>
      <c r="J568" s="3">
        <v>1800392</v>
      </c>
      <c r="K568" s="3">
        <v>1625481</v>
      </c>
      <c r="L568" s="4">
        <v>1800392</v>
      </c>
      <c r="M568" s="4">
        <v>1625481</v>
      </c>
      <c r="N568" s="4">
        <v>1800392</v>
      </c>
      <c r="O568" s="4">
        <v>1625481</v>
      </c>
      <c r="P568" s="4">
        <v>1800392</v>
      </c>
      <c r="Q568" s="4">
        <v>1625481</v>
      </c>
      <c r="R568" s="4">
        <v>1800392</v>
      </c>
      <c r="S568" s="4">
        <v>1625481</v>
      </c>
      <c r="T568" s="4">
        <v>1800392</v>
      </c>
      <c r="U568" s="4">
        <v>1625481</v>
      </c>
      <c r="V568" s="4">
        <v>1800392</v>
      </c>
      <c r="W568" s="4">
        <v>1625481</v>
      </c>
      <c r="X568" s="4">
        <v>1800392</v>
      </c>
      <c r="Y568" s="4">
        <v>1625481</v>
      </c>
    </row>
    <row r="569" spans="1:25" ht="19.5" customHeight="1" x14ac:dyDescent="0.25">
      <c r="A569" s="2" t="s">
        <v>1289</v>
      </c>
      <c r="B569" s="2" t="s">
        <v>243</v>
      </c>
      <c r="C569" s="2" t="s">
        <v>1465</v>
      </c>
      <c r="D569" s="2" t="s">
        <v>1468</v>
      </c>
      <c r="E569" s="2" t="s">
        <v>1469</v>
      </c>
      <c r="F569" s="3">
        <v>1401180.97</v>
      </c>
      <c r="G569" s="3">
        <v>3000000</v>
      </c>
      <c r="H569" s="3">
        <v>3000000</v>
      </c>
      <c r="I569" s="3">
        <v>3000000</v>
      </c>
      <c r="J569" s="3">
        <v>3000000</v>
      </c>
      <c r="K569" s="3">
        <v>3000000</v>
      </c>
      <c r="L569" s="4">
        <v>3000000</v>
      </c>
      <c r="M569" s="4">
        <v>3000000</v>
      </c>
      <c r="N569" s="4">
        <v>3000000</v>
      </c>
      <c r="O569" s="4">
        <v>3000000</v>
      </c>
      <c r="P569" s="4">
        <v>3000000</v>
      </c>
      <c r="Q569" s="4">
        <v>3000000</v>
      </c>
      <c r="R569" s="4">
        <v>3000000</v>
      </c>
      <c r="S569" s="4">
        <v>3000000</v>
      </c>
      <c r="T569" s="4">
        <v>3000000</v>
      </c>
      <c r="U569" s="4">
        <v>3000000</v>
      </c>
      <c r="V569" s="4">
        <v>3000000</v>
      </c>
      <c r="W569" s="4">
        <v>3000000</v>
      </c>
      <c r="X569" s="4">
        <v>3000000</v>
      </c>
      <c r="Y569" s="4">
        <v>3000000</v>
      </c>
    </row>
    <row r="570" spans="1:25" ht="19.5" customHeight="1" x14ac:dyDescent="0.25">
      <c r="A570" s="2" t="s">
        <v>1289</v>
      </c>
      <c r="B570" s="2" t="s">
        <v>243</v>
      </c>
      <c r="C570" s="2" t="s">
        <v>1470</v>
      </c>
      <c r="D570" s="2" t="s">
        <v>1471</v>
      </c>
      <c r="E570" s="2" t="s">
        <v>1472</v>
      </c>
      <c r="F570" s="3">
        <v>5604389.46</v>
      </c>
      <c r="G570" s="3">
        <v>1492545</v>
      </c>
      <c r="H570" s="3">
        <v>21956264</v>
      </c>
      <c r="I570" s="3">
        <v>22290566</v>
      </c>
      <c r="J570" s="3">
        <v>21956264</v>
      </c>
      <c r="K570" s="3">
        <v>22290566</v>
      </c>
      <c r="L570" s="4">
        <v>21956264</v>
      </c>
      <c r="M570" s="4">
        <v>22290566</v>
      </c>
      <c r="N570" s="4">
        <v>21956264</v>
      </c>
      <c r="O570" s="4">
        <v>22290566</v>
      </c>
      <c r="P570" s="4">
        <v>21956264</v>
      </c>
      <c r="Q570" s="4">
        <v>22290566</v>
      </c>
      <c r="R570" s="4">
        <v>21956264</v>
      </c>
      <c r="S570" s="4">
        <v>22290566</v>
      </c>
      <c r="T570" s="4">
        <v>21956264</v>
      </c>
      <c r="U570" s="4">
        <v>22290566</v>
      </c>
      <c r="V570" s="4">
        <v>21956264</v>
      </c>
      <c r="W570" s="4">
        <v>22290566</v>
      </c>
      <c r="X570" s="4">
        <v>21956264</v>
      </c>
      <c r="Y570" s="4">
        <v>22290566</v>
      </c>
    </row>
    <row r="571" spans="1:25" ht="19.5" customHeight="1" x14ac:dyDescent="0.25">
      <c r="A571" s="2" t="s">
        <v>1289</v>
      </c>
      <c r="B571" s="2" t="s">
        <v>243</v>
      </c>
      <c r="C571" s="2" t="s">
        <v>1473</v>
      </c>
      <c r="D571" s="2" t="s">
        <v>1474</v>
      </c>
      <c r="E571" s="2" t="s">
        <v>1475</v>
      </c>
      <c r="F571" s="3">
        <v>5605466.6699999999</v>
      </c>
      <c r="G571" s="3">
        <v>5970264</v>
      </c>
      <c r="H571" s="3">
        <v>0</v>
      </c>
      <c r="I571" s="3">
        <v>0</v>
      </c>
      <c r="J571" s="3">
        <v>0</v>
      </c>
      <c r="K571" s="3">
        <v>0</v>
      </c>
      <c r="L571" s="4">
        <v>0</v>
      </c>
      <c r="M571" s="4">
        <v>0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</row>
    <row r="572" spans="1:25" ht="19.5" customHeight="1" x14ac:dyDescent="0.25">
      <c r="A572" s="2" t="s">
        <v>1289</v>
      </c>
      <c r="B572" s="2" t="s">
        <v>243</v>
      </c>
      <c r="C572" s="2" t="s">
        <v>1476</v>
      </c>
      <c r="D572" s="2" t="s">
        <v>1477</v>
      </c>
      <c r="E572" s="2" t="s">
        <v>1478</v>
      </c>
      <c r="F572" s="3">
        <v>2839170.45</v>
      </c>
      <c r="G572" s="4">
        <v>2976201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</row>
    <row r="573" spans="1:25" ht="19.5" customHeight="1" x14ac:dyDescent="0.25">
      <c r="A573" s="2" t="s">
        <v>1289</v>
      </c>
      <c r="B573" s="2" t="s">
        <v>243</v>
      </c>
      <c r="C573" s="2" t="s">
        <v>1479</v>
      </c>
      <c r="D573" s="2" t="s">
        <v>1480</v>
      </c>
      <c r="E573" s="2" t="s">
        <v>1481</v>
      </c>
      <c r="F573" s="3">
        <v>3043867.38</v>
      </c>
      <c r="G573" s="3">
        <v>3381193</v>
      </c>
      <c r="H573" s="3">
        <v>0</v>
      </c>
      <c r="I573" s="3">
        <v>0</v>
      </c>
      <c r="J573" s="3">
        <v>0</v>
      </c>
      <c r="K573" s="3">
        <v>0</v>
      </c>
      <c r="L573" s="4">
        <v>0</v>
      </c>
      <c r="M573" s="4">
        <v>0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</row>
    <row r="574" spans="1:25" ht="19.5" customHeight="1" x14ac:dyDescent="0.25">
      <c r="A574" s="2" t="s">
        <v>1289</v>
      </c>
      <c r="B574" s="2" t="s">
        <v>243</v>
      </c>
      <c r="C574" s="2" t="s">
        <v>1482</v>
      </c>
      <c r="D574" s="2" t="s">
        <v>1483</v>
      </c>
      <c r="E574" s="2" t="s">
        <v>1484</v>
      </c>
      <c r="F574" s="4">
        <v>92722.03</v>
      </c>
      <c r="G574" s="3">
        <v>184611</v>
      </c>
      <c r="H574" s="3">
        <v>189611</v>
      </c>
      <c r="I574" s="3">
        <v>189611</v>
      </c>
      <c r="J574" s="3">
        <v>189611</v>
      </c>
      <c r="K574" s="3">
        <v>189611</v>
      </c>
      <c r="L574" s="4">
        <v>189611</v>
      </c>
      <c r="M574" s="4">
        <v>189611</v>
      </c>
      <c r="N574" s="4">
        <v>189611</v>
      </c>
      <c r="O574" s="4">
        <v>189611</v>
      </c>
      <c r="P574" s="4">
        <v>189611</v>
      </c>
      <c r="Q574" s="4">
        <v>189611</v>
      </c>
      <c r="R574" s="4">
        <v>189611</v>
      </c>
      <c r="S574" s="4">
        <v>189611</v>
      </c>
      <c r="T574" s="4">
        <v>189611</v>
      </c>
      <c r="U574" s="4">
        <v>189611</v>
      </c>
      <c r="V574" s="4">
        <v>189611</v>
      </c>
      <c r="W574" s="4">
        <v>189611</v>
      </c>
      <c r="X574" s="4">
        <v>189611</v>
      </c>
      <c r="Y574" s="4">
        <v>189611</v>
      </c>
    </row>
    <row r="575" spans="1:25" ht="19.5" customHeight="1" x14ac:dyDescent="0.25">
      <c r="A575" s="2" t="s">
        <v>1289</v>
      </c>
      <c r="B575" s="2" t="s">
        <v>243</v>
      </c>
      <c r="C575" s="2" t="s">
        <v>1485</v>
      </c>
      <c r="D575" s="2" t="s">
        <v>1486</v>
      </c>
      <c r="E575" s="2" t="s">
        <v>1487</v>
      </c>
      <c r="F575" s="3">
        <v>3807382.13</v>
      </c>
      <c r="G575" s="3">
        <v>4170445</v>
      </c>
      <c r="H575" s="3">
        <v>0</v>
      </c>
      <c r="I575" s="3">
        <v>0</v>
      </c>
      <c r="J575" s="3">
        <v>0</v>
      </c>
      <c r="K575" s="3">
        <v>0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</row>
    <row r="576" spans="1:25" ht="19.5" customHeight="1" x14ac:dyDescent="0.25">
      <c r="A576" s="2" t="s">
        <v>1488</v>
      </c>
      <c r="B576" s="2" t="s">
        <v>16</v>
      </c>
      <c r="C576" s="2" t="s">
        <v>1489</v>
      </c>
      <c r="D576" s="2" t="s">
        <v>1490</v>
      </c>
      <c r="E576" s="2" t="s">
        <v>1491</v>
      </c>
      <c r="F576" s="3">
        <v>24015044.449999999</v>
      </c>
      <c r="G576" s="3">
        <v>29178120</v>
      </c>
      <c r="H576" s="3">
        <v>29178120</v>
      </c>
      <c r="I576" s="3">
        <v>29178120</v>
      </c>
      <c r="J576" s="3">
        <v>29178120</v>
      </c>
      <c r="K576" s="3">
        <v>29178120</v>
      </c>
      <c r="L576" s="4">
        <v>29178120</v>
      </c>
      <c r="M576" s="4">
        <v>29178120</v>
      </c>
      <c r="N576" s="4">
        <v>29178120</v>
      </c>
      <c r="O576" s="4">
        <v>29178120</v>
      </c>
      <c r="P576" s="4">
        <v>29178120</v>
      </c>
      <c r="Q576" s="4">
        <v>29178120</v>
      </c>
      <c r="R576" s="4">
        <v>29178120</v>
      </c>
      <c r="S576" s="4">
        <v>29178120</v>
      </c>
      <c r="T576" s="4">
        <v>29178120</v>
      </c>
      <c r="U576" s="4">
        <v>29178120</v>
      </c>
      <c r="V576" s="4">
        <v>29178120</v>
      </c>
      <c r="W576" s="4">
        <v>29178120</v>
      </c>
      <c r="X576" s="4">
        <v>29178120</v>
      </c>
      <c r="Y576" s="4">
        <v>29178120</v>
      </c>
    </row>
    <row r="577" spans="1:25" ht="19.5" customHeight="1" x14ac:dyDescent="0.25">
      <c r="A577" s="2" t="s">
        <v>1488</v>
      </c>
      <c r="B577" s="2" t="s">
        <v>16</v>
      </c>
      <c r="C577" s="2" t="s">
        <v>1492</v>
      </c>
      <c r="D577" s="2" t="s">
        <v>1493</v>
      </c>
      <c r="E577" s="2" t="s">
        <v>1494</v>
      </c>
      <c r="F577" s="3">
        <v>542981.05000000005</v>
      </c>
      <c r="G577" s="3">
        <v>878433</v>
      </c>
      <c r="H577" s="3">
        <v>878433</v>
      </c>
      <c r="I577" s="3">
        <v>878433</v>
      </c>
      <c r="J577" s="3">
        <v>878433</v>
      </c>
      <c r="K577" s="3">
        <v>878433</v>
      </c>
      <c r="L577" s="4">
        <v>878433</v>
      </c>
      <c r="M577" s="4">
        <v>878433</v>
      </c>
      <c r="N577" s="4">
        <v>878433</v>
      </c>
      <c r="O577" s="4">
        <v>878433</v>
      </c>
      <c r="P577" s="4">
        <v>878433</v>
      </c>
      <c r="Q577" s="4">
        <v>878433</v>
      </c>
      <c r="R577" s="4">
        <v>878433</v>
      </c>
      <c r="S577" s="4">
        <v>878433</v>
      </c>
      <c r="T577" s="4">
        <v>878433</v>
      </c>
      <c r="U577" s="4">
        <v>878433</v>
      </c>
      <c r="V577" s="4">
        <v>878433</v>
      </c>
      <c r="W577" s="4">
        <v>878433</v>
      </c>
      <c r="X577" s="4">
        <v>878433</v>
      </c>
      <c r="Y577" s="4">
        <v>878433</v>
      </c>
    </row>
    <row r="578" spans="1:25" ht="19.5" customHeight="1" x14ac:dyDescent="0.25">
      <c r="A578" s="2" t="s">
        <v>1488</v>
      </c>
      <c r="B578" s="2" t="s">
        <v>16</v>
      </c>
      <c r="C578" s="2" t="s">
        <v>1495</v>
      </c>
      <c r="D578" s="2" t="s">
        <v>1496</v>
      </c>
      <c r="E578" s="2" t="s">
        <v>1497</v>
      </c>
      <c r="F578" s="3">
        <v>7107467.7400000002</v>
      </c>
      <c r="G578" s="3">
        <v>8900000</v>
      </c>
      <c r="H578" s="3">
        <v>8900000</v>
      </c>
      <c r="I578" s="3">
        <v>8900000</v>
      </c>
      <c r="J578" s="3">
        <v>8900000</v>
      </c>
      <c r="K578" s="3">
        <v>8900000</v>
      </c>
      <c r="L578" s="4">
        <v>8900000</v>
      </c>
      <c r="M578" s="4">
        <v>8900000</v>
      </c>
      <c r="N578" s="4">
        <v>8900000</v>
      </c>
      <c r="O578" s="4">
        <v>8900000</v>
      </c>
      <c r="P578" s="4">
        <v>8900000</v>
      </c>
      <c r="Q578" s="4">
        <v>8900000</v>
      </c>
      <c r="R578" s="4">
        <v>8900000</v>
      </c>
      <c r="S578" s="4">
        <v>8900000</v>
      </c>
      <c r="T578" s="4">
        <v>8900000</v>
      </c>
      <c r="U578" s="4">
        <v>8900000</v>
      </c>
      <c r="V578" s="4">
        <v>8900000</v>
      </c>
      <c r="W578" s="4">
        <v>8900000</v>
      </c>
      <c r="X578" s="4">
        <v>8900000</v>
      </c>
      <c r="Y578" s="4">
        <v>8900000</v>
      </c>
    </row>
    <row r="579" spans="1:25" ht="19.5" customHeight="1" x14ac:dyDescent="0.25">
      <c r="A579" s="2" t="s">
        <v>1488</v>
      </c>
      <c r="B579" s="2" t="s">
        <v>16</v>
      </c>
      <c r="C579" s="2" t="s">
        <v>1498</v>
      </c>
      <c r="D579" s="2" t="s">
        <v>1499</v>
      </c>
      <c r="E579" s="2" t="s">
        <v>1500</v>
      </c>
      <c r="F579" s="3">
        <v>4412853.5999999996</v>
      </c>
      <c r="G579" s="3">
        <v>4500000</v>
      </c>
      <c r="H579" s="3">
        <v>5000000</v>
      </c>
      <c r="I579" s="3">
        <v>5000000</v>
      </c>
      <c r="J579" s="3">
        <v>5000000</v>
      </c>
      <c r="K579" s="3">
        <v>5000000</v>
      </c>
      <c r="L579" s="4">
        <v>5000000</v>
      </c>
      <c r="M579" s="4">
        <v>5000000</v>
      </c>
      <c r="N579" s="4">
        <v>5000000</v>
      </c>
      <c r="O579" s="4">
        <v>5000000</v>
      </c>
      <c r="P579" s="4">
        <v>5000000</v>
      </c>
      <c r="Q579" s="4">
        <v>5000000</v>
      </c>
      <c r="R579" s="4">
        <v>5000000</v>
      </c>
      <c r="S579" s="4">
        <v>5000000</v>
      </c>
      <c r="T579" s="4">
        <v>5000000</v>
      </c>
      <c r="U579" s="4">
        <v>5000000</v>
      </c>
      <c r="V579" s="4">
        <v>5000000</v>
      </c>
      <c r="W579" s="4">
        <v>5000000</v>
      </c>
      <c r="X579" s="4">
        <v>5000000</v>
      </c>
      <c r="Y579" s="4">
        <v>5000000</v>
      </c>
    </row>
    <row r="580" spans="1:25" ht="19.5" customHeight="1" x14ac:dyDescent="0.25">
      <c r="A580" s="2" t="s">
        <v>1488</v>
      </c>
      <c r="B580" s="2" t="s">
        <v>16</v>
      </c>
      <c r="C580" s="2" t="s">
        <v>1501</v>
      </c>
      <c r="D580" s="2" t="s">
        <v>1502</v>
      </c>
      <c r="E580" s="2" t="s">
        <v>1503</v>
      </c>
      <c r="F580" s="3">
        <v>2495920.79</v>
      </c>
      <c r="G580" s="3">
        <v>3311039</v>
      </c>
      <c r="H580" s="3">
        <v>3311039</v>
      </c>
      <c r="I580" s="3">
        <v>3311039</v>
      </c>
      <c r="J580" s="3">
        <v>3311039</v>
      </c>
      <c r="K580" s="3">
        <v>3311039</v>
      </c>
      <c r="L580" s="4">
        <v>3311039</v>
      </c>
      <c r="M580" s="4">
        <v>3311039</v>
      </c>
      <c r="N580" s="4">
        <v>3311039</v>
      </c>
      <c r="O580" s="4">
        <v>3311039</v>
      </c>
      <c r="P580" s="4">
        <v>3311039</v>
      </c>
      <c r="Q580" s="4">
        <v>3311039</v>
      </c>
      <c r="R580" s="4">
        <v>3311039</v>
      </c>
      <c r="S580" s="4">
        <v>3311039</v>
      </c>
      <c r="T580" s="4">
        <v>3311039</v>
      </c>
      <c r="U580" s="4">
        <v>3311039</v>
      </c>
      <c r="V580" s="4">
        <v>3311039</v>
      </c>
      <c r="W580" s="4">
        <v>3311039</v>
      </c>
      <c r="X580" s="4">
        <v>3311039</v>
      </c>
      <c r="Y580" s="4">
        <v>3311039</v>
      </c>
    </row>
    <row r="581" spans="1:25" ht="19.5" customHeight="1" x14ac:dyDescent="0.25">
      <c r="A581" s="2" t="s">
        <v>1488</v>
      </c>
      <c r="B581" s="2" t="s">
        <v>16</v>
      </c>
      <c r="C581" s="2" t="s">
        <v>1504</v>
      </c>
      <c r="D581" s="2" t="s">
        <v>1505</v>
      </c>
      <c r="E581" s="2" t="s">
        <v>1506</v>
      </c>
      <c r="F581" s="3">
        <v>850628.97</v>
      </c>
      <c r="G581" s="3">
        <v>1032824</v>
      </c>
      <c r="H581" s="3">
        <v>1032824</v>
      </c>
      <c r="I581" s="3">
        <v>1032824</v>
      </c>
      <c r="J581" s="3">
        <v>1032824</v>
      </c>
      <c r="K581" s="3">
        <v>1032824</v>
      </c>
      <c r="L581" s="4">
        <v>1032824</v>
      </c>
      <c r="M581" s="4">
        <v>1032824</v>
      </c>
      <c r="N581" s="4">
        <v>1032824</v>
      </c>
      <c r="O581" s="4">
        <v>1032824</v>
      </c>
      <c r="P581" s="4">
        <v>1032824</v>
      </c>
      <c r="Q581" s="4">
        <v>1032824</v>
      </c>
      <c r="R581" s="4">
        <v>1032824</v>
      </c>
      <c r="S581" s="4">
        <v>1032824</v>
      </c>
      <c r="T581" s="4">
        <v>1032824</v>
      </c>
      <c r="U581" s="4">
        <v>1032824</v>
      </c>
      <c r="V581" s="4">
        <v>1032824</v>
      </c>
      <c r="W581" s="4">
        <v>1032824</v>
      </c>
      <c r="X581" s="4">
        <v>1032824</v>
      </c>
      <c r="Y581" s="4">
        <v>1032824</v>
      </c>
    </row>
    <row r="582" spans="1:25" ht="19.5" customHeight="1" x14ac:dyDescent="0.25">
      <c r="A582" s="2" t="s">
        <v>1488</v>
      </c>
      <c r="B582" s="2" t="s">
        <v>16</v>
      </c>
      <c r="C582" s="2" t="s">
        <v>1507</v>
      </c>
      <c r="D582" s="2" t="s">
        <v>1508</v>
      </c>
      <c r="E582" s="2" t="s">
        <v>1509</v>
      </c>
      <c r="F582" s="3">
        <v>0</v>
      </c>
      <c r="G582" s="3">
        <v>15000</v>
      </c>
      <c r="H582" s="3">
        <v>15000</v>
      </c>
      <c r="I582" s="3">
        <v>15000</v>
      </c>
      <c r="J582" s="3">
        <v>15000</v>
      </c>
      <c r="K582" s="3">
        <v>15000</v>
      </c>
      <c r="L582" s="4">
        <v>15000</v>
      </c>
      <c r="M582" s="4">
        <v>15000</v>
      </c>
      <c r="N582" s="4">
        <v>15000</v>
      </c>
      <c r="O582" s="4">
        <v>15000</v>
      </c>
      <c r="P582" s="4">
        <v>15000</v>
      </c>
      <c r="Q582" s="4">
        <v>15000</v>
      </c>
      <c r="R582" s="4">
        <v>15000</v>
      </c>
      <c r="S582" s="4">
        <v>15000</v>
      </c>
      <c r="T582" s="4">
        <v>15000</v>
      </c>
      <c r="U582" s="4">
        <v>15000</v>
      </c>
      <c r="V582" s="4">
        <v>15000</v>
      </c>
      <c r="W582" s="4">
        <v>15000</v>
      </c>
      <c r="X582" s="4">
        <v>15000</v>
      </c>
      <c r="Y582" s="4">
        <v>15000</v>
      </c>
    </row>
    <row r="583" spans="1:25" ht="19.5" customHeight="1" x14ac:dyDescent="0.25">
      <c r="A583" s="2" t="s">
        <v>1488</v>
      </c>
      <c r="B583" s="2" t="s">
        <v>16</v>
      </c>
      <c r="C583" s="2" t="s">
        <v>1507</v>
      </c>
      <c r="D583" s="2" t="s">
        <v>1510</v>
      </c>
      <c r="E583" s="2" t="s">
        <v>1511</v>
      </c>
      <c r="F583" s="3">
        <v>940</v>
      </c>
      <c r="G583" s="3">
        <v>15000</v>
      </c>
      <c r="H583" s="3">
        <v>15000</v>
      </c>
      <c r="I583" s="3">
        <v>15000</v>
      </c>
      <c r="J583" s="3">
        <v>15000</v>
      </c>
      <c r="K583" s="3">
        <v>15000</v>
      </c>
      <c r="L583" s="4">
        <v>15000</v>
      </c>
      <c r="M583" s="4">
        <v>15000</v>
      </c>
      <c r="N583" s="4">
        <v>15000</v>
      </c>
      <c r="O583" s="4">
        <v>15000</v>
      </c>
      <c r="P583" s="4">
        <v>15000</v>
      </c>
      <c r="Q583" s="4">
        <v>15000</v>
      </c>
      <c r="R583" s="4">
        <v>15000</v>
      </c>
      <c r="S583" s="4">
        <v>15000</v>
      </c>
      <c r="T583" s="4">
        <v>15000</v>
      </c>
      <c r="U583" s="4">
        <v>15000</v>
      </c>
      <c r="V583" s="4">
        <v>15000</v>
      </c>
      <c r="W583" s="4">
        <v>15000</v>
      </c>
      <c r="X583" s="4">
        <v>15000</v>
      </c>
      <c r="Y583" s="4">
        <v>15000</v>
      </c>
    </row>
    <row r="584" spans="1:25" ht="19.5" customHeight="1" x14ac:dyDescent="0.25">
      <c r="A584" s="2" t="s">
        <v>1488</v>
      </c>
      <c r="B584" s="2" t="s">
        <v>16</v>
      </c>
      <c r="C584" s="2" t="s">
        <v>1512</v>
      </c>
      <c r="D584" s="2" t="s">
        <v>1513</v>
      </c>
      <c r="E584" s="2" t="s">
        <v>1514</v>
      </c>
      <c r="F584" s="3">
        <v>29699861.48</v>
      </c>
      <c r="G584" s="3">
        <v>27000000</v>
      </c>
      <c r="H584" s="3">
        <v>38704139</v>
      </c>
      <c r="I584" s="3">
        <v>38719096</v>
      </c>
      <c r="J584" s="3">
        <v>38704139</v>
      </c>
      <c r="K584" s="3">
        <v>38719096</v>
      </c>
      <c r="L584" s="4">
        <v>38704139</v>
      </c>
      <c r="M584" s="4">
        <v>38719096</v>
      </c>
      <c r="N584" s="4">
        <v>38704139</v>
      </c>
      <c r="O584" s="4">
        <v>38719096</v>
      </c>
      <c r="P584" s="4">
        <v>38704139</v>
      </c>
      <c r="Q584" s="4">
        <v>38719096</v>
      </c>
      <c r="R584" s="4">
        <v>38704139</v>
      </c>
      <c r="S584" s="4">
        <v>38719096</v>
      </c>
      <c r="T584" s="4">
        <v>38704139</v>
      </c>
      <c r="U584" s="4">
        <v>38719096</v>
      </c>
      <c r="V584" s="4">
        <v>38704139</v>
      </c>
      <c r="W584" s="4">
        <v>38719096</v>
      </c>
      <c r="X584" s="4">
        <v>38704139</v>
      </c>
      <c r="Y584" s="4">
        <v>38719096</v>
      </c>
    </row>
    <row r="585" spans="1:25" ht="19.5" customHeight="1" x14ac:dyDescent="0.25">
      <c r="A585" s="2" t="s">
        <v>1488</v>
      </c>
      <c r="B585" s="2" t="s">
        <v>16</v>
      </c>
      <c r="C585" s="2" t="s">
        <v>1515</v>
      </c>
      <c r="D585" s="2" t="s">
        <v>1516</v>
      </c>
      <c r="E585" s="2" t="s">
        <v>1517</v>
      </c>
      <c r="F585" s="3">
        <v>166250</v>
      </c>
      <c r="G585" s="3">
        <v>700000</v>
      </c>
      <c r="H585" s="3">
        <v>700000</v>
      </c>
      <c r="I585" s="3">
        <v>700000</v>
      </c>
      <c r="J585" s="3">
        <v>700000</v>
      </c>
      <c r="K585" s="3">
        <v>700000</v>
      </c>
      <c r="L585" s="4">
        <v>700000</v>
      </c>
      <c r="M585" s="4">
        <v>700000</v>
      </c>
      <c r="N585" s="4">
        <v>700000</v>
      </c>
      <c r="O585" s="4">
        <v>700000</v>
      </c>
      <c r="P585" s="4">
        <v>700000</v>
      </c>
      <c r="Q585" s="4">
        <v>700000</v>
      </c>
      <c r="R585" s="4">
        <v>700000</v>
      </c>
      <c r="S585" s="4">
        <v>700000</v>
      </c>
      <c r="T585" s="4">
        <v>700000</v>
      </c>
      <c r="U585" s="4">
        <v>700000</v>
      </c>
      <c r="V585" s="4">
        <v>700000</v>
      </c>
      <c r="W585" s="4">
        <v>700000</v>
      </c>
      <c r="X585" s="4">
        <v>700000</v>
      </c>
      <c r="Y585" s="4">
        <v>700000</v>
      </c>
    </row>
    <row r="586" spans="1:25" ht="19.5" customHeight="1" x14ac:dyDescent="0.25">
      <c r="A586" s="2" t="s">
        <v>1488</v>
      </c>
      <c r="B586" s="2" t="s">
        <v>16</v>
      </c>
      <c r="C586" s="2" t="s">
        <v>1518</v>
      </c>
      <c r="D586" s="2" t="s">
        <v>1519</v>
      </c>
      <c r="E586" s="2" t="s">
        <v>1520</v>
      </c>
      <c r="F586" s="3">
        <v>3232192.19</v>
      </c>
      <c r="G586" s="3">
        <v>3500000</v>
      </c>
      <c r="H586" s="3">
        <v>2500000</v>
      </c>
      <c r="I586" s="3">
        <v>2500000</v>
      </c>
      <c r="J586" s="3">
        <v>2500000</v>
      </c>
      <c r="K586" s="3">
        <v>2500000</v>
      </c>
      <c r="L586" s="4">
        <v>2500000</v>
      </c>
      <c r="M586" s="4">
        <v>2500000</v>
      </c>
      <c r="N586" s="4">
        <v>2500000</v>
      </c>
      <c r="O586" s="4">
        <v>2500000</v>
      </c>
      <c r="P586" s="4">
        <v>2500000</v>
      </c>
      <c r="Q586" s="4">
        <v>2500000</v>
      </c>
      <c r="R586" s="4">
        <v>2500000</v>
      </c>
      <c r="S586" s="4">
        <v>2500000</v>
      </c>
      <c r="T586" s="4">
        <v>2500000</v>
      </c>
      <c r="U586" s="4">
        <v>2500000</v>
      </c>
      <c r="V586" s="4">
        <v>2500000</v>
      </c>
      <c r="W586" s="4">
        <v>2500000</v>
      </c>
      <c r="X586" s="4">
        <v>2500000</v>
      </c>
      <c r="Y586" s="4">
        <v>2500000</v>
      </c>
    </row>
    <row r="587" spans="1:25" ht="19.5" customHeight="1" x14ac:dyDescent="0.25">
      <c r="A587" s="2" t="s">
        <v>1488</v>
      </c>
      <c r="B587" s="2" t="s">
        <v>16</v>
      </c>
      <c r="C587" s="2" t="s">
        <v>1521</v>
      </c>
      <c r="D587" s="2" t="s">
        <v>1522</v>
      </c>
      <c r="E587" s="2" t="s">
        <v>1523</v>
      </c>
      <c r="F587" s="3">
        <v>683550.61</v>
      </c>
      <c r="G587" s="3">
        <v>736194</v>
      </c>
      <c r="H587" s="3">
        <v>736194</v>
      </c>
      <c r="I587" s="3">
        <v>736194</v>
      </c>
      <c r="J587" s="3">
        <v>736194</v>
      </c>
      <c r="K587" s="3">
        <v>736194</v>
      </c>
      <c r="L587" s="4">
        <v>736194</v>
      </c>
      <c r="M587" s="4">
        <v>736194</v>
      </c>
      <c r="N587" s="4">
        <v>736194</v>
      </c>
      <c r="O587" s="4">
        <v>736194</v>
      </c>
      <c r="P587" s="4">
        <v>736194</v>
      </c>
      <c r="Q587" s="4">
        <v>736194</v>
      </c>
      <c r="R587" s="4">
        <v>736194</v>
      </c>
      <c r="S587" s="4">
        <v>736194</v>
      </c>
      <c r="T587" s="4">
        <v>736194</v>
      </c>
      <c r="U587" s="4">
        <v>736194</v>
      </c>
      <c r="V587" s="4">
        <v>736194</v>
      </c>
      <c r="W587" s="4">
        <v>736194</v>
      </c>
      <c r="X587" s="4">
        <v>736194</v>
      </c>
      <c r="Y587" s="4">
        <v>736194</v>
      </c>
    </row>
    <row r="588" spans="1:25" ht="19.5" customHeight="1" x14ac:dyDescent="0.25">
      <c r="A588" s="2" t="s">
        <v>1488</v>
      </c>
      <c r="B588" s="2" t="s">
        <v>16</v>
      </c>
      <c r="C588" s="2" t="s">
        <v>1524</v>
      </c>
      <c r="D588" s="2" t="s">
        <v>1525</v>
      </c>
      <c r="E588" s="2" t="s">
        <v>1526</v>
      </c>
      <c r="F588" s="3">
        <v>7333520.2800000003</v>
      </c>
      <c r="G588" s="3">
        <v>12000000</v>
      </c>
      <c r="H588" s="3">
        <v>14500000</v>
      </c>
      <c r="I588" s="3">
        <v>14500000</v>
      </c>
      <c r="J588" s="3">
        <v>14500000</v>
      </c>
      <c r="K588" s="3">
        <v>14500000</v>
      </c>
      <c r="L588" s="4">
        <v>14500000</v>
      </c>
      <c r="M588" s="4">
        <v>14500000</v>
      </c>
      <c r="N588" s="4">
        <v>14500000</v>
      </c>
      <c r="O588" s="4">
        <v>14500000</v>
      </c>
      <c r="P588" s="4">
        <v>14500000</v>
      </c>
      <c r="Q588" s="4">
        <v>14500000</v>
      </c>
      <c r="R588" s="4">
        <v>14500000</v>
      </c>
      <c r="S588" s="4">
        <v>14500000</v>
      </c>
      <c r="T588" s="4">
        <v>14500000</v>
      </c>
      <c r="U588" s="4">
        <v>14500000</v>
      </c>
      <c r="V588" s="4">
        <v>14500000</v>
      </c>
      <c r="W588" s="4">
        <v>14500000</v>
      </c>
      <c r="X588" s="4">
        <v>14500000</v>
      </c>
      <c r="Y588" s="4">
        <v>14500000</v>
      </c>
    </row>
    <row r="589" spans="1:25" ht="19.5" customHeight="1" x14ac:dyDescent="0.25">
      <c r="A589" s="2" t="s">
        <v>1488</v>
      </c>
      <c r="B589" s="2" t="s">
        <v>16</v>
      </c>
      <c r="C589" s="2" t="s">
        <v>1527</v>
      </c>
      <c r="D589" s="2" t="s">
        <v>1528</v>
      </c>
      <c r="E589" s="2" t="s">
        <v>1529</v>
      </c>
      <c r="F589" s="3">
        <v>51266.8</v>
      </c>
      <c r="G589" s="3">
        <v>80000</v>
      </c>
      <c r="H589" s="3">
        <v>80000</v>
      </c>
      <c r="I589" s="3">
        <v>80000</v>
      </c>
      <c r="J589" s="3">
        <v>80000</v>
      </c>
      <c r="K589" s="3">
        <v>80000</v>
      </c>
      <c r="L589" s="4">
        <v>80000</v>
      </c>
      <c r="M589" s="4">
        <v>80000</v>
      </c>
      <c r="N589" s="4">
        <v>80000</v>
      </c>
      <c r="O589" s="4">
        <v>80000</v>
      </c>
      <c r="P589" s="4">
        <v>80000</v>
      </c>
      <c r="Q589" s="4">
        <v>80000</v>
      </c>
      <c r="R589" s="4">
        <v>80000</v>
      </c>
      <c r="S589" s="4">
        <v>80000</v>
      </c>
      <c r="T589" s="4">
        <v>80000</v>
      </c>
      <c r="U589" s="4">
        <v>80000</v>
      </c>
      <c r="V589" s="4">
        <v>80000</v>
      </c>
      <c r="W589" s="4">
        <v>80000</v>
      </c>
      <c r="X589" s="4">
        <v>80000</v>
      </c>
      <c r="Y589" s="4">
        <v>80000</v>
      </c>
    </row>
    <row r="590" spans="1:25" ht="19.5" customHeight="1" x14ac:dyDescent="0.25">
      <c r="A590" s="2" t="s">
        <v>1488</v>
      </c>
      <c r="B590" s="2" t="s">
        <v>16</v>
      </c>
      <c r="C590" s="2" t="s">
        <v>35</v>
      </c>
      <c r="D590" s="2" t="s">
        <v>1530</v>
      </c>
      <c r="E590" s="2" t="s">
        <v>1531</v>
      </c>
      <c r="F590" s="3">
        <v>80918.820000000007</v>
      </c>
      <c r="G590" s="3">
        <v>72110576</v>
      </c>
      <c r="H590" s="3">
        <v>0</v>
      </c>
      <c r="I590" s="3">
        <v>0</v>
      </c>
      <c r="J590" s="3">
        <v>0</v>
      </c>
      <c r="K590" s="3">
        <v>0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</row>
    <row r="591" spans="1:25" ht="19.5" customHeight="1" x14ac:dyDescent="0.25">
      <c r="A591" s="2" t="s">
        <v>1488</v>
      </c>
      <c r="B591" s="2" t="s">
        <v>16</v>
      </c>
      <c r="C591" s="2" t="s">
        <v>35</v>
      </c>
      <c r="D591" s="2" t="s">
        <v>1532</v>
      </c>
      <c r="E591" s="2" t="s">
        <v>1533</v>
      </c>
      <c r="F591" s="3">
        <v>11626271</v>
      </c>
      <c r="G591" s="3">
        <v>144465883</v>
      </c>
      <c r="H591" s="3">
        <v>0</v>
      </c>
      <c r="I591" s="3">
        <v>0</v>
      </c>
      <c r="J591" s="3">
        <v>0</v>
      </c>
      <c r="K591" s="3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4200000</v>
      </c>
      <c r="W591" s="4">
        <v>0</v>
      </c>
      <c r="X591" s="4">
        <v>4200000</v>
      </c>
      <c r="Y591" s="4">
        <v>0</v>
      </c>
    </row>
    <row r="592" spans="1:25" ht="19.5" customHeight="1" x14ac:dyDescent="0.25">
      <c r="A592" s="2" t="s">
        <v>1488</v>
      </c>
      <c r="B592" s="2" t="s">
        <v>16</v>
      </c>
      <c r="C592" s="2" t="s">
        <v>35</v>
      </c>
      <c r="D592" s="2" t="s">
        <v>1534</v>
      </c>
      <c r="E592" s="2" t="s">
        <v>1535</v>
      </c>
      <c r="F592" s="3">
        <v>0</v>
      </c>
      <c r="G592" s="3">
        <v>2700000</v>
      </c>
      <c r="H592" s="3">
        <v>0</v>
      </c>
      <c r="I592" s="3">
        <v>0</v>
      </c>
      <c r="J592" s="3">
        <v>0</v>
      </c>
      <c r="K592" s="3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</row>
    <row r="593" spans="1:25" ht="19.5" customHeight="1" x14ac:dyDescent="0.25">
      <c r="A593" s="2" t="s">
        <v>1488</v>
      </c>
      <c r="B593" s="2" t="s">
        <v>16</v>
      </c>
      <c r="C593" s="2" t="s">
        <v>35</v>
      </c>
      <c r="D593" s="2" t="s">
        <v>1536</v>
      </c>
      <c r="E593" s="2" t="s">
        <v>1537</v>
      </c>
      <c r="F593" s="3">
        <v>0</v>
      </c>
      <c r="G593" s="3">
        <v>68300000</v>
      </c>
      <c r="H593" s="3">
        <v>0</v>
      </c>
      <c r="I593" s="3">
        <v>0</v>
      </c>
      <c r="J593" s="3">
        <v>0</v>
      </c>
      <c r="K593" s="3">
        <v>0</v>
      </c>
      <c r="L593" s="4">
        <v>0</v>
      </c>
      <c r="M593" s="4">
        <v>0</v>
      </c>
      <c r="N593" s="4">
        <v>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</row>
    <row r="594" spans="1:25" ht="19.5" customHeight="1" x14ac:dyDescent="0.25">
      <c r="A594" s="2" t="s">
        <v>1488</v>
      </c>
      <c r="B594" s="2" t="s">
        <v>16</v>
      </c>
      <c r="C594" s="2" t="s">
        <v>35</v>
      </c>
      <c r="D594" s="2" t="s">
        <v>1538</v>
      </c>
      <c r="E594" s="2" t="s">
        <v>1539</v>
      </c>
      <c r="F594" s="3">
        <v>0</v>
      </c>
      <c r="G594" s="3">
        <v>79500000</v>
      </c>
      <c r="H594" s="3">
        <v>0</v>
      </c>
      <c r="I594" s="3">
        <v>0</v>
      </c>
      <c r="J594" s="3">
        <v>0</v>
      </c>
      <c r="K594" s="3">
        <v>0</v>
      </c>
      <c r="L594" s="4">
        <v>0</v>
      </c>
      <c r="M594" s="4">
        <v>0</v>
      </c>
      <c r="N594" s="4">
        <v>0</v>
      </c>
      <c r="O594" s="4">
        <v>0</v>
      </c>
      <c r="P594" s="4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</row>
    <row r="595" spans="1:25" ht="19.5" customHeight="1" x14ac:dyDescent="0.25">
      <c r="A595" s="2" t="s">
        <v>1488</v>
      </c>
      <c r="B595" s="2" t="s">
        <v>16</v>
      </c>
      <c r="C595" s="2" t="s">
        <v>35</v>
      </c>
      <c r="D595" s="2" t="s">
        <v>1540</v>
      </c>
      <c r="E595" s="2" t="s">
        <v>1541</v>
      </c>
      <c r="F595" s="3">
        <v>0</v>
      </c>
      <c r="G595" s="3">
        <v>25000000</v>
      </c>
      <c r="H595" s="3">
        <v>0</v>
      </c>
      <c r="I595" s="3">
        <v>0</v>
      </c>
      <c r="J595" s="3">
        <v>0</v>
      </c>
      <c r="K595" s="3">
        <v>0</v>
      </c>
      <c r="L595" s="4">
        <v>0</v>
      </c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</row>
    <row r="596" spans="1:25" ht="19.5" customHeight="1" x14ac:dyDescent="0.25">
      <c r="A596" s="2" t="s">
        <v>1488</v>
      </c>
      <c r="B596" s="2" t="s">
        <v>16</v>
      </c>
      <c r="C596" s="2" t="s">
        <v>1542</v>
      </c>
      <c r="D596" s="2" t="s">
        <v>1543</v>
      </c>
      <c r="E596" s="2" t="s">
        <v>1544</v>
      </c>
      <c r="F596" s="3">
        <v>462118.09</v>
      </c>
      <c r="G596" s="3">
        <v>1000000</v>
      </c>
      <c r="H596" s="3">
        <v>1000000</v>
      </c>
      <c r="I596" s="3">
        <v>1000000</v>
      </c>
      <c r="J596" s="3">
        <v>1000000</v>
      </c>
      <c r="K596" s="3">
        <v>1000000</v>
      </c>
      <c r="L596" s="4">
        <v>1000000</v>
      </c>
      <c r="M596" s="4">
        <v>1000000</v>
      </c>
      <c r="N596" s="4">
        <v>1000000</v>
      </c>
      <c r="O596" s="4">
        <v>1000000</v>
      </c>
      <c r="P596" s="4">
        <v>1000000</v>
      </c>
      <c r="Q596" s="4">
        <v>1000000</v>
      </c>
      <c r="R596" s="4">
        <v>1000000</v>
      </c>
      <c r="S596" s="4">
        <v>1000000</v>
      </c>
      <c r="T596" s="4">
        <v>1000000</v>
      </c>
      <c r="U596" s="4">
        <v>1000000</v>
      </c>
      <c r="V596" s="4">
        <v>1000000</v>
      </c>
      <c r="W596" s="4">
        <v>1000000</v>
      </c>
      <c r="X596" s="4">
        <v>1000000</v>
      </c>
      <c r="Y596" s="4">
        <v>1000000</v>
      </c>
    </row>
    <row r="597" spans="1:25" ht="19.5" customHeight="1" x14ac:dyDescent="0.25">
      <c r="A597" s="2" t="s">
        <v>1488</v>
      </c>
      <c r="B597" s="2" t="s">
        <v>16</v>
      </c>
      <c r="C597" s="2" t="s">
        <v>1545</v>
      </c>
      <c r="D597" s="2" t="s">
        <v>1546</v>
      </c>
      <c r="E597" s="2" t="s">
        <v>1547</v>
      </c>
      <c r="F597" s="3">
        <v>117759.58</v>
      </c>
      <c r="G597" s="3">
        <v>300000</v>
      </c>
      <c r="H597" s="3">
        <v>280000</v>
      </c>
      <c r="I597" s="3">
        <v>280000</v>
      </c>
      <c r="J597" s="3">
        <v>280000</v>
      </c>
      <c r="K597" s="3">
        <v>280000</v>
      </c>
      <c r="L597" s="4">
        <v>280000</v>
      </c>
      <c r="M597" s="4">
        <v>280000</v>
      </c>
      <c r="N597" s="4">
        <v>280000</v>
      </c>
      <c r="O597" s="4">
        <v>280000</v>
      </c>
      <c r="P597" s="4">
        <v>280000</v>
      </c>
      <c r="Q597" s="4">
        <v>280000</v>
      </c>
      <c r="R597" s="4">
        <v>280000</v>
      </c>
      <c r="S597" s="4">
        <v>280000</v>
      </c>
      <c r="T597" s="4">
        <v>280000</v>
      </c>
      <c r="U597" s="4">
        <v>280000</v>
      </c>
      <c r="V597" s="4">
        <v>280000</v>
      </c>
      <c r="W597" s="4">
        <v>280000</v>
      </c>
      <c r="X597" s="4">
        <v>280000</v>
      </c>
      <c r="Y597" s="4">
        <v>280000</v>
      </c>
    </row>
    <row r="598" spans="1:25" ht="19.5" customHeight="1" x14ac:dyDescent="0.25">
      <c r="A598" s="2" t="s">
        <v>1488</v>
      </c>
      <c r="B598" s="2" t="s">
        <v>16</v>
      </c>
      <c r="C598" s="2" t="s">
        <v>1548</v>
      </c>
      <c r="D598" s="2" t="s">
        <v>1549</v>
      </c>
      <c r="E598" s="2" t="s">
        <v>1550</v>
      </c>
      <c r="F598" s="3">
        <v>114491.52</v>
      </c>
      <c r="G598" s="3">
        <v>150000</v>
      </c>
      <c r="H598" s="3">
        <v>100000</v>
      </c>
      <c r="I598" s="3">
        <v>100000</v>
      </c>
      <c r="J598" s="3">
        <v>100000</v>
      </c>
      <c r="K598" s="3">
        <v>100000</v>
      </c>
      <c r="L598" s="4">
        <v>100000</v>
      </c>
      <c r="M598" s="4">
        <v>100000</v>
      </c>
      <c r="N598" s="4">
        <v>100000</v>
      </c>
      <c r="O598" s="4">
        <v>100000</v>
      </c>
      <c r="P598" s="4">
        <v>100000</v>
      </c>
      <c r="Q598" s="4">
        <v>100000</v>
      </c>
      <c r="R598" s="4">
        <v>100000</v>
      </c>
      <c r="S598" s="4">
        <v>100000</v>
      </c>
      <c r="T598" s="4">
        <v>100000</v>
      </c>
      <c r="U598" s="4">
        <v>100000</v>
      </c>
      <c r="V598" s="4">
        <v>100000</v>
      </c>
      <c r="W598" s="4">
        <v>100000</v>
      </c>
      <c r="X598" s="4">
        <v>100000</v>
      </c>
      <c r="Y598" s="4">
        <v>100000</v>
      </c>
    </row>
    <row r="599" spans="1:25" ht="19.5" customHeight="1" x14ac:dyDescent="0.25">
      <c r="A599" s="2" t="s">
        <v>1488</v>
      </c>
      <c r="B599" s="2" t="s">
        <v>16</v>
      </c>
      <c r="C599" s="2" t="s">
        <v>1551</v>
      </c>
      <c r="D599" s="2" t="s">
        <v>1552</v>
      </c>
      <c r="E599" s="2" t="s">
        <v>1553</v>
      </c>
      <c r="F599" s="3">
        <v>25096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</row>
    <row r="600" spans="1:25" ht="19.5" customHeight="1" x14ac:dyDescent="0.25">
      <c r="A600" s="2" t="s">
        <v>1488</v>
      </c>
      <c r="B600" s="2" t="s">
        <v>16</v>
      </c>
      <c r="C600" s="2" t="s">
        <v>1554</v>
      </c>
      <c r="D600" s="2" t="s">
        <v>1555</v>
      </c>
      <c r="E600" s="2" t="s">
        <v>1556</v>
      </c>
      <c r="F600" s="3">
        <v>0</v>
      </c>
      <c r="G600" s="3">
        <v>200000</v>
      </c>
      <c r="H600" s="3">
        <v>500000</v>
      </c>
      <c r="I600" s="3">
        <v>500000</v>
      </c>
      <c r="J600" s="3">
        <v>500000</v>
      </c>
      <c r="K600" s="3">
        <v>500000</v>
      </c>
      <c r="L600" s="4">
        <v>500000</v>
      </c>
      <c r="M600" s="4">
        <v>500000</v>
      </c>
      <c r="N600" s="4">
        <v>500000</v>
      </c>
      <c r="O600" s="4">
        <v>500000</v>
      </c>
      <c r="P600" s="4">
        <v>500000</v>
      </c>
      <c r="Q600" s="4">
        <v>500000</v>
      </c>
      <c r="R600" s="4">
        <v>500000</v>
      </c>
      <c r="S600" s="4">
        <v>500000</v>
      </c>
      <c r="T600" s="4">
        <v>500000</v>
      </c>
      <c r="U600" s="4">
        <v>500000</v>
      </c>
      <c r="V600" s="4">
        <v>500000</v>
      </c>
      <c r="W600" s="4">
        <v>500000</v>
      </c>
      <c r="X600" s="4">
        <v>500000</v>
      </c>
      <c r="Y600" s="4">
        <v>500000</v>
      </c>
    </row>
    <row r="601" spans="1:25" ht="19.5" customHeight="1" x14ac:dyDescent="0.25">
      <c r="A601" s="2" t="s">
        <v>1488</v>
      </c>
      <c r="B601" s="2" t="s">
        <v>16</v>
      </c>
      <c r="C601" s="2" t="s">
        <v>1557</v>
      </c>
      <c r="D601" s="2" t="s">
        <v>1558</v>
      </c>
      <c r="E601" s="2" t="s">
        <v>1559</v>
      </c>
      <c r="F601" s="3">
        <v>25596</v>
      </c>
      <c r="G601" s="3">
        <v>100000</v>
      </c>
      <c r="H601" s="3">
        <v>100000</v>
      </c>
      <c r="I601" s="3">
        <v>100000</v>
      </c>
      <c r="J601" s="3">
        <v>100000</v>
      </c>
      <c r="K601" s="3">
        <v>100000</v>
      </c>
      <c r="L601" s="4">
        <v>100000</v>
      </c>
      <c r="M601" s="4">
        <v>100000</v>
      </c>
      <c r="N601" s="4">
        <v>100000</v>
      </c>
      <c r="O601" s="4">
        <v>100000</v>
      </c>
      <c r="P601" s="4">
        <v>100000</v>
      </c>
      <c r="Q601" s="4">
        <v>100000</v>
      </c>
      <c r="R601" s="4">
        <v>100000</v>
      </c>
      <c r="S601" s="4">
        <v>100000</v>
      </c>
      <c r="T601" s="4">
        <v>100000</v>
      </c>
      <c r="U601" s="4">
        <v>100000</v>
      </c>
      <c r="V601" s="4">
        <v>100000</v>
      </c>
      <c r="W601" s="4">
        <v>100000</v>
      </c>
      <c r="X601" s="4">
        <v>100000</v>
      </c>
      <c r="Y601" s="4">
        <v>100000</v>
      </c>
    </row>
    <row r="602" spans="1:25" ht="19.5" customHeight="1" x14ac:dyDescent="0.25">
      <c r="A602" s="2" t="s">
        <v>1488</v>
      </c>
      <c r="B602" s="2" t="s">
        <v>16</v>
      </c>
      <c r="C602" s="2" t="s">
        <v>1560</v>
      </c>
      <c r="D602" s="2" t="s">
        <v>1561</v>
      </c>
      <c r="E602" s="2" t="s">
        <v>1562</v>
      </c>
      <c r="F602" s="3">
        <v>0</v>
      </c>
      <c r="G602" s="3">
        <v>275000</v>
      </c>
      <c r="H602" s="3">
        <v>275000</v>
      </c>
      <c r="I602" s="3">
        <v>275000</v>
      </c>
      <c r="J602" s="3">
        <v>275000</v>
      </c>
      <c r="K602" s="3">
        <v>275000</v>
      </c>
      <c r="L602" s="4">
        <v>275000</v>
      </c>
      <c r="M602" s="4">
        <v>275000</v>
      </c>
      <c r="N602" s="4">
        <v>275000</v>
      </c>
      <c r="O602" s="4">
        <v>275000</v>
      </c>
      <c r="P602" s="4">
        <v>275000</v>
      </c>
      <c r="Q602" s="4">
        <v>275000</v>
      </c>
      <c r="R602" s="4">
        <v>275000</v>
      </c>
      <c r="S602" s="4">
        <v>275000</v>
      </c>
      <c r="T602" s="4">
        <v>275000</v>
      </c>
      <c r="U602" s="4">
        <v>275000</v>
      </c>
      <c r="V602" s="4">
        <v>275000</v>
      </c>
      <c r="W602" s="4">
        <v>275000</v>
      </c>
      <c r="X602" s="4">
        <v>275000</v>
      </c>
      <c r="Y602" s="4">
        <v>275000</v>
      </c>
    </row>
    <row r="603" spans="1:25" ht="19.5" customHeight="1" x14ac:dyDescent="0.25">
      <c r="A603" s="2" t="s">
        <v>1488</v>
      </c>
      <c r="B603" s="2" t="s">
        <v>16</v>
      </c>
      <c r="C603" s="2" t="s">
        <v>1563</v>
      </c>
      <c r="D603" s="2" t="s">
        <v>1564</v>
      </c>
      <c r="E603" s="2" t="s">
        <v>1565</v>
      </c>
      <c r="F603" s="3">
        <v>998912.81</v>
      </c>
      <c r="G603" s="3">
        <v>1000000</v>
      </c>
      <c r="H603" s="3">
        <v>1000000</v>
      </c>
      <c r="I603" s="3">
        <v>1000000</v>
      </c>
      <c r="J603" s="3">
        <v>1000000</v>
      </c>
      <c r="K603" s="3">
        <v>1000000</v>
      </c>
      <c r="L603" s="4">
        <v>1000000</v>
      </c>
      <c r="M603" s="4">
        <v>1000000</v>
      </c>
      <c r="N603" s="4">
        <v>1000000</v>
      </c>
      <c r="O603" s="4">
        <v>1000000</v>
      </c>
      <c r="P603" s="4">
        <v>1000000</v>
      </c>
      <c r="Q603" s="4">
        <v>1000000</v>
      </c>
      <c r="R603" s="4">
        <v>1000000</v>
      </c>
      <c r="S603" s="4">
        <v>1000000</v>
      </c>
      <c r="T603" s="4">
        <v>1000000</v>
      </c>
      <c r="U603" s="4">
        <v>1000000</v>
      </c>
      <c r="V603" s="4">
        <v>1000000</v>
      </c>
      <c r="W603" s="4">
        <v>1000000</v>
      </c>
      <c r="X603" s="4">
        <v>1000000</v>
      </c>
      <c r="Y603" s="4">
        <v>1000000</v>
      </c>
    </row>
    <row r="604" spans="1:25" ht="19.5" customHeight="1" x14ac:dyDescent="0.25">
      <c r="A604" s="2" t="s">
        <v>1488</v>
      </c>
      <c r="B604" s="2" t="s">
        <v>16</v>
      </c>
      <c r="C604" s="2" t="s">
        <v>1566</v>
      </c>
      <c r="D604" s="2" t="s">
        <v>1567</v>
      </c>
      <c r="E604" s="2" t="s">
        <v>1568</v>
      </c>
      <c r="F604" s="3">
        <v>1000000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</row>
    <row r="605" spans="1:25" ht="19.5" customHeight="1" x14ac:dyDescent="0.25">
      <c r="A605" s="2" t="s">
        <v>1488</v>
      </c>
      <c r="B605" s="2" t="s">
        <v>16</v>
      </c>
      <c r="C605" s="2" t="s">
        <v>1569</v>
      </c>
      <c r="D605" s="2" t="s">
        <v>1570</v>
      </c>
      <c r="E605" s="2" t="s">
        <v>1571</v>
      </c>
      <c r="F605" s="3">
        <v>1730.56</v>
      </c>
      <c r="G605" s="3">
        <v>200000</v>
      </c>
      <c r="H605" s="3">
        <v>275000</v>
      </c>
      <c r="I605" s="3">
        <v>275000</v>
      </c>
      <c r="J605" s="3">
        <v>275000</v>
      </c>
      <c r="K605" s="3">
        <v>275000</v>
      </c>
      <c r="L605" s="4">
        <v>275000</v>
      </c>
      <c r="M605" s="4">
        <v>275000</v>
      </c>
      <c r="N605" s="4">
        <v>275000</v>
      </c>
      <c r="O605" s="4">
        <v>275000</v>
      </c>
      <c r="P605" s="4">
        <v>275000</v>
      </c>
      <c r="Q605" s="4">
        <v>275000</v>
      </c>
      <c r="R605" s="4">
        <v>275000</v>
      </c>
      <c r="S605" s="4">
        <v>275000</v>
      </c>
      <c r="T605" s="4">
        <v>275000</v>
      </c>
      <c r="U605" s="4">
        <v>275000</v>
      </c>
      <c r="V605" s="4">
        <v>275000</v>
      </c>
      <c r="W605" s="4">
        <v>275000</v>
      </c>
      <c r="X605" s="4">
        <v>275000</v>
      </c>
      <c r="Y605" s="4">
        <v>275000</v>
      </c>
    </row>
    <row r="606" spans="1:25" ht="19.5" customHeight="1" x14ac:dyDescent="0.25">
      <c r="A606" s="2" t="s">
        <v>1488</v>
      </c>
      <c r="B606" s="2" t="s">
        <v>16</v>
      </c>
      <c r="C606" s="2" t="s">
        <v>1572</v>
      </c>
      <c r="D606" s="2" t="s">
        <v>1573</v>
      </c>
      <c r="E606" s="2" t="s">
        <v>1574</v>
      </c>
      <c r="F606" s="3">
        <v>1202556.3</v>
      </c>
      <c r="G606" s="3">
        <v>1300000</v>
      </c>
      <c r="H606" s="3">
        <v>1300000</v>
      </c>
      <c r="I606" s="3">
        <v>1300000</v>
      </c>
      <c r="J606" s="3">
        <v>1300000</v>
      </c>
      <c r="K606" s="3">
        <v>1300000</v>
      </c>
      <c r="L606" s="4">
        <v>1300000</v>
      </c>
      <c r="M606" s="4">
        <v>1300000</v>
      </c>
      <c r="N606" s="4">
        <v>1300000</v>
      </c>
      <c r="O606" s="4">
        <v>1300000</v>
      </c>
      <c r="P606" s="4">
        <v>1300000</v>
      </c>
      <c r="Q606" s="4">
        <v>1300000</v>
      </c>
      <c r="R606" s="4">
        <v>1300000</v>
      </c>
      <c r="S606" s="4">
        <v>1300000</v>
      </c>
      <c r="T606" s="4">
        <v>1300000</v>
      </c>
      <c r="U606" s="4">
        <v>1300000</v>
      </c>
      <c r="V606" s="4">
        <v>1300000</v>
      </c>
      <c r="W606" s="4">
        <v>1300000</v>
      </c>
      <c r="X606" s="4">
        <v>1300000</v>
      </c>
      <c r="Y606" s="4">
        <v>1300000</v>
      </c>
    </row>
    <row r="607" spans="1:25" ht="19.5" customHeight="1" x14ac:dyDescent="0.25">
      <c r="A607" s="2" t="s">
        <v>1488</v>
      </c>
      <c r="B607" s="2" t="s">
        <v>16</v>
      </c>
      <c r="C607" s="2" t="s">
        <v>1575</v>
      </c>
      <c r="D607" s="2" t="s">
        <v>1576</v>
      </c>
      <c r="E607" s="2" t="s">
        <v>1577</v>
      </c>
      <c r="F607" s="3">
        <v>18802532.48</v>
      </c>
      <c r="G607" s="3">
        <v>24000000</v>
      </c>
      <c r="H607" s="3">
        <v>24000000</v>
      </c>
      <c r="I607" s="3">
        <v>24000000</v>
      </c>
      <c r="J607" s="3">
        <v>24000000</v>
      </c>
      <c r="K607" s="3">
        <v>24000000</v>
      </c>
      <c r="L607" s="4">
        <v>24000000</v>
      </c>
      <c r="M607" s="4">
        <v>24000000</v>
      </c>
      <c r="N607" s="4">
        <v>24000000</v>
      </c>
      <c r="O607" s="4">
        <v>24000000</v>
      </c>
      <c r="P607" s="4">
        <v>24000000</v>
      </c>
      <c r="Q607" s="4">
        <v>24000000</v>
      </c>
      <c r="R607" s="4">
        <v>24000000</v>
      </c>
      <c r="S607" s="4">
        <v>24000000</v>
      </c>
      <c r="T607" s="4">
        <v>24000000</v>
      </c>
      <c r="U607" s="4">
        <v>24000000</v>
      </c>
      <c r="V607" s="4">
        <v>24000000</v>
      </c>
      <c r="W607" s="4">
        <v>24000000</v>
      </c>
      <c r="X607" s="4">
        <v>24000000</v>
      </c>
      <c r="Y607" s="4">
        <v>24000000</v>
      </c>
    </row>
    <row r="608" spans="1:25" ht="19.5" customHeight="1" x14ac:dyDescent="0.25">
      <c r="A608" s="2" t="s">
        <v>1488</v>
      </c>
      <c r="B608" s="2" t="s">
        <v>16</v>
      </c>
      <c r="C608" s="2" t="s">
        <v>1578</v>
      </c>
      <c r="D608" s="2" t="s">
        <v>1579</v>
      </c>
      <c r="E608" s="2" t="s">
        <v>1580</v>
      </c>
      <c r="F608" s="3">
        <v>59730.5</v>
      </c>
      <c r="G608" s="3">
        <v>150000</v>
      </c>
      <c r="H608" s="3">
        <v>125000</v>
      </c>
      <c r="I608" s="3">
        <v>125000</v>
      </c>
      <c r="J608" s="3">
        <v>125000</v>
      </c>
      <c r="K608" s="3">
        <v>125000</v>
      </c>
      <c r="L608" s="4">
        <v>125000</v>
      </c>
      <c r="M608" s="4">
        <v>125000</v>
      </c>
      <c r="N608" s="4">
        <v>125000</v>
      </c>
      <c r="O608" s="4">
        <v>125000</v>
      </c>
      <c r="P608" s="4">
        <v>125000</v>
      </c>
      <c r="Q608" s="4">
        <v>125000</v>
      </c>
      <c r="R608" s="4">
        <v>125000</v>
      </c>
      <c r="S608" s="4">
        <v>125000</v>
      </c>
      <c r="T608" s="4">
        <v>125000</v>
      </c>
      <c r="U608" s="4">
        <v>125000</v>
      </c>
      <c r="V608" s="4">
        <v>125000</v>
      </c>
      <c r="W608" s="4">
        <v>125000</v>
      </c>
      <c r="X608" s="4">
        <v>125000</v>
      </c>
      <c r="Y608" s="4">
        <v>125000</v>
      </c>
    </row>
    <row r="609" spans="1:25" ht="19.5" customHeight="1" x14ac:dyDescent="0.25">
      <c r="A609" s="2" t="s">
        <v>1488</v>
      </c>
      <c r="B609" s="2" t="s">
        <v>16</v>
      </c>
      <c r="C609" s="2" t="s">
        <v>1581</v>
      </c>
      <c r="D609" s="2" t="s">
        <v>1582</v>
      </c>
      <c r="E609" s="2" t="s">
        <v>1583</v>
      </c>
      <c r="F609" s="3">
        <v>0</v>
      </c>
      <c r="G609" s="3">
        <v>0</v>
      </c>
      <c r="H609" s="3">
        <v>50000000</v>
      </c>
      <c r="I609" s="3">
        <v>0</v>
      </c>
      <c r="J609" s="3">
        <v>0</v>
      </c>
      <c r="K609" s="3">
        <v>0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</row>
    <row r="610" spans="1:25" ht="19.5" customHeight="1" x14ac:dyDescent="0.25">
      <c r="A610" s="2" t="s">
        <v>1488</v>
      </c>
      <c r="B610" s="2" t="s">
        <v>44</v>
      </c>
      <c r="C610" s="2" t="s">
        <v>1584</v>
      </c>
      <c r="D610" s="2" t="s">
        <v>1585</v>
      </c>
      <c r="E610" s="2" t="s">
        <v>1586</v>
      </c>
      <c r="F610" s="3">
        <v>20080162.210000001</v>
      </c>
      <c r="G610" s="3">
        <v>25000000</v>
      </c>
      <c r="H610" s="3">
        <v>25000000</v>
      </c>
      <c r="I610" s="3">
        <v>25000000</v>
      </c>
      <c r="J610" s="3">
        <v>25000000</v>
      </c>
      <c r="K610" s="3">
        <v>25000000</v>
      </c>
      <c r="L610" s="4">
        <v>25000000</v>
      </c>
      <c r="M610" s="4">
        <v>25000000</v>
      </c>
      <c r="N610" s="4">
        <v>25000000</v>
      </c>
      <c r="O610" s="4">
        <v>25000000</v>
      </c>
      <c r="P610" s="4">
        <v>25000000</v>
      </c>
      <c r="Q610" s="4">
        <v>25000000</v>
      </c>
      <c r="R610" s="4">
        <v>25000000</v>
      </c>
      <c r="S610" s="4">
        <v>25000000</v>
      </c>
      <c r="T610" s="4">
        <v>25000000</v>
      </c>
      <c r="U610" s="4">
        <v>25000000</v>
      </c>
      <c r="V610" s="4">
        <v>25000000</v>
      </c>
      <c r="W610" s="4">
        <v>25000000</v>
      </c>
      <c r="X610" s="4">
        <v>25000000</v>
      </c>
      <c r="Y610" s="4">
        <v>25000000</v>
      </c>
    </row>
    <row r="611" spans="1:25" ht="19.5" customHeight="1" x14ac:dyDescent="0.25">
      <c r="A611" s="2" t="s">
        <v>1488</v>
      </c>
      <c r="B611" s="2" t="s">
        <v>44</v>
      </c>
      <c r="C611" s="2" t="s">
        <v>1587</v>
      </c>
      <c r="D611" s="2" t="s">
        <v>1588</v>
      </c>
      <c r="E611" s="2" t="s">
        <v>1589</v>
      </c>
      <c r="F611" s="3">
        <v>8489690.3399999999</v>
      </c>
      <c r="G611" s="4">
        <v>9750000</v>
      </c>
      <c r="H611" s="4">
        <v>9750000</v>
      </c>
      <c r="I611" s="4">
        <v>9750000</v>
      </c>
      <c r="J611" s="4">
        <v>9750000</v>
      </c>
      <c r="K611" s="4">
        <v>9750000</v>
      </c>
      <c r="L611" s="4">
        <v>9750000</v>
      </c>
      <c r="M611" s="4">
        <v>9750000</v>
      </c>
      <c r="N611" s="4">
        <v>9750000</v>
      </c>
      <c r="O611" s="4">
        <v>9750000</v>
      </c>
      <c r="P611" s="4">
        <v>9750000</v>
      </c>
      <c r="Q611" s="4">
        <v>9750000</v>
      </c>
      <c r="R611" s="4">
        <v>9750000</v>
      </c>
      <c r="S611" s="4">
        <v>9750000</v>
      </c>
      <c r="T611" s="4">
        <v>9750000</v>
      </c>
      <c r="U611" s="4">
        <v>9750000</v>
      </c>
      <c r="V611" s="4">
        <v>9750000</v>
      </c>
      <c r="W611" s="4">
        <v>9750000</v>
      </c>
      <c r="X611" s="4">
        <v>9750000</v>
      </c>
      <c r="Y611" s="4">
        <v>9750000</v>
      </c>
    </row>
    <row r="612" spans="1:25" ht="19.5" customHeight="1" x14ac:dyDescent="0.25">
      <c r="A612" s="2" t="s">
        <v>1488</v>
      </c>
      <c r="B612" s="2" t="s">
        <v>44</v>
      </c>
      <c r="C612" s="2" t="s">
        <v>1590</v>
      </c>
      <c r="D612" s="2" t="s">
        <v>1591</v>
      </c>
      <c r="E612" s="2" t="s">
        <v>1592</v>
      </c>
      <c r="F612" s="3">
        <v>184587042.25999999</v>
      </c>
      <c r="G612" s="3">
        <v>220000000</v>
      </c>
      <c r="H612" s="3">
        <v>220000000</v>
      </c>
      <c r="I612" s="3">
        <v>220000000</v>
      </c>
      <c r="J612" s="3">
        <v>220000000</v>
      </c>
      <c r="K612" s="3">
        <v>220000000</v>
      </c>
      <c r="L612" s="4">
        <v>220000000</v>
      </c>
      <c r="M612" s="4">
        <v>220000000</v>
      </c>
      <c r="N612" s="4">
        <v>220000000</v>
      </c>
      <c r="O612" s="4">
        <v>220000000</v>
      </c>
      <c r="P612" s="4">
        <v>220000000</v>
      </c>
      <c r="Q612" s="4">
        <v>220000000</v>
      </c>
      <c r="R612" s="4">
        <v>220000000</v>
      </c>
      <c r="S612" s="4">
        <v>220000000</v>
      </c>
      <c r="T612" s="4">
        <v>220000000</v>
      </c>
      <c r="U612" s="4">
        <v>220000000</v>
      </c>
      <c r="V612" s="4">
        <v>220000000</v>
      </c>
      <c r="W612" s="4">
        <v>220000000</v>
      </c>
      <c r="X612" s="4">
        <v>220000000</v>
      </c>
      <c r="Y612" s="4">
        <v>220000000</v>
      </c>
    </row>
    <row r="613" spans="1:25" ht="19.5" customHeight="1" x14ac:dyDescent="0.25">
      <c r="A613" s="2" t="s">
        <v>1488</v>
      </c>
      <c r="B613" s="2" t="s">
        <v>44</v>
      </c>
      <c r="C613" s="2" t="s">
        <v>1593</v>
      </c>
      <c r="D613" s="2" t="s">
        <v>1594</v>
      </c>
      <c r="E613" s="2" t="s">
        <v>1595</v>
      </c>
      <c r="F613" s="3">
        <v>16491471</v>
      </c>
      <c r="G613" s="3">
        <v>17500000</v>
      </c>
      <c r="H613" s="3">
        <v>19300000</v>
      </c>
      <c r="I613" s="3">
        <v>19300000</v>
      </c>
      <c r="J613" s="3">
        <v>19300000</v>
      </c>
      <c r="K613" s="3">
        <v>19300000</v>
      </c>
      <c r="L613" s="4">
        <v>19300000</v>
      </c>
      <c r="M613" s="4">
        <v>19300000</v>
      </c>
      <c r="N613" s="4">
        <v>19300000</v>
      </c>
      <c r="O613" s="4">
        <v>19300000</v>
      </c>
      <c r="P613" s="4">
        <v>19300000</v>
      </c>
      <c r="Q613" s="4">
        <v>19300000</v>
      </c>
      <c r="R613" s="4">
        <v>19300000</v>
      </c>
      <c r="S613" s="4">
        <v>19300000</v>
      </c>
      <c r="T613" s="4">
        <v>19300000</v>
      </c>
      <c r="U613" s="4">
        <v>19300000</v>
      </c>
      <c r="V613" s="4">
        <v>19300000</v>
      </c>
      <c r="W613" s="4">
        <v>19300000</v>
      </c>
      <c r="X613" s="4">
        <v>19300000</v>
      </c>
      <c r="Y613" s="4">
        <v>19300000</v>
      </c>
    </row>
    <row r="614" spans="1:25" ht="19.5" customHeight="1" x14ac:dyDescent="0.25">
      <c r="A614" s="2" t="s">
        <v>1488</v>
      </c>
      <c r="B614" s="2" t="s">
        <v>44</v>
      </c>
      <c r="C614" s="2" t="s">
        <v>1596</v>
      </c>
      <c r="D614" s="2" t="s">
        <v>1597</v>
      </c>
      <c r="E614" s="2" t="s">
        <v>1598</v>
      </c>
      <c r="F614" s="3">
        <v>99097866.209999993</v>
      </c>
      <c r="G614" s="4">
        <v>95000000</v>
      </c>
      <c r="H614" s="4">
        <v>105000000</v>
      </c>
      <c r="I614" s="4">
        <v>105000000</v>
      </c>
      <c r="J614" s="4">
        <v>105000000</v>
      </c>
      <c r="K614" s="4">
        <v>105000000</v>
      </c>
      <c r="L614" s="4">
        <v>105000000</v>
      </c>
      <c r="M614" s="4">
        <v>105000000</v>
      </c>
      <c r="N614" s="4">
        <v>105000000</v>
      </c>
      <c r="O614" s="4">
        <v>105000000</v>
      </c>
      <c r="P614" s="4">
        <v>105000000</v>
      </c>
      <c r="Q614" s="4">
        <v>105000000</v>
      </c>
      <c r="R614" s="4">
        <v>105000000</v>
      </c>
      <c r="S614" s="4">
        <v>105000000</v>
      </c>
      <c r="T614" s="4">
        <v>105000000</v>
      </c>
      <c r="U614" s="4">
        <v>105000000</v>
      </c>
      <c r="V614" s="4">
        <v>105000000</v>
      </c>
      <c r="W614" s="4">
        <v>105000000</v>
      </c>
      <c r="X614" s="4">
        <v>105000000</v>
      </c>
      <c r="Y614" s="4">
        <v>105000000</v>
      </c>
    </row>
    <row r="615" spans="1:25" ht="19.5" customHeight="1" x14ac:dyDescent="0.25">
      <c r="A615" s="2" t="s">
        <v>1488</v>
      </c>
      <c r="B615" s="2" t="s">
        <v>44</v>
      </c>
      <c r="C615" s="2" t="s">
        <v>1599</v>
      </c>
      <c r="D615" s="2" t="s">
        <v>1600</v>
      </c>
      <c r="E615" s="2" t="s">
        <v>998</v>
      </c>
      <c r="F615" s="3">
        <v>32233414.66</v>
      </c>
      <c r="G615" s="3">
        <v>28540949</v>
      </c>
      <c r="H615" s="3">
        <v>36040949</v>
      </c>
      <c r="I615" s="3">
        <v>36040949</v>
      </c>
      <c r="J615" s="3">
        <v>36040949</v>
      </c>
      <c r="K615" s="3">
        <v>36040949</v>
      </c>
      <c r="L615" s="4">
        <v>36040949</v>
      </c>
      <c r="M615" s="4">
        <v>36040949</v>
      </c>
      <c r="N615" s="4">
        <v>36040949</v>
      </c>
      <c r="O615" s="4">
        <v>36040949</v>
      </c>
      <c r="P615" s="4">
        <v>36040949</v>
      </c>
      <c r="Q615" s="4">
        <v>36040949</v>
      </c>
      <c r="R615" s="4">
        <v>36040949</v>
      </c>
      <c r="S615" s="4">
        <v>36040949</v>
      </c>
      <c r="T615" s="4">
        <v>36040949</v>
      </c>
      <c r="U615" s="4">
        <v>36040949</v>
      </c>
      <c r="V615" s="4">
        <v>36040949</v>
      </c>
      <c r="W615" s="4">
        <v>36040949</v>
      </c>
      <c r="X615" s="4">
        <v>36040949</v>
      </c>
      <c r="Y615" s="4">
        <v>36040949</v>
      </c>
    </row>
    <row r="616" spans="1:25" ht="19.5" customHeight="1" x14ac:dyDescent="0.25">
      <c r="A616" s="2" t="s">
        <v>1488</v>
      </c>
      <c r="B616" s="2" t="s">
        <v>44</v>
      </c>
      <c r="C616" s="2" t="s">
        <v>1601</v>
      </c>
      <c r="D616" s="2" t="s">
        <v>1602</v>
      </c>
      <c r="E616" s="2" t="s">
        <v>1603</v>
      </c>
      <c r="F616" s="3">
        <v>32918468.510000002</v>
      </c>
      <c r="G616" s="3">
        <v>26500000</v>
      </c>
      <c r="H616" s="3">
        <v>26500000</v>
      </c>
      <c r="I616" s="3">
        <v>26500000</v>
      </c>
      <c r="J616" s="3">
        <v>26500000</v>
      </c>
      <c r="K616" s="3">
        <v>26500000</v>
      </c>
      <c r="L616" s="4">
        <v>26500000</v>
      </c>
      <c r="M616" s="4">
        <v>26500000</v>
      </c>
      <c r="N616" s="4">
        <v>26500000</v>
      </c>
      <c r="O616" s="4">
        <v>26500000</v>
      </c>
      <c r="P616" s="4">
        <v>26500000</v>
      </c>
      <c r="Q616" s="4">
        <v>26500000</v>
      </c>
      <c r="R616" s="4">
        <v>26500000</v>
      </c>
      <c r="S616" s="4">
        <v>26500000</v>
      </c>
      <c r="T616" s="4">
        <v>26500000</v>
      </c>
      <c r="U616" s="4">
        <v>26500000</v>
      </c>
      <c r="V616" s="4">
        <v>26500000</v>
      </c>
      <c r="W616" s="4">
        <v>26500000</v>
      </c>
      <c r="X616" s="4">
        <v>26500000</v>
      </c>
      <c r="Y616" s="4">
        <v>26500000</v>
      </c>
    </row>
    <row r="617" spans="1:25" ht="19.5" customHeight="1" x14ac:dyDescent="0.25">
      <c r="A617" s="2" t="s">
        <v>1488</v>
      </c>
      <c r="B617" s="2" t="s">
        <v>44</v>
      </c>
      <c r="C617" s="2" t="s">
        <v>1604</v>
      </c>
      <c r="D617" s="2" t="s">
        <v>1605</v>
      </c>
      <c r="E617" s="2" t="s">
        <v>1606</v>
      </c>
      <c r="F617" s="4">
        <v>160364.82999999999</v>
      </c>
      <c r="G617" s="3">
        <v>178400000</v>
      </c>
      <c r="H617" s="3">
        <v>350000000</v>
      </c>
      <c r="I617" s="3">
        <v>150000000</v>
      </c>
      <c r="J617" s="3">
        <v>350000000</v>
      </c>
      <c r="K617" s="3">
        <v>150000000</v>
      </c>
      <c r="L617" s="4">
        <v>350000000</v>
      </c>
      <c r="M617" s="4">
        <v>150000000</v>
      </c>
      <c r="N617" s="4">
        <v>350000000</v>
      </c>
      <c r="O617" s="4">
        <v>150000000</v>
      </c>
      <c r="P617" s="4">
        <v>350000000</v>
      </c>
      <c r="Q617" s="4">
        <v>150000000</v>
      </c>
      <c r="R617" s="4">
        <v>350000000</v>
      </c>
      <c r="S617" s="4">
        <v>150000000</v>
      </c>
      <c r="T617" s="4">
        <v>350000000</v>
      </c>
      <c r="U617" s="4">
        <v>150000000</v>
      </c>
      <c r="V617" s="4">
        <v>350000000</v>
      </c>
      <c r="W617" s="4">
        <v>150000000</v>
      </c>
      <c r="X617" s="4">
        <v>350000000</v>
      </c>
      <c r="Y617" s="4">
        <v>150000000</v>
      </c>
    </row>
    <row r="618" spans="1:25" ht="19.5" customHeight="1" x14ac:dyDescent="0.25">
      <c r="A618" s="2" t="s">
        <v>1488</v>
      </c>
      <c r="B618" s="2" t="s">
        <v>44</v>
      </c>
      <c r="C618" s="2" t="s">
        <v>1607</v>
      </c>
      <c r="D618" s="2" t="s">
        <v>1608</v>
      </c>
      <c r="E618" s="2" t="s">
        <v>1609</v>
      </c>
      <c r="F618" s="3">
        <v>0</v>
      </c>
      <c r="G618" s="3">
        <v>125000000</v>
      </c>
      <c r="H618" s="3">
        <v>50000000</v>
      </c>
      <c r="I618" s="3">
        <v>0</v>
      </c>
      <c r="J618" s="3">
        <v>50000000</v>
      </c>
      <c r="K618" s="3">
        <v>0</v>
      </c>
      <c r="L618" s="4">
        <v>50000000</v>
      </c>
      <c r="M618" s="4">
        <v>0</v>
      </c>
      <c r="N618" s="4">
        <v>50000000</v>
      </c>
      <c r="O618" s="4">
        <v>0</v>
      </c>
      <c r="P618" s="4">
        <v>50000000</v>
      </c>
      <c r="Q618" s="4">
        <v>0</v>
      </c>
      <c r="R618" s="4">
        <v>50000000</v>
      </c>
      <c r="S618" s="4">
        <v>0</v>
      </c>
      <c r="T618" s="4">
        <v>50000000</v>
      </c>
      <c r="U618" s="4">
        <v>0</v>
      </c>
      <c r="V618" s="4">
        <v>50000000</v>
      </c>
      <c r="W618" s="4">
        <v>0</v>
      </c>
      <c r="X618" s="4">
        <v>50000000</v>
      </c>
      <c r="Y618" s="4">
        <v>0</v>
      </c>
    </row>
    <row r="619" spans="1:25" ht="19.5" customHeight="1" x14ac:dyDescent="0.25">
      <c r="A619" s="2" t="s">
        <v>1488</v>
      </c>
      <c r="B619" s="2" t="s">
        <v>54</v>
      </c>
      <c r="C619" s="2" t="s">
        <v>54</v>
      </c>
      <c r="D619" s="2" t="s">
        <v>1610</v>
      </c>
      <c r="E619" s="2" t="s">
        <v>1611</v>
      </c>
      <c r="F619" s="3">
        <v>0</v>
      </c>
      <c r="G619" s="3">
        <v>0</v>
      </c>
      <c r="H619" s="3">
        <v>8379808</v>
      </c>
      <c r="I619" s="3">
        <v>2379808</v>
      </c>
      <c r="J619" s="3">
        <v>8379808</v>
      </c>
      <c r="K619" s="3">
        <v>2379808</v>
      </c>
      <c r="L619" s="4">
        <v>8379808</v>
      </c>
      <c r="M619" s="4">
        <v>2379808</v>
      </c>
      <c r="N619" s="4">
        <v>8379808</v>
      </c>
      <c r="O619" s="4">
        <v>2379808</v>
      </c>
      <c r="P619" s="4">
        <v>2379808</v>
      </c>
      <c r="Q619" s="4">
        <v>2379808</v>
      </c>
      <c r="R619" s="4">
        <v>2379808</v>
      </c>
      <c r="S619" s="4">
        <v>2379808</v>
      </c>
      <c r="T619" s="4">
        <v>2379808</v>
      </c>
      <c r="U619" s="4">
        <v>2379808</v>
      </c>
      <c r="V619" s="4">
        <v>2379808</v>
      </c>
      <c r="W619" s="4">
        <v>2379808</v>
      </c>
      <c r="X619" s="4">
        <v>2379808</v>
      </c>
      <c r="Y619" s="4">
        <v>2379808</v>
      </c>
    </row>
    <row r="620" spans="1:25" ht="19.5" customHeight="1" x14ac:dyDescent="0.25">
      <c r="A620" s="2" t="s">
        <v>1488</v>
      </c>
      <c r="B620" s="2" t="s">
        <v>54</v>
      </c>
      <c r="C620" s="2" t="s">
        <v>54</v>
      </c>
      <c r="D620" s="2" t="s">
        <v>1612</v>
      </c>
      <c r="E620" s="2" t="s">
        <v>1613</v>
      </c>
      <c r="F620" s="3">
        <v>4223696.9000000004</v>
      </c>
      <c r="G620" s="4">
        <v>4303612</v>
      </c>
      <c r="H620" s="4">
        <v>4303612</v>
      </c>
      <c r="I620" s="4">
        <v>4303612</v>
      </c>
      <c r="J620" s="4">
        <v>4303612</v>
      </c>
      <c r="K620" s="4">
        <v>4303612</v>
      </c>
      <c r="L620" s="4">
        <v>4303612</v>
      </c>
      <c r="M620" s="4">
        <v>4303612</v>
      </c>
      <c r="N620" s="4">
        <v>4303612</v>
      </c>
      <c r="O620" s="4">
        <v>4303612</v>
      </c>
      <c r="P620" s="4">
        <v>4303612</v>
      </c>
      <c r="Q620" s="4">
        <v>4303612</v>
      </c>
      <c r="R620" s="4">
        <v>4303612</v>
      </c>
      <c r="S620" s="4">
        <v>4303612</v>
      </c>
      <c r="T620" s="4">
        <v>4303612</v>
      </c>
      <c r="U620" s="4">
        <v>4303612</v>
      </c>
      <c r="V620" s="4">
        <v>4338612</v>
      </c>
      <c r="W620" s="4">
        <v>4338612</v>
      </c>
      <c r="X620" s="4">
        <v>4338612</v>
      </c>
      <c r="Y620" s="4">
        <v>4338612</v>
      </c>
    </row>
    <row r="621" spans="1:25" ht="19.5" customHeight="1" x14ac:dyDescent="0.25">
      <c r="A621" s="2" t="s">
        <v>1488</v>
      </c>
      <c r="B621" s="2" t="s">
        <v>54</v>
      </c>
      <c r="C621" s="2" t="s">
        <v>54</v>
      </c>
      <c r="D621" s="2" t="s">
        <v>1614</v>
      </c>
      <c r="E621" s="2" t="s">
        <v>1615</v>
      </c>
      <c r="F621" s="3">
        <v>1587456.5</v>
      </c>
      <c r="G621" s="3">
        <v>1500000</v>
      </c>
      <c r="H621" s="3">
        <v>1500000</v>
      </c>
      <c r="I621" s="3">
        <v>1500000</v>
      </c>
      <c r="J621" s="3">
        <v>1500000</v>
      </c>
      <c r="K621" s="3">
        <v>1500000</v>
      </c>
      <c r="L621" s="4">
        <v>1500000</v>
      </c>
      <c r="M621" s="4">
        <v>1500000</v>
      </c>
      <c r="N621" s="4">
        <v>1500000</v>
      </c>
      <c r="O621" s="4">
        <v>1500000</v>
      </c>
      <c r="P621" s="4">
        <v>1500000</v>
      </c>
      <c r="Q621" s="4">
        <v>1500000</v>
      </c>
      <c r="R621" s="4">
        <v>1500000</v>
      </c>
      <c r="S621" s="4">
        <v>1500000</v>
      </c>
      <c r="T621" s="4">
        <v>1500000</v>
      </c>
      <c r="U621" s="4">
        <v>1500000</v>
      </c>
      <c r="V621" s="4">
        <v>1500000</v>
      </c>
      <c r="W621" s="4">
        <v>1500000</v>
      </c>
      <c r="X621" s="4">
        <v>1500000</v>
      </c>
      <c r="Y621" s="4">
        <v>1500000</v>
      </c>
    </row>
    <row r="622" spans="1:25" ht="19.5" customHeight="1" x14ac:dyDescent="0.25">
      <c r="A622" s="2" t="s">
        <v>1488</v>
      </c>
      <c r="B622" s="2" t="s">
        <v>54</v>
      </c>
      <c r="C622" s="2" t="s">
        <v>54</v>
      </c>
      <c r="D622" s="2" t="s">
        <v>1616</v>
      </c>
      <c r="E622" s="2" t="s">
        <v>1553</v>
      </c>
      <c r="F622" s="3">
        <v>927275.19</v>
      </c>
      <c r="G622" s="3">
        <v>1021131</v>
      </c>
      <c r="H622" s="3">
        <v>1021131</v>
      </c>
      <c r="I622" s="3">
        <v>1021131</v>
      </c>
      <c r="J622" s="3">
        <v>1021131</v>
      </c>
      <c r="K622" s="3">
        <v>1021131</v>
      </c>
      <c r="L622" s="4">
        <v>1021131</v>
      </c>
      <c r="M622" s="4">
        <v>1021131</v>
      </c>
      <c r="N622" s="4">
        <v>1021131</v>
      </c>
      <c r="O622" s="4">
        <v>1021131</v>
      </c>
      <c r="P622" s="4">
        <v>1021131</v>
      </c>
      <c r="Q622" s="4">
        <v>1021131</v>
      </c>
      <c r="R622" s="4">
        <v>1021131</v>
      </c>
      <c r="S622" s="4">
        <v>1021131</v>
      </c>
      <c r="T622" s="4">
        <v>1021131</v>
      </c>
      <c r="U622" s="4">
        <v>1021131</v>
      </c>
      <c r="V622" s="4">
        <v>1121131</v>
      </c>
      <c r="W622" s="4">
        <v>1121131</v>
      </c>
      <c r="X622" s="4">
        <v>1121131</v>
      </c>
      <c r="Y622" s="4">
        <v>1121131</v>
      </c>
    </row>
    <row r="623" spans="1:25" ht="19.5" customHeight="1" x14ac:dyDescent="0.25">
      <c r="A623" s="2" t="s">
        <v>1488</v>
      </c>
      <c r="B623" s="2" t="s">
        <v>54</v>
      </c>
      <c r="C623" s="2" t="s">
        <v>54</v>
      </c>
      <c r="D623" s="2" t="s">
        <v>1617</v>
      </c>
      <c r="E623" s="2" t="s">
        <v>1618</v>
      </c>
      <c r="F623" s="3">
        <v>3660431.43</v>
      </c>
      <c r="G623" s="3">
        <v>3493468</v>
      </c>
      <c r="H623" s="3">
        <v>3493468</v>
      </c>
      <c r="I623" s="3">
        <v>3493468</v>
      </c>
      <c r="J623" s="3">
        <v>3493468</v>
      </c>
      <c r="K623" s="3">
        <v>3493468</v>
      </c>
      <c r="L623" s="4">
        <v>3493468</v>
      </c>
      <c r="M623" s="4">
        <v>3493468</v>
      </c>
      <c r="N623" s="4">
        <v>3493468</v>
      </c>
      <c r="O623" s="4">
        <v>3493468</v>
      </c>
      <c r="P623" s="4">
        <v>3493468</v>
      </c>
      <c r="Q623" s="4">
        <v>3493468</v>
      </c>
      <c r="R623" s="4">
        <v>3493468</v>
      </c>
      <c r="S623" s="4">
        <v>3493468</v>
      </c>
      <c r="T623" s="4">
        <v>3493468</v>
      </c>
      <c r="U623" s="4">
        <v>3493468</v>
      </c>
      <c r="V623" s="4">
        <v>3493468</v>
      </c>
      <c r="W623" s="4">
        <v>3493468</v>
      </c>
      <c r="X623" s="4">
        <v>3493468</v>
      </c>
      <c r="Y623" s="4">
        <v>3493468</v>
      </c>
    </row>
    <row r="624" spans="1:25" ht="19.5" customHeight="1" x14ac:dyDescent="0.25">
      <c r="A624" s="2" t="s">
        <v>1488</v>
      </c>
      <c r="B624" s="2" t="s">
        <v>54</v>
      </c>
      <c r="C624" s="2" t="s">
        <v>54</v>
      </c>
      <c r="D624" s="2" t="s">
        <v>1619</v>
      </c>
      <c r="E624" s="2" t="s">
        <v>1620</v>
      </c>
      <c r="F624" s="3">
        <v>3645651.99</v>
      </c>
      <c r="G624" s="3">
        <v>3672005</v>
      </c>
      <c r="H624" s="3">
        <v>3672005</v>
      </c>
      <c r="I624" s="3">
        <v>3672005</v>
      </c>
      <c r="J624" s="3">
        <v>3672005</v>
      </c>
      <c r="K624" s="3">
        <v>3672005</v>
      </c>
      <c r="L624" s="4">
        <v>3672005</v>
      </c>
      <c r="M624" s="4">
        <v>3672005</v>
      </c>
      <c r="N624" s="4">
        <v>3672005</v>
      </c>
      <c r="O624" s="4">
        <v>3672005</v>
      </c>
      <c r="P624" s="4">
        <v>3672005</v>
      </c>
      <c r="Q624" s="4">
        <v>3672005</v>
      </c>
      <c r="R624" s="4">
        <v>3672005</v>
      </c>
      <c r="S624" s="4">
        <v>3672005</v>
      </c>
      <c r="T624" s="4">
        <v>3672005</v>
      </c>
      <c r="U624" s="4">
        <v>3672005</v>
      </c>
      <c r="V624" s="4">
        <v>3672005</v>
      </c>
      <c r="W624" s="4">
        <v>3672005</v>
      </c>
      <c r="X624" s="4">
        <v>3672005</v>
      </c>
      <c r="Y624" s="4">
        <v>3672005</v>
      </c>
    </row>
    <row r="625" spans="1:25" ht="19.5" customHeight="1" x14ac:dyDescent="0.25">
      <c r="A625" s="2" t="s">
        <v>1488</v>
      </c>
      <c r="B625" s="2" t="s">
        <v>54</v>
      </c>
      <c r="C625" s="2" t="s">
        <v>54</v>
      </c>
      <c r="D625" s="2" t="s">
        <v>1621</v>
      </c>
      <c r="E625" s="2" t="s">
        <v>1622</v>
      </c>
      <c r="F625" s="3">
        <v>435797.18</v>
      </c>
      <c r="G625" s="3">
        <v>589482</v>
      </c>
      <c r="H625" s="3">
        <v>589482</v>
      </c>
      <c r="I625" s="3">
        <v>589482</v>
      </c>
      <c r="J625" s="3">
        <v>589482</v>
      </c>
      <c r="K625" s="3">
        <v>589482</v>
      </c>
      <c r="L625" s="4">
        <v>589482</v>
      </c>
      <c r="M625" s="4">
        <v>589482</v>
      </c>
      <c r="N625" s="4">
        <v>589482</v>
      </c>
      <c r="O625" s="4">
        <v>589482</v>
      </c>
      <c r="P625" s="4">
        <v>589482</v>
      </c>
      <c r="Q625" s="4">
        <v>589482</v>
      </c>
      <c r="R625" s="4">
        <v>589482</v>
      </c>
      <c r="S625" s="4">
        <v>589482</v>
      </c>
      <c r="T625" s="4">
        <v>589482</v>
      </c>
      <c r="U625" s="4">
        <v>589482</v>
      </c>
      <c r="V625" s="4">
        <v>589482</v>
      </c>
      <c r="W625" s="4">
        <v>589482</v>
      </c>
      <c r="X625" s="4">
        <v>589482</v>
      </c>
      <c r="Y625" s="4">
        <v>589482</v>
      </c>
    </row>
    <row r="626" spans="1:25" ht="19.5" customHeight="1" x14ac:dyDescent="0.25">
      <c r="A626" s="2" t="s">
        <v>1488</v>
      </c>
      <c r="B626" s="2" t="s">
        <v>54</v>
      </c>
      <c r="C626" s="2" t="s">
        <v>54</v>
      </c>
      <c r="D626" s="2" t="s">
        <v>1623</v>
      </c>
      <c r="E626" s="2" t="s">
        <v>1624</v>
      </c>
      <c r="F626" s="3">
        <v>5037731.1100000003</v>
      </c>
      <c r="G626" s="3">
        <v>5084936</v>
      </c>
      <c r="H626" s="3">
        <v>6084936</v>
      </c>
      <c r="I626" s="3">
        <v>6084936</v>
      </c>
      <c r="J626" s="3">
        <v>6084936</v>
      </c>
      <c r="K626" s="3">
        <v>6084936</v>
      </c>
      <c r="L626" s="4">
        <v>6084936</v>
      </c>
      <c r="M626" s="4">
        <v>6084936</v>
      </c>
      <c r="N626" s="4">
        <v>6084936</v>
      </c>
      <c r="O626" s="4">
        <v>6084936</v>
      </c>
      <c r="P626" s="4">
        <v>6084936</v>
      </c>
      <c r="Q626" s="4">
        <v>6084936</v>
      </c>
      <c r="R626" s="4">
        <v>6084936</v>
      </c>
      <c r="S626" s="4">
        <v>6084936</v>
      </c>
      <c r="T626" s="4">
        <v>6084936</v>
      </c>
      <c r="U626" s="4">
        <v>6084936</v>
      </c>
      <c r="V626" s="4">
        <v>6084936</v>
      </c>
      <c r="W626" s="4">
        <v>6084936</v>
      </c>
      <c r="X626" s="4">
        <v>6084936</v>
      </c>
      <c r="Y626" s="4">
        <v>6084936</v>
      </c>
    </row>
    <row r="627" spans="1:25" ht="19.5" customHeight="1" x14ac:dyDescent="0.25">
      <c r="A627" s="2" t="s">
        <v>1488</v>
      </c>
      <c r="B627" s="2" t="s">
        <v>54</v>
      </c>
      <c r="C627" s="2" t="s">
        <v>54</v>
      </c>
      <c r="D627" s="2" t="s">
        <v>1625</v>
      </c>
      <c r="E627" s="2" t="s">
        <v>1626</v>
      </c>
      <c r="F627" s="3">
        <v>2900016.23</v>
      </c>
      <c r="G627" s="3">
        <v>3282341</v>
      </c>
      <c r="H627" s="3">
        <v>2779841</v>
      </c>
      <c r="I627" s="3">
        <v>2779841</v>
      </c>
      <c r="J627" s="3">
        <v>2779841</v>
      </c>
      <c r="K627" s="3">
        <v>2779841</v>
      </c>
      <c r="L627" s="4">
        <v>2779841</v>
      </c>
      <c r="M627" s="4">
        <v>2779841</v>
      </c>
      <c r="N627" s="4">
        <v>2779841</v>
      </c>
      <c r="O627" s="4">
        <v>2779841</v>
      </c>
      <c r="P627" s="4">
        <v>2779841</v>
      </c>
      <c r="Q627" s="4">
        <v>2779841</v>
      </c>
      <c r="R627" s="4">
        <v>2779841</v>
      </c>
      <c r="S627" s="4">
        <v>2779841</v>
      </c>
      <c r="T627" s="4">
        <v>2779841</v>
      </c>
      <c r="U627" s="4">
        <v>2779841</v>
      </c>
      <c r="V627" s="4">
        <v>2779841</v>
      </c>
      <c r="W627" s="4">
        <v>2779841</v>
      </c>
      <c r="X627" s="4">
        <v>2779841</v>
      </c>
      <c r="Y627" s="4">
        <v>2779841</v>
      </c>
    </row>
    <row r="628" spans="1:25" ht="19.5" customHeight="1" x14ac:dyDescent="0.25">
      <c r="A628" s="2" t="s">
        <v>1488</v>
      </c>
      <c r="B628" s="2" t="s">
        <v>54</v>
      </c>
      <c r="C628" s="2" t="s">
        <v>54</v>
      </c>
      <c r="D628" s="2" t="s">
        <v>1627</v>
      </c>
      <c r="E628" s="2" t="s">
        <v>1628</v>
      </c>
      <c r="F628" s="3">
        <v>29510626.510000002</v>
      </c>
      <c r="G628" s="3">
        <v>39292281</v>
      </c>
      <c r="H628" s="3">
        <v>41242281</v>
      </c>
      <c r="I628" s="3">
        <v>41242281</v>
      </c>
      <c r="J628" s="3">
        <v>41242281</v>
      </c>
      <c r="K628" s="3">
        <v>41242281</v>
      </c>
      <c r="L628" s="4">
        <v>41242281</v>
      </c>
      <c r="M628" s="4">
        <v>41242281</v>
      </c>
      <c r="N628" s="4">
        <v>41242281</v>
      </c>
      <c r="O628" s="4">
        <v>41242281</v>
      </c>
      <c r="P628" s="4">
        <v>41242281</v>
      </c>
      <c r="Q628" s="4">
        <v>41242281</v>
      </c>
      <c r="R628" s="4">
        <v>41242281</v>
      </c>
      <c r="S628" s="4">
        <v>41242281</v>
      </c>
      <c r="T628" s="4">
        <v>41242281</v>
      </c>
      <c r="U628" s="4">
        <v>41242281</v>
      </c>
      <c r="V628" s="4">
        <v>41242281</v>
      </c>
      <c r="W628" s="4">
        <v>41242281</v>
      </c>
      <c r="X628" s="4">
        <v>41242281</v>
      </c>
      <c r="Y628" s="4">
        <v>41242281</v>
      </c>
    </row>
    <row r="629" spans="1:25" ht="19.5" customHeight="1" x14ac:dyDescent="0.25">
      <c r="A629" s="2" t="s">
        <v>1488</v>
      </c>
      <c r="B629" s="2" t="s">
        <v>54</v>
      </c>
      <c r="C629" s="2" t="s">
        <v>54</v>
      </c>
      <c r="D629" s="2" t="s">
        <v>1629</v>
      </c>
      <c r="E629" s="2" t="s">
        <v>1630</v>
      </c>
      <c r="F629" s="3">
        <v>3008636.58</v>
      </c>
      <c r="G629" s="3">
        <v>2686688</v>
      </c>
      <c r="H629" s="3">
        <v>2686688</v>
      </c>
      <c r="I629" s="3">
        <v>2686688</v>
      </c>
      <c r="J629" s="3">
        <v>2686688</v>
      </c>
      <c r="K629" s="3">
        <v>2686688</v>
      </c>
      <c r="L629" s="4">
        <v>2686688</v>
      </c>
      <c r="M629" s="4">
        <v>2686688</v>
      </c>
      <c r="N629" s="4">
        <v>2686688</v>
      </c>
      <c r="O629" s="4">
        <v>2686688</v>
      </c>
      <c r="P629" s="4">
        <v>2686688</v>
      </c>
      <c r="Q629" s="4">
        <v>2686688</v>
      </c>
      <c r="R629" s="4">
        <v>2686688</v>
      </c>
      <c r="S629" s="4">
        <v>2686688</v>
      </c>
      <c r="T629" s="4">
        <v>2686688</v>
      </c>
      <c r="U629" s="4">
        <v>2686688</v>
      </c>
      <c r="V629" s="4">
        <v>2686688</v>
      </c>
      <c r="W629" s="4">
        <v>2686688</v>
      </c>
      <c r="X629" s="4">
        <v>2686688</v>
      </c>
      <c r="Y629" s="4">
        <v>2686688</v>
      </c>
    </row>
    <row r="630" spans="1:25" ht="19.5" customHeight="1" x14ac:dyDescent="0.25">
      <c r="A630" s="2" t="s">
        <v>1488</v>
      </c>
      <c r="B630" s="2" t="s">
        <v>54</v>
      </c>
      <c r="C630" s="2" t="s">
        <v>54</v>
      </c>
      <c r="D630" s="2" t="s">
        <v>1631</v>
      </c>
      <c r="E630" s="2" t="s">
        <v>1632</v>
      </c>
      <c r="F630" s="3">
        <v>1200932.3400000001</v>
      </c>
      <c r="G630" s="3">
        <v>1210805</v>
      </c>
      <c r="H630" s="3">
        <v>1210805</v>
      </c>
      <c r="I630" s="3">
        <v>1210805</v>
      </c>
      <c r="J630" s="3">
        <v>1210805</v>
      </c>
      <c r="K630" s="3">
        <v>1210805</v>
      </c>
      <c r="L630" s="4">
        <v>1210805</v>
      </c>
      <c r="M630" s="4">
        <v>1210805</v>
      </c>
      <c r="N630" s="4">
        <v>1210805</v>
      </c>
      <c r="O630" s="4">
        <v>1210805</v>
      </c>
      <c r="P630" s="4">
        <v>1210805</v>
      </c>
      <c r="Q630" s="4">
        <v>1210805</v>
      </c>
      <c r="R630" s="4">
        <v>1210805</v>
      </c>
      <c r="S630" s="4">
        <v>1210805</v>
      </c>
      <c r="T630" s="4">
        <v>1210805</v>
      </c>
      <c r="U630" s="4">
        <v>1210805</v>
      </c>
      <c r="V630" s="4">
        <v>1210805</v>
      </c>
      <c r="W630" s="4">
        <v>1210805</v>
      </c>
      <c r="X630" s="4">
        <v>1210805</v>
      </c>
      <c r="Y630" s="4">
        <v>1210805</v>
      </c>
    </row>
    <row r="631" spans="1:25" ht="19.5" customHeight="1" x14ac:dyDescent="0.25">
      <c r="A631" s="2" t="s">
        <v>1488</v>
      </c>
      <c r="B631" s="2" t="s">
        <v>54</v>
      </c>
      <c r="C631" s="2" t="s">
        <v>54</v>
      </c>
      <c r="D631" s="2" t="s">
        <v>1633</v>
      </c>
      <c r="E631" s="2" t="s">
        <v>1634</v>
      </c>
      <c r="F631" s="4">
        <v>6854492.5499999998</v>
      </c>
      <c r="G631" s="3">
        <v>12137292</v>
      </c>
      <c r="H631" s="3">
        <v>17637292</v>
      </c>
      <c r="I631" s="3">
        <v>12137292</v>
      </c>
      <c r="J631" s="3">
        <v>17637292</v>
      </c>
      <c r="K631" s="3">
        <v>12137292</v>
      </c>
      <c r="L631" s="4">
        <v>17637292</v>
      </c>
      <c r="M631" s="4">
        <v>12137292</v>
      </c>
      <c r="N631" s="4">
        <v>17637292</v>
      </c>
      <c r="O631" s="4">
        <v>12137292</v>
      </c>
      <c r="P631" s="4">
        <v>17637292</v>
      </c>
      <c r="Q631" s="4">
        <v>12137292</v>
      </c>
      <c r="R631" s="4">
        <v>17637292</v>
      </c>
      <c r="S631" s="4">
        <v>12137292</v>
      </c>
      <c r="T631" s="4">
        <v>17637292</v>
      </c>
      <c r="U631" s="4">
        <v>12137292</v>
      </c>
      <c r="V631" s="4">
        <v>17637292</v>
      </c>
      <c r="W631" s="4">
        <v>12137292</v>
      </c>
      <c r="X631" s="4">
        <v>17637292</v>
      </c>
      <c r="Y631" s="4">
        <v>12137292</v>
      </c>
    </row>
    <row r="632" spans="1:25" ht="19.5" customHeight="1" x14ac:dyDescent="0.25">
      <c r="A632" s="2" t="s">
        <v>1488</v>
      </c>
      <c r="B632" s="2" t="s">
        <v>54</v>
      </c>
      <c r="C632" s="2" t="s">
        <v>54</v>
      </c>
      <c r="D632" s="2" t="s">
        <v>1635</v>
      </c>
      <c r="E632" s="2" t="s">
        <v>1636</v>
      </c>
      <c r="F632" s="3">
        <v>1287771.08</v>
      </c>
      <c r="G632" s="3">
        <v>1431954</v>
      </c>
      <c r="H632" s="3">
        <v>1431954</v>
      </c>
      <c r="I632" s="3">
        <v>1431954</v>
      </c>
      <c r="J632" s="3">
        <v>1431954</v>
      </c>
      <c r="K632" s="3">
        <v>1431954</v>
      </c>
      <c r="L632" s="4">
        <v>1431954</v>
      </c>
      <c r="M632" s="4">
        <v>1431954</v>
      </c>
      <c r="N632" s="4">
        <v>1431954</v>
      </c>
      <c r="O632" s="4">
        <v>1431954</v>
      </c>
      <c r="P632" s="4">
        <v>1431954</v>
      </c>
      <c r="Q632" s="4">
        <v>1431954</v>
      </c>
      <c r="R632" s="4">
        <v>1431954</v>
      </c>
      <c r="S632" s="4">
        <v>1431954</v>
      </c>
      <c r="T632" s="4">
        <v>1431954</v>
      </c>
      <c r="U632" s="4">
        <v>1431954</v>
      </c>
      <c r="V632" s="4">
        <v>1431954</v>
      </c>
      <c r="W632" s="4">
        <v>1431954</v>
      </c>
      <c r="X632" s="4">
        <v>1431954</v>
      </c>
      <c r="Y632" s="4">
        <v>1431954</v>
      </c>
    </row>
    <row r="633" spans="1:25" ht="19.5" customHeight="1" x14ac:dyDescent="0.25">
      <c r="A633" s="2" t="s">
        <v>1488</v>
      </c>
      <c r="B633" s="2" t="s">
        <v>54</v>
      </c>
      <c r="C633" s="2" t="s">
        <v>54</v>
      </c>
      <c r="D633" s="2" t="s">
        <v>1637</v>
      </c>
      <c r="E633" s="2" t="s">
        <v>1638</v>
      </c>
      <c r="F633" s="3">
        <v>146692</v>
      </c>
      <c r="G633" s="3">
        <v>193120</v>
      </c>
      <c r="H633" s="3">
        <v>193120</v>
      </c>
      <c r="I633" s="3">
        <v>193120</v>
      </c>
      <c r="J633" s="3">
        <v>57000</v>
      </c>
      <c r="K633" s="3">
        <v>57000</v>
      </c>
      <c r="L633" s="4">
        <v>210000</v>
      </c>
      <c r="M633" s="4">
        <v>210000</v>
      </c>
      <c r="N633" s="4">
        <v>210000</v>
      </c>
      <c r="O633" s="4">
        <v>210000</v>
      </c>
      <c r="P633" s="4">
        <v>210000</v>
      </c>
      <c r="Q633" s="4">
        <v>210000</v>
      </c>
      <c r="R633" s="4">
        <v>210000</v>
      </c>
      <c r="S633" s="4">
        <v>210000</v>
      </c>
      <c r="T633" s="4">
        <v>210000</v>
      </c>
      <c r="U633" s="4">
        <v>210000</v>
      </c>
      <c r="V633" s="4">
        <v>210000</v>
      </c>
      <c r="W633" s="4">
        <v>210000</v>
      </c>
      <c r="X633" s="4">
        <v>210000</v>
      </c>
      <c r="Y633" s="4">
        <v>210000</v>
      </c>
    </row>
    <row r="634" spans="1:25" ht="19.5" customHeight="1" x14ac:dyDescent="0.25">
      <c r="A634" s="2" t="s">
        <v>1488</v>
      </c>
      <c r="B634" s="2" t="s">
        <v>54</v>
      </c>
      <c r="C634" s="2" t="s">
        <v>54</v>
      </c>
      <c r="D634" s="2" t="s">
        <v>1639</v>
      </c>
      <c r="E634" s="2" t="s">
        <v>1640</v>
      </c>
      <c r="F634" s="3">
        <v>4250943.79</v>
      </c>
      <c r="G634" s="3">
        <v>7898480</v>
      </c>
      <c r="H634" s="3">
        <v>11148480</v>
      </c>
      <c r="I634" s="3">
        <v>7898480</v>
      </c>
      <c r="J634" s="3">
        <v>11148480</v>
      </c>
      <c r="K634" s="3">
        <v>7898480</v>
      </c>
      <c r="L634" s="4">
        <v>11148480</v>
      </c>
      <c r="M634" s="4">
        <v>7898480</v>
      </c>
      <c r="N634" s="4">
        <v>11148480</v>
      </c>
      <c r="O634" s="4">
        <v>7898480</v>
      </c>
      <c r="P634" s="4">
        <v>8148480</v>
      </c>
      <c r="Q634" s="4">
        <v>7898480</v>
      </c>
      <c r="R634" s="4">
        <v>8148480</v>
      </c>
      <c r="S634" s="4">
        <v>7898480</v>
      </c>
      <c r="T634" s="4">
        <v>8148480</v>
      </c>
      <c r="U634" s="4">
        <v>7898480</v>
      </c>
      <c r="V634" s="4">
        <v>11148480</v>
      </c>
      <c r="W634" s="4">
        <v>7898480</v>
      </c>
      <c r="X634" s="4">
        <v>11148480</v>
      </c>
      <c r="Y634" s="4">
        <v>7898480</v>
      </c>
    </row>
    <row r="635" spans="1:25" ht="19.5" customHeight="1" x14ac:dyDescent="0.25">
      <c r="A635" s="2" t="s">
        <v>1488</v>
      </c>
      <c r="B635" s="2" t="s">
        <v>54</v>
      </c>
      <c r="C635" s="2" t="s">
        <v>54</v>
      </c>
      <c r="D635" s="2" t="s">
        <v>1641</v>
      </c>
      <c r="E635" s="2" t="s">
        <v>1642</v>
      </c>
      <c r="F635" s="3">
        <v>5275695.01</v>
      </c>
      <c r="G635" s="3">
        <v>4522054</v>
      </c>
      <c r="H635" s="3">
        <v>6522054</v>
      </c>
      <c r="I635" s="3">
        <v>4522054</v>
      </c>
      <c r="J635" s="3">
        <v>6522054</v>
      </c>
      <c r="K635" s="3">
        <v>4522054</v>
      </c>
      <c r="L635" s="4">
        <v>4522054</v>
      </c>
      <c r="M635" s="4">
        <v>4522054</v>
      </c>
      <c r="N635" s="4">
        <v>4522054</v>
      </c>
      <c r="O635" s="4">
        <v>4522054</v>
      </c>
      <c r="P635" s="4">
        <v>4522054</v>
      </c>
      <c r="Q635" s="4">
        <v>4522054</v>
      </c>
      <c r="R635" s="4">
        <v>4522054</v>
      </c>
      <c r="S635" s="4">
        <v>4522054</v>
      </c>
      <c r="T635" s="4">
        <v>4522054</v>
      </c>
      <c r="U635" s="4">
        <v>4522054</v>
      </c>
      <c r="V635" s="4">
        <v>4522054</v>
      </c>
      <c r="W635" s="4">
        <v>4522054</v>
      </c>
      <c r="X635" s="4">
        <v>4522054</v>
      </c>
      <c r="Y635" s="4">
        <v>4522054</v>
      </c>
    </row>
    <row r="636" spans="1:25" ht="19.5" customHeight="1" x14ac:dyDescent="0.25">
      <c r="A636" s="2" t="s">
        <v>1488</v>
      </c>
      <c r="B636" s="2" t="s">
        <v>54</v>
      </c>
      <c r="C636" s="2" t="s">
        <v>54</v>
      </c>
      <c r="D636" s="2" t="s">
        <v>1643</v>
      </c>
      <c r="E636" s="2" t="s">
        <v>1644</v>
      </c>
      <c r="F636" s="3">
        <v>404114.25</v>
      </c>
      <c r="G636" s="3">
        <v>313760</v>
      </c>
      <c r="H636" s="3">
        <v>1313760</v>
      </c>
      <c r="I636" s="3">
        <v>1313760</v>
      </c>
      <c r="J636" s="3">
        <v>1313760</v>
      </c>
      <c r="K636" s="3">
        <v>1313760</v>
      </c>
      <c r="L636" s="4">
        <v>1313760</v>
      </c>
      <c r="M636" s="4">
        <v>1313760</v>
      </c>
      <c r="N636" s="4">
        <v>1313760</v>
      </c>
      <c r="O636" s="4">
        <v>1313760</v>
      </c>
      <c r="P636" s="4">
        <v>1313760</v>
      </c>
      <c r="Q636" s="4">
        <v>1313760</v>
      </c>
      <c r="R636" s="4">
        <v>1313760</v>
      </c>
      <c r="S636" s="4">
        <v>1313760</v>
      </c>
      <c r="T636" s="4">
        <v>1313760</v>
      </c>
      <c r="U636" s="4">
        <v>1313760</v>
      </c>
      <c r="V636" s="4">
        <v>1313760</v>
      </c>
      <c r="W636" s="4">
        <v>1313760</v>
      </c>
      <c r="X636" s="4">
        <v>1313760</v>
      </c>
      <c r="Y636" s="4">
        <v>1313760</v>
      </c>
    </row>
    <row r="637" spans="1:25" ht="19.5" customHeight="1" x14ac:dyDescent="0.25">
      <c r="A637" s="6" t="s">
        <v>1488</v>
      </c>
      <c r="B637" s="6" t="s">
        <v>54</v>
      </c>
      <c r="C637" s="6" t="s">
        <v>54</v>
      </c>
      <c r="D637" s="7" t="s">
        <v>1645</v>
      </c>
      <c r="E637" s="6" t="s">
        <v>1646</v>
      </c>
      <c r="F637" s="4">
        <v>0</v>
      </c>
      <c r="G637" s="4">
        <v>0</v>
      </c>
      <c r="H637" s="4">
        <v>0</v>
      </c>
      <c r="I637" s="4">
        <v>0</v>
      </c>
      <c r="J637" s="4">
        <v>125000</v>
      </c>
      <c r="K637" s="4">
        <v>125000</v>
      </c>
      <c r="L637" s="4">
        <v>125000</v>
      </c>
      <c r="M637" s="4">
        <v>125000</v>
      </c>
      <c r="N637" s="4">
        <v>125000</v>
      </c>
      <c r="O637" s="4">
        <v>125000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125000</v>
      </c>
      <c r="W637" s="4">
        <v>125000</v>
      </c>
      <c r="X637" s="4">
        <v>125000</v>
      </c>
      <c r="Y637" s="4">
        <v>125000</v>
      </c>
    </row>
    <row r="638" spans="1:25" ht="19.5" customHeight="1" x14ac:dyDescent="0.25">
      <c r="A638" s="2" t="s">
        <v>1488</v>
      </c>
      <c r="B638" s="2" t="s">
        <v>54</v>
      </c>
      <c r="C638" s="2" t="s">
        <v>54</v>
      </c>
      <c r="D638" s="2" t="s">
        <v>1647</v>
      </c>
      <c r="E638" s="2" t="s">
        <v>1648</v>
      </c>
      <c r="F638" s="3">
        <v>11261627.91</v>
      </c>
      <c r="G638" s="3">
        <v>11262451</v>
      </c>
      <c r="H638" s="3">
        <v>11262451</v>
      </c>
      <c r="I638" s="3">
        <v>11262451</v>
      </c>
      <c r="J638" s="3">
        <v>11262451</v>
      </c>
      <c r="K638" s="3">
        <v>11262451</v>
      </c>
      <c r="L638" s="4">
        <v>11262451</v>
      </c>
      <c r="M638" s="4">
        <v>11262451</v>
      </c>
      <c r="N638" s="4">
        <v>11262451</v>
      </c>
      <c r="O638" s="4">
        <v>11262451</v>
      </c>
      <c r="P638" s="4">
        <v>11762451</v>
      </c>
      <c r="Q638" s="4">
        <v>11762451</v>
      </c>
      <c r="R638" s="4">
        <v>11762451</v>
      </c>
      <c r="S638" s="4">
        <v>11762451</v>
      </c>
      <c r="T638" s="4">
        <v>11762451</v>
      </c>
      <c r="U638" s="4">
        <v>11762451</v>
      </c>
      <c r="V638" s="4">
        <v>11762451</v>
      </c>
      <c r="W638" s="4">
        <v>11762451</v>
      </c>
      <c r="X638" s="4">
        <v>11762451</v>
      </c>
      <c r="Y638" s="4">
        <v>11762451</v>
      </c>
    </row>
    <row r="639" spans="1:25" ht="19.5" customHeight="1" x14ac:dyDescent="0.25">
      <c r="A639" s="2" t="s">
        <v>1488</v>
      </c>
      <c r="B639" s="2" t="s">
        <v>54</v>
      </c>
      <c r="C639" s="2" t="s">
        <v>54</v>
      </c>
      <c r="D639" s="2" t="s">
        <v>1649</v>
      </c>
      <c r="E639" s="2" t="s">
        <v>1650</v>
      </c>
      <c r="F639" s="3">
        <v>1109016.1200000001</v>
      </c>
      <c r="G639" s="3">
        <v>2000000</v>
      </c>
      <c r="H639" s="3">
        <v>2000000</v>
      </c>
      <c r="I639" s="3">
        <v>2000000</v>
      </c>
      <c r="J639" s="3">
        <v>2000000</v>
      </c>
      <c r="K639" s="3">
        <v>2000000</v>
      </c>
      <c r="L639" s="4">
        <v>2000000</v>
      </c>
      <c r="M639" s="4">
        <v>2000000</v>
      </c>
      <c r="N639" s="4">
        <v>2000000</v>
      </c>
      <c r="O639" s="4">
        <v>2000000</v>
      </c>
      <c r="P639" s="4">
        <v>2000000</v>
      </c>
      <c r="Q639" s="4">
        <v>2000000</v>
      </c>
      <c r="R639" s="4">
        <v>2000000</v>
      </c>
      <c r="S639" s="4">
        <v>2000000</v>
      </c>
      <c r="T639" s="4">
        <v>2000000</v>
      </c>
      <c r="U639" s="4">
        <v>2000000</v>
      </c>
      <c r="V639" s="4">
        <v>2000000</v>
      </c>
      <c r="W639" s="4">
        <v>2000000</v>
      </c>
      <c r="X639" s="4">
        <v>2000000</v>
      </c>
      <c r="Y639" s="4">
        <v>2000000</v>
      </c>
    </row>
    <row r="640" spans="1:25" ht="19.5" customHeight="1" x14ac:dyDescent="0.25">
      <c r="A640" s="2" t="s">
        <v>1488</v>
      </c>
      <c r="B640" s="2" t="s">
        <v>54</v>
      </c>
      <c r="C640" s="2" t="s">
        <v>54</v>
      </c>
      <c r="D640" s="2" t="s">
        <v>1651</v>
      </c>
      <c r="E640" s="2" t="s">
        <v>1652</v>
      </c>
      <c r="F640" s="3">
        <v>150000</v>
      </c>
      <c r="G640" s="3">
        <v>0</v>
      </c>
      <c r="H640" s="3">
        <v>7150000</v>
      </c>
      <c r="I640" s="3">
        <v>7150000</v>
      </c>
      <c r="J640" s="3">
        <v>7150000</v>
      </c>
      <c r="K640" s="3">
        <v>7150000</v>
      </c>
      <c r="L640" s="4">
        <v>7150000</v>
      </c>
      <c r="M640" s="4">
        <v>7150000</v>
      </c>
      <c r="N640" s="4">
        <v>7150000</v>
      </c>
      <c r="O640" s="4">
        <v>7150000</v>
      </c>
      <c r="P640" s="4">
        <v>6500000</v>
      </c>
      <c r="Q640" s="4">
        <v>6500000</v>
      </c>
      <c r="R640" s="4">
        <v>6500000</v>
      </c>
      <c r="S640" s="4">
        <v>6500000</v>
      </c>
      <c r="T640" s="4">
        <v>6500000</v>
      </c>
      <c r="U640" s="4">
        <v>6500000</v>
      </c>
      <c r="V640" s="4">
        <v>6500000</v>
      </c>
      <c r="W640" s="4">
        <v>6500000</v>
      </c>
      <c r="X640" s="4">
        <v>6500000</v>
      </c>
      <c r="Y640" s="4">
        <v>6500000</v>
      </c>
    </row>
    <row r="641" spans="1:25" ht="19.5" customHeight="1" x14ac:dyDescent="0.25">
      <c r="A641" s="2" t="s">
        <v>1488</v>
      </c>
      <c r="B641" s="2" t="s">
        <v>54</v>
      </c>
      <c r="C641" s="2" t="s">
        <v>54</v>
      </c>
      <c r="D641" s="2" t="s">
        <v>1653</v>
      </c>
      <c r="E641" s="2" t="s">
        <v>1654</v>
      </c>
      <c r="F641" s="3">
        <v>20000</v>
      </c>
      <c r="G641" s="3">
        <v>50000</v>
      </c>
      <c r="H641" s="3">
        <v>50000</v>
      </c>
      <c r="I641" s="3">
        <v>50000</v>
      </c>
      <c r="J641" s="3">
        <v>50000</v>
      </c>
      <c r="K641" s="3">
        <v>50000</v>
      </c>
      <c r="L641" s="4">
        <v>50000</v>
      </c>
      <c r="M641" s="4">
        <v>50000</v>
      </c>
      <c r="N641" s="4">
        <v>50000</v>
      </c>
      <c r="O641" s="4">
        <v>50000</v>
      </c>
      <c r="P641" s="4">
        <v>50000</v>
      </c>
      <c r="Q641" s="4">
        <v>50000</v>
      </c>
      <c r="R641" s="4">
        <v>50000</v>
      </c>
      <c r="S641" s="4">
        <v>50000</v>
      </c>
      <c r="T641" s="4">
        <v>50000</v>
      </c>
      <c r="U641" s="4">
        <v>50000</v>
      </c>
      <c r="V641" s="4">
        <v>50000</v>
      </c>
      <c r="W641" s="4">
        <v>50000</v>
      </c>
      <c r="X641" s="4">
        <v>50000</v>
      </c>
      <c r="Y641" s="4">
        <v>50000</v>
      </c>
    </row>
    <row r="642" spans="1:25" ht="19.5" customHeight="1" x14ac:dyDescent="0.25">
      <c r="A642" s="2" t="s">
        <v>1488</v>
      </c>
      <c r="B642" s="2" t="s">
        <v>54</v>
      </c>
      <c r="C642" s="2" t="s">
        <v>54</v>
      </c>
      <c r="D642" s="2" t="s">
        <v>1655</v>
      </c>
      <c r="E642" s="2" t="s">
        <v>1656</v>
      </c>
      <c r="F642" s="3">
        <v>1000000</v>
      </c>
      <c r="G642" s="3">
        <v>1000000</v>
      </c>
      <c r="H642" s="3">
        <v>1000000</v>
      </c>
      <c r="I642" s="3">
        <v>1000000</v>
      </c>
      <c r="J642" s="3">
        <v>1000000</v>
      </c>
      <c r="K642" s="3">
        <v>1000000</v>
      </c>
      <c r="L642" s="4">
        <v>1000000</v>
      </c>
      <c r="M642" s="4">
        <v>1000000</v>
      </c>
      <c r="N642" s="4">
        <v>1000000</v>
      </c>
      <c r="O642" s="4">
        <v>1000000</v>
      </c>
      <c r="P642" s="4">
        <v>1000000</v>
      </c>
      <c r="Q642" s="4">
        <v>1000000</v>
      </c>
      <c r="R642" s="4">
        <v>1000000</v>
      </c>
      <c r="S642" s="4">
        <v>1000000</v>
      </c>
      <c r="T642" s="4">
        <v>1000000</v>
      </c>
      <c r="U642" s="4">
        <v>1000000</v>
      </c>
      <c r="V642" s="4">
        <v>1000000</v>
      </c>
      <c r="W642" s="4">
        <v>1000000</v>
      </c>
      <c r="X642" s="4">
        <v>1000000</v>
      </c>
      <c r="Y642" s="4">
        <v>1000000</v>
      </c>
    </row>
    <row r="643" spans="1:25" ht="19.5" customHeight="1" x14ac:dyDescent="0.25">
      <c r="A643" s="2" t="s">
        <v>1488</v>
      </c>
      <c r="B643" s="2" t="s">
        <v>54</v>
      </c>
      <c r="C643" s="2" t="s">
        <v>54</v>
      </c>
      <c r="D643" s="2" t="s">
        <v>1657</v>
      </c>
      <c r="E643" s="2" t="s">
        <v>1658</v>
      </c>
      <c r="F643" s="3">
        <v>1708039.98</v>
      </c>
      <c r="G643" s="3">
        <v>2500000</v>
      </c>
      <c r="H643" s="3">
        <v>2500000</v>
      </c>
      <c r="I643" s="3">
        <v>2500000</v>
      </c>
      <c r="J643" s="3">
        <v>2500000</v>
      </c>
      <c r="K643" s="3">
        <v>2500000</v>
      </c>
      <c r="L643" s="4">
        <v>2500000</v>
      </c>
      <c r="M643" s="4">
        <v>2500000</v>
      </c>
      <c r="N643" s="4">
        <v>2500000</v>
      </c>
      <c r="O643" s="4">
        <v>2500000</v>
      </c>
      <c r="P643" s="4">
        <v>3400000</v>
      </c>
      <c r="Q643" s="4">
        <v>3400000</v>
      </c>
      <c r="R643" s="4">
        <v>3400000</v>
      </c>
      <c r="S643" s="4">
        <v>3400000</v>
      </c>
      <c r="T643" s="4">
        <v>3400000</v>
      </c>
      <c r="U643" s="4">
        <v>3400000</v>
      </c>
      <c r="V643" s="4">
        <v>3400000</v>
      </c>
      <c r="W643" s="4">
        <v>3400000</v>
      </c>
      <c r="X643" s="4">
        <v>3400000</v>
      </c>
      <c r="Y643" s="4">
        <v>3400000</v>
      </c>
    </row>
    <row r="644" spans="1:25" ht="19.5" customHeight="1" x14ac:dyDescent="0.25">
      <c r="A644" s="2" t="s">
        <v>1488</v>
      </c>
      <c r="B644" s="2" t="s">
        <v>54</v>
      </c>
      <c r="C644" s="2" t="s">
        <v>54</v>
      </c>
      <c r="D644" s="2" t="s">
        <v>1659</v>
      </c>
      <c r="E644" s="2" t="s">
        <v>1660</v>
      </c>
      <c r="F644" s="3">
        <v>4210972.9800000004</v>
      </c>
      <c r="G644" s="4">
        <v>4246250</v>
      </c>
      <c r="H644" s="4">
        <v>4246250</v>
      </c>
      <c r="I644" s="4">
        <v>4246250</v>
      </c>
      <c r="J644" s="4">
        <v>4246250</v>
      </c>
      <c r="K644" s="4">
        <v>4246250</v>
      </c>
      <c r="L644" s="4">
        <v>4246250</v>
      </c>
      <c r="M644" s="4">
        <v>4246250</v>
      </c>
      <c r="N644" s="4">
        <v>4246250</v>
      </c>
      <c r="O644" s="4">
        <v>4246250</v>
      </c>
      <c r="P644" s="4">
        <v>4246250</v>
      </c>
      <c r="Q644" s="4">
        <v>4246250</v>
      </c>
      <c r="R644" s="4">
        <v>4246250</v>
      </c>
      <c r="S644" s="4">
        <v>4246250</v>
      </c>
      <c r="T644" s="4">
        <v>4246250</v>
      </c>
      <c r="U644" s="4">
        <v>4246250</v>
      </c>
      <c r="V644" s="4">
        <v>4246250</v>
      </c>
      <c r="W644" s="4">
        <v>4246250</v>
      </c>
      <c r="X644" s="4">
        <v>4246250</v>
      </c>
      <c r="Y644" s="4">
        <v>4246250</v>
      </c>
    </row>
    <row r="645" spans="1:25" ht="19.5" customHeight="1" x14ac:dyDescent="0.25">
      <c r="A645" s="2" t="s">
        <v>1488</v>
      </c>
      <c r="B645" s="2" t="s">
        <v>227</v>
      </c>
      <c r="C645" s="2" t="s">
        <v>1661</v>
      </c>
      <c r="D645" s="2" t="s">
        <v>1662</v>
      </c>
      <c r="E645" s="2" t="s">
        <v>1663</v>
      </c>
      <c r="F645" s="3">
        <v>28552.99</v>
      </c>
      <c r="G645" s="3">
        <v>44986</v>
      </c>
      <c r="H645" s="3">
        <v>44986</v>
      </c>
      <c r="I645" s="3">
        <v>44986</v>
      </c>
      <c r="J645" s="3">
        <v>44986</v>
      </c>
      <c r="K645" s="3">
        <v>44986</v>
      </c>
      <c r="L645" s="4">
        <v>44986</v>
      </c>
      <c r="M645" s="4">
        <v>44986</v>
      </c>
      <c r="N645" s="4">
        <v>44986</v>
      </c>
      <c r="O645" s="4">
        <v>44986</v>
      </c>
      <c r="P645" s="4">
        <v>44986</v>
      </c>
      <c r="Q645" s="4">
        <v>44986</v>
      </c>
      <c r="R645" s="4">
        <v>44986</v>
      </c>
      <c r="S645" s="4">
        <v>44986</v>
      </c>
      <c r="T645" s="4">
        <v>44986</v>
      </c>
      <c r="U645" s="4">
        <v>44986</v>
      </c>
      <c r="V645" s="4">
        <v>44986</v>
      </c>
      <c r="W645" s="4">
        <v>44986</v>
      </c>
      <c r="X645" s="4">
        <v>44986</v>
      </c>
      <c r="Y645" s="4">
        <v>44986</v>
      </c>
    </row>
    <row r="646" spans="1:25" ht="19.5" customHeight="1" x14ac:dyDescent="0.25">
      <c r="A646" s="2" t="s">
        <v>1488</v>
      </c>
      <c r="B646" s="2" t="s">
        <v>227</v>
      </c>
      <c r="C646" s="2" t="s">
        <v>1664</v>
      </c>
      <c r="D646" s="2" t="s">
        <v>1665</v>
      </c>
      <c r="E646" s="2" t="s">
        <v>1666</v>
      </c>
      <c r="F646" s="3">
        <v>0</v>
      </c>
      <c r="G646" s="3">
        <v>20000</v>
      </c>
      <c r="H646" s="3">
        <v>20000</v>
      </c>
      <c r="I646" s="3">
        <v>20000</v>
      </c>
      <c r="J646" s="3">
        <v>20000</v>
      </c>
      <c r="K646" s="3">
        <v>20000</v>
      </c>
      <c r="L646" s="4">
        <v>20000</v>
      </c>
      <c r="M646" s="4">
        <v>20000</v>
      </c>
      <c r="N646" s="4">
        <v>20000</v>
      </c>
      <c r="O646" s="4">
        <v>20000</v>
      </c>
      <c r="P646" s="4">
        <v>20000</v>
      </c>
      <c r="Q646" s="4">
        <v>20000</v>
      </c>
      <c r="R646" s="4">
        <v>20000</v>
      </c>
      <c r="S646" s="4">
        <v>20000</v>
      </c>
      <c r="T646" s="4">
        <v>20000</v>
      </c>
      <c r="U646" s="4">
        <v>20000</v>
      </c>
      <c r="V646" s="4">
        <v>20000</v>
      </c>
      <c r="W646" s="4">
        <v>20000</v>
      </c>
      <c r="X646" s="4">
        <v>20000</v>
      </c>
      <c r="Y646" s="4">
        <v>20000</v>
      </c>
    </row>
    <row r="647" spans="1:25" ht="19.5" customHeight="1" x14ac:dyDescent="0.25">
      <c r="A647" s="2" t="s">
        <v>1488</v>
      </c>
      <c r="B647" s="2" t="s">
        <v>1667</v>
      </c>
      <c r="C647" s="2" t="s">
        <v>1668</v>
      </c>
      <c r="D647" s="2" t="s">
        <v>1669</v>
      </c>
      <c r="E647" s="2" t="s">
        <v>1670</v>
      </c>
      <c r="F647" s="3">
        <v>75968.2</v>
      </c>
      <c r="G647" s="3">
        <v>200000</v>
      </c>
      <c r="H647" s="3">
        <v>200000</v>
      </c>
      <c r="I647" s="3">
        <v>200000</v>
      </c>
      <c r="J647" s="3">
        <v>200000</v>
      </c>
      <c r="K647" s="3">
        <v>200000</v>
      </c>
      <c r="L647" s="4">
        <v>200000</v>
      </c>
      <c r="M647" s="4">
        <v>200000</v>
      </c>
      <c r="N647" s="4">
        <v>200000</v>
      </c>
      <c r="O647" s="4">
        <v>200000</v>
      </c>
      <c r="P647" s="4">
        <v>200000</v>
      </c>
      <c r="Q647" s="4">
        <v>200000</v>
      </c>
      <c r="R647" s="4">
        <v>200000</v>
      </c>
      <c r="S647" s="4">
        <v>200000</v>
      </c>
      <c r="T647" s="4">
        <v>200000</v>
      </c>
      <c r="U647" s="4">
        <v>200000</v>
      </c>
      <c r="V647" s="4">
        <v>200000</v>
      </c>
      <c r="W647" s="4">
        <v>200000</v>
      </c>
      <c r="X647" s="4">
        <v>200000</v>
      </c>
      <c r="Y647" s="4">
        <v>200000</v>
      </c>
    </row>
    <row r="648" spans="1:25" ht="19.5" customHeight="1" x14ac:dyDescent="0.25">
      <c r="A648" s="2" t="s">
        <v>1488</v>
      </c>
      <c r="B648" s="2" t="s">
        <v>243</v>
      </c>
      <c r="C648" s="2" t="s">
        <v>1671</v>
      </c>
      <c r="D648" s="2" t="s">
        <v>1672</v>
      </c>
      <c r="E648" s="2" t="s">
        <v>1673</v>
      </c>
      <c r="F648" s="3">
        <v>1828896.63</v>
      </c>
      <c r="G648" s="3">
        <v>5000000</v>
      </c>
      <c r="H648" s="3">
        <v>5000000</v>
      </c>
      <c r="I648" s="3">
        <v>5000000</v>
      </c>
      <c r="J648" s="3">
        <v>5000000</v>
      </c>
      <c r="K648" s="3">
        <v>5000000</v>
      </c>
      <c r="L648" s="4">
        <v>5000000</v>
      </c>
      <c r="M648" s="4">
        <v>5000000</v>
      </c>
      <c r="N648" s="4">
        <v>5000000</v>
      </c>
      <c r="O648" s="4">
        <v>5000000</v>
      </c>
      <c r="P648" s="4">
        <v>5000000</v>
      </c>
      <c r="Q648" s="4">
        <v>5000000</v>
      </c>
      <c r="R648" s="4">
        <v>5000000</v>
      </c>
      <c r="S648" s="4">
        <v>5000000</v>
      </c>
      <c r="T648" s="4">
        <v>5000000</v>
      </c>
      <c r="U648" s="4">
        <v>5000000</v>
      </c>
      <c r="V648" s="4">
        <v>5000000</v>
      </c>
      <c r="W648" s="4">
        <v>5000000</v>
      </c>
      <c r="X648" s="4">
        <v>5000000</v>
      </c>
      <c r="Y648" s="4">
        <v>5000000</v>
      </c>
    </row>
    <row r="649" spans="1:25" ht="19.5" customHeight="1" x14ac:dyDescent="0.25">
      <c r="A649" s="2" t="s">
        <v>1488</v>
      </c>
      <c r="B649" s="2" t="s">
        <v>243</v>
      </c>
      <c r="C649" s="2" t="s">
        <v>1674</v>
      </c>
      <c r="D649" s="2" t="s">
        <v>1675</v>
      </c>
      <c r="E649" s="2" t="s">
        <v>1676</v>
      </c>
      <c r="F649" s="3">
        <v>26678822.93</v>
      </c>
      <c r="G649" s="3">
        <v>29500000</v>
      </c>
      <c r="H649" s="3">
        <v>29750000</v>
      </c>
      <c r="I649" s="3">
        <v>29750000</v>
      </c>
      <c r="J649" s="3">
        <v>29750000</v>
      </c>
      <c r="K649" s="3">
        <v>29750000</v>
      </c>
      <c r="L649" s="4">
        <v>29750000</v>
      </c>
      <c r="M649" s="4">
        <v>29750000</v>
      </c>
      <c r="N649" s="4">
        <v>29750000</v>
      </c>
      <c r="O649" s="4">
        <v>29750000</v>
      </c>
      <c r="P649" s="4">
        <v>29750000</v>
      </c>
      <c r="Q649" s="4">
        <v>29750000</v>
      </c>
      <c r="R649" s="4">
        <v>29750000</v>
      </c>
      <c r="S649" s="4">
        <v>29750000</v>
      </c>
      <c r="T649" s="4">
        <v>29750000</v>
      </c>
      <c r="U649" s="4">
        <v>29750000</v>
      </c>
      <c r="V649" s="4">
        <v>29750000</v>
      </c>
      <c r="W649" s="4">
        <v>29750000</v>
      </c>
      <c r="X649" s="4">
        <v>29750000</v>
      </c>
      <c r="Y649" s="4">
        <v>29750000</v>
      </c>
    </row>
    <row r="650" spans="1:25" ht="19.5" customHeight="1" x14ac:dyDescent="0.25">
      <c r="A650" s="2" t="s">
        <v>1677</v>
      </c>
      <c r="B650" s="2" t="s">
        <v>16</v>
      </c>
      <c r="C650" s="2" t="s">
        <v>1678</v>
      </c>
      <c r="D650" s="8" t="s">
        <v>1679</v>
      </c>
      <c r="E650" s="2" t="s">
        <v>1680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4">
        <v>0</v>
      </c>
      <c r="M650" s="4">
        <v>0</v>
      </c>
      <c r="N650" s="4">
        <v>0</v>
      </c>
      <c r="O650" s="4">
        <v>0</v>
      </c>
      <c r="P650" s="4">
        <v>0</v>
      </c>
      <c r="Q650" s="4">
        <v>0</v>
      </c>
      <c r="R650" s="4">
        <v>11000000</v>
      </c>
      <c r="S650" s="4">
        <v>12000000</v>
      </c>
      <c r="T650" s="4">
        <v>11000000</v>
      </c>
      <c r="U650" s="4">
        <v>12000000</v>
      </c>
      <c r="V650" s="4">
        <v>11000000</v>
      </c>
      <c r="W650" s="4">
        <v>12000000</v>
      </c>
      <c r="X650" s="4">
        <v>11000000</v>
      </c>
      <c r="Y650" s="4">
        <v>12000000</v>
      </c>
    </row>
    <row r="651" spans="1:25" ht="19.5" customHeight="1" x14ac:dyDescent="0.25">
      <c r="A651" s="2" t="s">
        <v>1677</v>
      </c>
      <c r="B651" s="2" t="s">
        <v>54</v>
      </c>
      <c r="C651" s="2" t="s">
        <v>54</v>
      </c>
      <c r="D651" s="2" t="s">
        <v>1681</v>
      </c>
      <c r="E651" s="2" t="s">
        <v>1682</v>
      </c>
      <c r="F651" s="3">
        <v>65628.210000000006</v>
      </c>
      <c r="G651" s="3">
        <v>25000</v>
      </c>
      <c r="H651" s="3">
        <v>0</v>
      </c>
      <c r="I651" s="3">
        <v>0</v>
      </c>
      <c r="J651" s="3">
        <v>0</v>
      </c>
      <c r="K651" s="3">
        <v>0</v>
      </c>
      <c r="L651" s="4">
        <v>0</v>
      </c>
      <c r="M651" s="4">
        <v>0</v>
      </c>
      <c r="N651" s="4">
        <v>0</v>
      </c>
      <c r="O651" s="4">
        <v>0</v>
      </c>
      <c r="P651" s="4">
        <v>150000</v>
      </c>
      <c r="Q651" s="4">
        <v>150000</v>
      </c>
      <c r="R651" s="4">
        <v>150000</v>
      </c>
      <c r="S651" s="4">
        <v>150000</v>
      </c>
      <c r="T651" s="4">
        <v>150000</v>
      </c>
      <c r="U651" s="4">
        <v>150000</v>
      </c>
      <c r="V651" s="4">
        <v>150000</v>
      </c>
      <c r="W651" s="4">
        <v>150000</v>
      </c>
      <c r="X651" s="4">
        <v>150000</v>
      </c>
      <c r="Y651" s="4">
        <v>150000</v>
      </c>
    </row>
    <row r="652" spans="1:25" ht="19.5" customHeight="1" x14ac:dyDescent="0.25">
      <c r="A652" s="2" t="s">
        <v>1677</v>
      </c>
      <c r="B652" s="2" t="s">
        <v>54</v>
      </c>
      <c r="C652" s="2" t="s">
        <v>54</v>
      </c>
      <c r="D652" s="2" t="s">
        <v>1683</v>
      </c>
      <c r="E652" s="2" t="s">
        <v>1684</v>
      </c>
      <c r="F652" s="3">
        <v>1322880.69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4">
        <v>0</v>
      </c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</row>
    <row r="653" spans="1:25" ht="19.5" customHeight="1" x14ac:dyDescent="0.25">
      <c r="A653" s="2" t="s">
        <v>1677</v>
      </c>
      <c r="B653" s="2" t="s">
        <v>54</v>
      </c>
      <c r="C653" s="2" t="s">
        <v>54</v>
      </c>
      <c r="D653" s="2" t="s">
        <v>1685</v>
      </c>
      <c r="E653" s="2" t="s">
        <v>1684</v>
      </c>
      <c r="F653" s="3">
        <v>0</v>
      </c>
      <c r="G653" s="3">
        <v>0</v>
      </c>
      <c r="H653" s="3">
        <v>7362778</v>
      </c>
      <c r="I653" s="3">
        <v>7362778</v>
      </c>
      <c r="J653" s="3">
        <v>7362778</v>
      </c>
      <c r="K653" s="3">
        <v>7362778</v>
      </c>
      <c r="L653" s="4">
        <v>7362778</v>
      </c>
      <c r="M653" s="4">
        <v>7362778</v>
      </c>
      <c r="N653" s="4">
        <v>7362778</v>
      </c>
      <c r="O653" s="4">
        <v>7362778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</row>
    <row r="654" spans="1:25" ht="19.5" customHeight="1" x14ac:dyDescent="0.25">
      <c r="A654" s="2" t="s">
        <v>1677</v>
      </c>
      <c r="B654" s="2" t="s">
        <v>54</v>
      </c>
      <c r="C654" s="2" t="s">
        <v>54</v>
      </c>
      <c r="D654" s="2" t="s">
        <v>1686</v>
      </c>
      <c r="E654" s="2" t="s">
        <v>1687</v>
      </c>
      <c r="F654" s="3">
        <v>1927300.09</v>
      </c>
      <c r="G654" s="3">
        <v>1248007</v>
      </c>
      <c r="H654" s="3">
        <v>2000000</v>
      </c>
      <c r="I654" s="3">
        <v>2000000</v>
      </c>
      <c r="J654" s="3">
        <v>2000000</v>
      </c>
      <c r="K654" s="3">
        <v>2000000</v>
      </c>
      <c r="L654" s="4">
        <v>2000000</v>
      </c>
      <c r="M654" s="4">
        <v>2000000</v>
      </c>
      <c r="N654" s="4">
        <v>2000000</v>
      </c>
      <c r="O654" s="4">
        <v>2000000</v>
      </c>
      <c r="P654" s="4">
        <v>2000000</v>
      </c>
      <c r="Q654" s="4">
        <v>2000000</v>
      </c>
      <c r="R654" s="4">
        <v>2000000</v>
      </c>
      <c r="S654" s="4">
        <v>2000000</v>
      </c>
      <c r="T654" s="4">
        <v>2000000</v>
      </c>
      <c r="U654" s="4">
        <v>2000000</v>
      </c>
      <c r="V654" s="4">
        <v>2000000</v>
      </c>
      <c r="W654" s="4">
        <v>2000000</v>
      </c>
      <c r="X654" s="4">
        <v>2000000</v>
      </c>
      <c r="Y654" s="4">
        <v>2000000</v>
      </c>
    </row>
    <row r="655" spans="1:25" ht="19.5" customHeight="1" x14ac:dyDescent="0.25">
      <c r="A655" s="2" t="s">
        <v>1677</v>
      </c>
      <c r="B655" s="2" t="s">
        <v>54</v>
      </c>
      <c r="C655" s="2" t="s">
        <v>54</v>
      </c>
      <c r="D655" s="2" t="s">
        <v>1688</v>
      </c>
      <c r="E655" s="2" t="s">
        <v>1689</v>
      </c>
      <c r="F655" s="3">
        <v>5746673.3300000001</v>
      </c>
      <c r="G655" s="3">
        <v>5434360</v>
      </c>
      <c r="H655" s="3">
        <v>6419687</v>
      </c>
      <c r="I655" s="3">
        <v>6419687</v>
      </c>
      <c r="J655" s="3">
        <v>6419687</v>
      </c>
      <c r="K655" s="3">
        <v>7404687</v>
      </c>
      <c r="L655" s="4">
        <v>6419687</v>
      </c>
      <c r="M655" s="4">
        <v>7404687</v>
      </c>
      <c r="N655" s="4">
        <v>6419687</v>
      </c>
      <c r="O655" s="4">
        <v>7404687</v>
      </c>
      <c r="P655" s="4">
        <v>6419687</v>
      </c>
      <c r="Q655" s="4">
        <v>7404687</v>
      </c>
      <c r="R655" s="4">
        <v>6419687</v>
      </c>
      <c r="S655" s="4">
        <v>7404687</v>
      </c>
      <c r="T655" s="4">
        <v>6419687</v>
      </c>
      <c r="U655" s="4">
        <v>7404687</v>
      </c>
      <c r="V655" s="4">
        <v>6419687</v>
      </c>
      <c r="W655" s="4">
        <v>7404687</v>
      </c>
      <c r="X655" s="4">
        <v>6419687</v>
      </c>
      <c r="Y655" s="4">
        <v>7404687</v>
      </c>
    </row>
    <row r="656" spans="1:25" ht="19.5" customHeight="1" x14ac:dyDescent="0.25">
      <c r="A656" s="2" t="s">
        <v>1690</v>
      </c>
      <c r="B656" s="2" t="s">
        <v>16</v>
      </c>
      <c r="C656" s="2" t="s">
        <v>1691</v>
      </c>
      <c r="D656" s="2" t="s">
        <v>1692</v>
      </c>
      <c r="E656" s="2" t="s">
        <v>1693</v>
      </c>
      <c r="F656" s="3">
        <v>25630.1</v>
      </c>
      <c r="G656" s="3">
        <v>226500</v>
      </c>
      <c r="H656" s="3">
        <v>226500</v>
      </c>
      <c r="I656" s="3">
        <v>226500</v>
      </c>
      <c r="J656" s="3">
        <v>226500</v>
      </c>
      <c r="K656" s="3">
        <v>226500</v>
      </c>
      <c r="L656" s="4">
        <v>226500</v>
      </c>
      <c r="M656" s="4">
        <v>226500</v>
      </c>
      <c r="N656" s="4">
        <v>226500</v>
      </c>
      <c r="O656" s="4">
        <v>226500</v>
      </c>
      <c r="P656" s="4">
        <v>226500</v>
      </c>
      <c r="Q656" s="4">
        <v>226500</v>
      </c>
      <c r="R656" s="4">
        <v>226500</v>
      </c>
      <c r="S656" s="4">
        <v>226500</v>
      </c>
      <c r="T656" s="4">
        <v>226500</v>
      </c>
      <c r="U656" s="4">
        <v>226500</v>
      </c>
      <c r="V656" s="4">
        <v>226500</v>
      </c>
      <c r="W656" s="4">
        <v>226500</v>
      </c>
      <c r="X656" s="4">
        <v>226500</v>
      </c>
      <c r="Y656" s="4">
        <v>226500</v>
      </c>
    </row>
    <row r="657" spans="1:25" ht="19.5" customHeight="1" x14ac:dyDescent="0.25">
      <c r="A657" s="2" t="s">
        <v>1690</v>
      </c>
      <c r="B657" s="2" t="s">
        <v>16</v>
      </c>
      <c r="C657" s="2" t="s">
        <v>1694</v>
      </c>
      <c r="D657" s="2" t="s">
        <v>1695</v>
      </c>
      <c r="E657" s="2" t="s">
        <v>1696</v>
      </c>
      <c r="F657" s="3">
        <v>470071.09</v>
      </c>
      <c r="G657" s="3">
        <v>562000</v>
      </c>
      <c r="H657" s="3">
        <v>665000</v>
      </c>
      <c r="I657" s="3">
        <v>590000</v>
      </c>
      <c r="J657" s="3">
        <v>665000</v>
      </c>
      <c r="K657" s="3">
        <v>590000</v>
      </c>
      <c r="L657" s="4">
        <v>665000</v>
      </c>
      <c r="M657" s="4">
        <v>590000</v>
      </c>
      <c r="N657" s="4">
        <v>665000</v>
      </c>
      <c r="O657" s="4">
        <v>590000</v>
      </c>
      <c r="P657" s="4">
        <v>915000</v>
      </c>
      <c r="Q657" s="4">
        <v>840000</v>
      </c>
      <c r="R657" s="4">
        <v>915000</v>
      </c>
      <c r="S657" s="4">
        <v>840000</v>
      </c>
      <c r="T657" s="4">
        <v>915000</v>
      </c>
      <c r="U657" s="4">
        <v>840000</v>
      </c>
      <c r="V657" s="4">
        <v>915000</v>
      </c>
      <c r="W657" s="4">
        <v>840000</v>
      </c>
      <c r="X657" s="4">
        <v>915000</v>
      </c>
      <c r="Y657" s="4">
        <v>840000</v>
      </c>
    </row>
    <row r="658" spans="1:25" ht="19.5" customHeight="1" x14ac:dyDescent="0.25">
      <c r="A658" s="2" t="s">
        <v>1690</v>
      </c>
      <c r="B658" s="2" t="s">
        <v>16</v>
      </c>
      <c r="C658" s="2" t="s">
        <v>1697</v>
      </c>
      <c r="D658" s="2" t="s">
        <v>1698</v>
      </c>
      <c r="E658" s="2" t="s">
        <v>1699</v>
      </c>
      <c r="F658" s="3">
        <v>10448610.460000001</v>
      </c>
      <c r="G658" s="3">
        <v>9387655</v>
      </c>
      <c r="H658" s="3">
        <v>1875000</v>
      </c>
      <c r="I658" s="3">
        <v>1875000</v>
      </c>
      <c r="J658" s="3">
        <v>1875000</v>
      </c>
      <c r="K658" s="3">
        <v>1875000</v>
      </c>
      <c r="L658" s="4">
        <v>1875000</v>
      </c>
      <c r="M658" s="4">
        <v>1875000</v>
      </c>
      <c r="N658" s="4">
        <v>1875000</v>
      </c>
      <c r="O658" s="4">
        <v>1875000</v>
      </c>
      <c r="P658" s="4">
        <v>1875000</v>
      </c>
      <c r="Q658" s="4">
        <v>1875000</v>
      </c>
      <c r="R658" s="4">
        <v>1875000</v>
      </c>
      <c r="S658" s="4">
        <v>1875000</v>
      </c>
      <c r="T658" s="4">
        <v>1875000</v>
      </c>
      <c r="U658" s="4">
        <v>1875000</v>
      </c>
      <c r="V658" s="4">
        <v>1875000</v>
      </c>
      <c r="W658" s="4">
        <v>1875000</v>
      </c>
      <c r="X658" s="4">
        <v>1875000</v>
      </c>
      <c r="Y658" s="4">
        <v>1875000</v>
      </c>
    </row>
    <row r="659" spans="1:25" ht="19.5" customHeight="1" x14ac:dyDescent="0.25">
      <c r="A659" s="2" t="s">
        <v>1690</v>
      </c>
      <c r="B659" s="2" t="s">
        <v>16</v>
      </c>
      <c r="C659" s="2" t="s">
        <v>1700</v>
      </c>
      <c r="D659" s="2" t="s">
        <v>1701</v>
      </c>
      <c r="E659" s="2" t="s">
        <v>1702</v>
      </c>
      <c r="F659" s="3">
        <v>1692873.73</v>
      </c>
      <c r="G659" s="3">
        <v>2035000</v>
      </c>
      <c r="H659" s="3">
        <v>2035000</v>
      </c>
      <c r="I659" s="3">
        <v>2035000</v>
      </c>
      <c r="J659" s="3">
        <v>2035000</v>
      </c>
      <c r="K659" s="3">
        <v>2035000</v>
      </c>
      <c r="L659" s="4">
        <v>2035000</v>
      </c>
      <c r="M659" s="4">
        <v>2035000</v>
      </c>
      <c r="N659" s="4">
        <v>2035000</v>
      </c>
      <c r="O659" s="4">
        <v>2035000</v>
      </c>
      <c r="P659" s="4">
        <v>2035000</v>
      </c>
      <c r="Q659" s="4">
        <v>2035000</v>
      </c>
      <c r="R659" s="4">
        <v>2035000</v>
      </c>
      <c r="S659" s="4">
        <v>2035000</v>
      </c>
      <c r="T659" s="4">
        <v>2035000</v>
      </c>
      <c r="U659" s="4">
        <v>2035000</v>
      </c>
      <c r="V659" s="4">
        <v>2035000</v>
      </c>
      <c r="W659" s="4">
        <v>2035000</v>
      </c>
      <c r="X659" s="4">
        <v>2035000</v>
      </c>
      <c r="Y659" s="4">
        <v>2035000</v>
      </c>
    </row>
    <row r="660" spans="1:25" ht="19.5" customHeight="1" x14ac:dyDescent="0.25">
      <c r="A660" s="2" t="s">
        <v>1690</v>
      </c>
      <c r="B660" s="2" t="s">
        <v>16</v>
      </c>
      <c r="C660" s="2" t="s">
        <v>1703</v>
      </c>
      <c r="D660" s="2" t="s">
        <v>1704</v>
      </c>
      <c r="E660" s="2" t="s">
        <v>1705</v>
      </c>
      <c r="F660" s="3">
        <v>528764.81999999995</v>
      </c>
      <c r="G660" s="3">
        <v>550000</v>
      </c>
      <c r="H660" s="3">
        <v>550000</v>
      </c>
      <c r="I660" s="3">
        <v>550000</v>
      </c>
      <c r="J660" s="3">
        <v>550000</v>
      </c>
      <c r="K660" s="3">
        <v>550000</v>
      </c>
      <c r="L660" s="4">
        <v>550000</v>
      </c>
      <c r="M660" s="4">
        <v>550000</v>
      </c>
      <c r="N660" s="4">
        <v>550000</v>
      </c>
      <c r="O660" s="4">
        <v>550000</v>
      </c>
      <c r="P660" s="4">
        <v>550000</v>
      </c>
      <c r="Q660" s="4">
        <v>550000</v>
      </c>
      <c r="R660" s="4">
        <v>550000</v>
      </c>
      <c r="S660" s="4">
        <v>550000</v>
      </c>
      <c r="T660" s="4">
        <v>550000</v>
      </c>
      <c r="U660" s="4">
        <v>550000</v>
      </c>
      <c r="V660" s="4">
        <v>550000</v>
      </c>
      <c r="W660" s="4">
        <v>550000</v>
      </c>
      <c r="X660" s="4">
        <v>550000</v>
      </c>
      <c r="Y660" s="4">
        <v>550000</v>
      </c>
    </row>
    <row r="661" spans="1:25" ht="19.5" customHeight="1" x14ac:dyDescent="0.25">
      <c r="A661" s="2" t="s">
        <v>1690</v>
      </c>
      <c r="B661" s="2" t="s">
        <v>16</v>
      </c>
      <c r="C661" s="2" t="s">
        <v>1703</v>
      </c>
      <c r="D661" s="2" t="s">
        <v>1706</v>
      </c>
      <c r="E661" s="2" t="s">
        <v>1707</v>
      </c>
      <c r="F661" s="3">
        <v>1081995.6499999999</v>
      </c>
      <c r="G661" s="3">
        <v>1550000</v>
      </c>
      <c r="H661" s="3">
        <v>1550000</v>
      </c>
      <c r="I661" s="3">
        <v>1550000</v>
      </c>
      <c r="J661" s="3">
        <v>1550000</v>
      </c>
      <c r="K661" s="3">
        <v>1550000</v>
      </c>
      <c r="L661" s="4">
        <v>1550000</v>
      </c>
      <c r="M661" s="4">
        <v>1550000</v>
      </c>
      <c r="N661" s="4">
        <v>1550000</v>
      </c>
      <c r="O661" s="4">
        <v>1550000</v>
      </c>
      <c r="P661" s="4">
        <v>1550000</v>
      </c>
      <c r="Q661" s="4">
        <v>1550000</v>
      </c>
      <c r="R661" s="4">
        <v>1550000</v>
      </c>
      <c r="S661" s="4">
        <v>1550000</v>
      </c>
      <c r="T661" s="4">
        <v>1550000</v>
      </c>
      <c r="U661" s="4">
        <v>1550000</v>
      </c>
      <c r="V661" s="4">
        <v>1550000</v>
      </c>
      <c r="W661" s="4">
        <v>1550000</v>
      </c>
      <c r="X661" s="4">
        <v>1550000</v>
      </c>
      <c r="Y661" s="4">
        <v>1550000</v>
      </c>
    </row>
    <row r="662" spans="1:25" ht="19.5" customHeight="1" x14ac:dyDescent="0.25">
      <c r="A662" s="2" t="s">
        <v>1690</v>
      </c>
      <c r="B662" s="2" t="s">
        <v>16</v>
      </c>
      <c r="C662" s="2" t="s">
        <v>35</v>
      </c>
      <c r="D662" s="2" t="s">
        <v>1708</v>
      </c>
      <c r="E662" s="2" t="s">
        <v>1709</v>
      </c>
      <c r="F662" s="3">
        <v>32896631.469999999</v>
      </c>
      <c r="G662" s="3">
        <v>108975138</v>
      </c>
      <c r="H662" s="3">
        <v>29000000</v>
      </c>
      <c r="I662" s="3">
        <v>0</v>
      </c>
      <c r="J662" s="3">
        <v>29000000</v>
      </c>
      <c r="K662" s="3">
        <v>0</v>
      </c>
      <c r="L662" s="4">
        <v>29000000</v>
      </c>
      <c r="M662" s="4">
        <v>0</v>
      </c>
      <c r="N662" s="4">
        <v>29000000</v>
      </c>
      <c r="O662" s="4">
        <v>0</v>
      </c>
      <c r="P662" s="4">
        <v>29000000</v>
      </c>
      <c r="Q662" s="4">
        <v>0</v>
      </c>
      <c r="R662" s="4">
        <v>29000000</v>
      </c>
      <c r="S662" s="4">
        <v>0</v>
      </c>
      <c r="T662" s="4">
        <v>29000000</v>
      </c>
      <c r="U662" s="4">
        <v>0</v>
      </c>
      <c r="V662" s="4">
        <v>29000000</v>
      </c>
      <c r="W662" s="4">
        <v>0</v>
      </c>
      <c r="X662" s="4">
        <v>29000000</v>
      </c>
      <c r="Y662" s="4">
        <v>0</v>
      </c>
    </row>
    <row r="663" spans="1:25" ht="19.5" customHeight="1" x14ac:dyDescent="0.25">
      <c r="A663" s="2" t="s">
        <v>1690</v>
      </c>
      <c r="B663" s="2" t="s">
        <v>16</v>
      </c>
      <c r="C663" s="2" t="s">
        <v>1710</v>
      </c>
      <c r="D663" s="2" t="s">
        <v>1711</v>
      </c>
      <c r="E663" s="2" t="s">
        <v>1712</v>
      </c>
      <c r="F663" s="3">
        <v>4145523.41</v>
      </c>
      <c r="G663" s="3">
        <v>6000000</v>
      </c>
      <c r="H663" s="3">
        <v>4000000</v>
      </c>
      <c r="I663" s="3">
        <v>4000000</v>
      </c>
      <c r="J663" s="3">
        <v>4000000</v>
      </c>
      <c r="K663" s="3">
        <v>4000000</v>
      </c>
      <c r="L663" s="4">
        <v>4000000</v>
      </c>
      <c r="M663" s="4">
        <v>4000000</v>
      </c>
      <c r="N663" s="4">
        <v>4000000</v>
      </c>
      <c r="O663" s="4">
        <v>4000000</v>
      </c>
      <c r="P663" s="4">
        <v>4000000</v>
      </c>
      <c r="Q663" s="4">
        <v>4000000</v>
      </c>
      <c r="R663" s="4">
        <v>4000000</v>
      </c>
      <c r="S663" s="4">
        <v>4000000</v>
      </c>
      <c r="T663" s="4">
        <v>4000000</v>
      </c>
      <c r="U663" s="4">
        <v>4000000</v>
      </c>
      <c r="V663" s="4">
        <v>4000000</v>
      </c>
      <c r="W663" s="4">
        <v>4000000</v>
      </c>
      <c r="X663" s="4">
        <v>4000000</v>
      </c>
      <c r="Y663" s="4">
        <v>4000000</v>
      </c>
    </row>
    <row r="664" spans="1:25" ht="19.5" customHeight="1" x14ac:dyDescent="0.25">
      <c r="A664" s="2" t="s">
        <v>1690</v>
      </c>
      <c r="B664" s="2" t="s">
        <v>16</v>
      </c>
      <c r="C664" s="2" t="s">
        <v>1713</v>
      </c>
      <c r="D664" s="2" t="s">
        <v>1714</v>
      </c>
      <c r="E664" s="2" t="s">
        <v>1715</v>
      </c>
      <c r="F664" s="3">
        <v>422800.69</v>
      </c>
      <c r="G664" s="3">
        <v>850946</v>
      </c>
      <c r="H664" s="3">
        <v>850946</v>
      </c>
      <c r="I664" s="3">
        <v>850946</v>
      </c>
      <c r="J664" s="3">
        <v>850946</v>
      </c>
      <c r="K664" s="3">
        <v>850946</v>
      </c>
      <c r="L664" s="4">
        <v>850946</v>
      </c>
      <c r="M664" s="4">
        <v>850946</v>
      </c>
      <c r="N664" s="4">
        <v>850946</v>
      </c>
      <c r="O664" s="4">
        <v>850946</v>
      </c>
      <c r="P664" s="4">
        <v>850946</v>
      </c>
      <c r="Q664" s="4">
        <v>850946</v>
      </c>
      <c r="R664" s="4">
        <v>850946</v>
      </c>
      <c r="S664" s="4">
        <v>850946</v>
      </c>
      <c r="T664" s="4">
        <v>850946</v>
      </c>
      <c r="U664" s="4">
        <v>850946</v>
      </c>
      <c r="V664" s="4">
        <v>850946</v>
      </c>
      <c r="W664" s="4">
        <v>850946</v>
      </c>
      <c r="X664" s="4">
        <v>850946</v>
      </c>
      <c r="Y664" s="4">
        <v>850946</v>
      </c>
    </row>
    <row r="665" spans="1:25" ht="19.5" customHeight="1" x14ac:dyDescent="0.25">
      <c r="A665" s="2" t="s">
        <v>1690</v>
      </c>
      <c r="B665" s="2" t="s">
        <v>16</v>
      </c>
      <c r="C665" s="2" t="s">
        <v>1716</v>
      </c>
      <c r="D665" s="2" t="s">
        <v>1717</v>
      </c>
      <c r="E665" s="2" t="s">
        <v>1718</v>
      </c>
      <c r="F665" s="3">
        <v>68242.05</v>
      </c>
      <c r="G665" s="3">
        <v>80000</v>
      </c>
      <c r="H665" s="3">
        <v>80000</v>
      </c>
      <c r="I665" s="3">
        <v>80000</v>
      </c>
      <c r="J665" s="3">
        <v>80000</v>
      </c>
      <c r="K665" s="3">
        <v>80000</v>
      </c>
      <c r="L665" s="4">
        <v>80000</v>
      </c>
      <c r="M665" s="4">
        <v>80000</v>
      </c>
      <c r="N665" s="4">
        <v>80000</v>
      </c>
      <c r="O665" s="4">
        <v>80000</v>
      </c>
      <c r="P665" s="4">
        <v>80000</v>
      </c>
      <c r="Q665" s="4">
        <v>80000</v>
      </c>
      <c r="R665" s="4">
        <v>80000</v>
      </c>
      <c r="S665" s="4">
        <v>80000</v>
      </c>
      <c r="T665" s="4">
        <v>80000</v>
      </c>
      <c r="U665" s="4">
        <v>80000</v>
      </c>
      <c r="V665" s="4">
        <v>80000</v>
      </c>
      <c r="W665" s="4">
        <v>80000</v>
      </c>
      <c r="X665" s="4">
        <v>80000</v>
      </c>
      <c r="Y665" s="4">
        <v>80000</v>
      </c>
    </row>
    <row r="666" spans="1:25" ht="19.5" customHeight="1" x14ac:dyDescent="0.25">
      <c r="A666" s="2" t="s">
        <v>1690</v>
      </c>
      <c r="B666" s="2" t="s">
        <v>16</v>
      </c>
      <c r="C666" s="2" t="s">
        <v>1719</v>
      </c>
      <c r="D666" s="2" t="s">
        <v>1720</v>
      </c>
      <c r="E666" s="2" t="s">
        <v>1721</v>
      </c>
      <c r="F666" s="3">
        <v>63307.51</v>
      </c>
      <c r="G666" s="3">
        <v>600000</v>
      </c>
      <c r="H666" s="3">
        <v>900000</v>
      </c>
      <c r="I666" s="3">
        <v>900000</v>
      </c>
      <c r="J666" s="3">
        <v>900000</v>
      </c>
      <c r="K666" s="3">
        <v>900000</v>
      </c>
      <c r="L666" s="4">
        <v>900000</v>
      </c>
      <c r="M666" s="4">
        <v>900000</v>
      </c>
      <c r="N666" s="4">
        <v>900000</v>
      </c>
      <c r="O666" s="4">
        <v>900000</v>
      </c>
      <c r="P666" s="4">
        <v>900000</v>
      </c>
      <c r="Q666" s="4">
        <v>900000</v>
      </c>
      <c r="R666" s="4">
        <v>900000</v>
      </c>
      <c r="S666" s="4">
        <v>900000</v>
      </c>
      <c r="T666" s="4">
        <v>900000</v>
      </c>
      <c r="U666" s="4">
        <v>900000</v>
      </c>
      <c r="V666" s="4">
        <v>900000</v>
      </c>
      <c r="W666" s="4">
        <v>900000</v>
      </c>
      <c r="X666" s="4">
        <v>900000</v>
      </c>
      <c r="Y666" s="4">
        <v>900000</v>
      </c>
    </row>
    <row r="667" spans="1:25" ht="19.5" customHeight="1" x14ac:dyDescent="0.25">
      <c r="A667" s="2" t="s">
        <v>1690</v>
      </c>
      <c r="B667" s="2" t="s">
        <v>16</v>
      </c>
      <c r="C667" s="2" t="s">
        <v>1722</v>
      </c>
      <c r="D667" s="2" t="s">
        <v>1723</v>
      </c>
      <c r="E667" s="2" t="s">
        <v>1724</v>
      </c>
      <c r="F667" s="3">
        <v>649849.26</v>
      </c>
      <c r="G667" s="3">
        <v>1150000</v>
      </c>
      <c r="H667" s="3">
        <v>1150000</v>
      </c>
      <c r="I667" s="3">
        <v>1150000</v>
      </c>
      <c r="J667" s="3">
        <v>1150000</v>
      </c>
      <c r="K667" s="3">
        <v>1150000</v>
      </c>
      <c r="L667" s="4">
        <v>1150000</v>
      </c>
      <c r="M667" s="4">
        <v>1150000</v>
      </c>
      <c r="N667" s="4">
        <v>1150000</v>
      </c>
      <c r="O667" s="4">
        <v>1150000</v>
      </c>
      <c r="P667" s="4">
        <v>1150000</v>
      </c>
      <c r="Q667" s="4">
        <v>1150000</v>
      </c>
      <c r="R667" s="4">
        <v>1150000</v>
      </c>
      <c r="S667" s="4">
        <v>1150000</v>
      </c>
      <c r="T667" s="4">
        <v>1150000</v>
      </c>
      <c r="U667" s="4">
        <v>1150000</v>
      </c>
      <c r="V667" s="4">
        <v>1150000</v>
      </c>
      <c r="W667" s="4">
        <v>1150000</v>
      </c>
      <c r="X667" s="4">
        <v>1150000</v>
      </c>
      <c r="Y667" s="4">
        <v>1150000</v>
      </c>
    </row>
    <row r="668" spans="1:25" ht="19.5" customHeight="1" x14ac:dyDescent="0.25">
      <c r="A668" s="2" t="s">
        <v>1690</v>
      </c>
      <c r="B668" s="2" t="s">
        <v>16</v>
      </c>
      <c r="C668" s="2" t="s">
        <v>1725</v>
      </c>
      <c r="D668" s="2" t="s">
        <v>1726</v>
      </c>
      <c r="E668" s="2" t="s">
        <v>1727</v>
      </c>
      <c r="F668" s="3">
        <v>0</v>
      </c>
      <c r="G668" s="3">
        <v>334529</v>
      </c>
      <c r="H668" s="3">
        <v>0</v>
      </c>
      <c r="I668" s="3">
        <v>0</v>
      </c>
      <c r="J668" s="3">
        <v>0</v>
      </c>
      <c r="K668" s="3">
        <v>0</v>
      </c>
      <c r="L668" s="4">
        <v>0</v>
      </c>
      <c r="M668" s="4">
        <v>0</v>
      </c>
      <c r="N668" s="4">
        <v>0</v>
      </c>
      <c r="O668" s="4">
        <v>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</row>
    <row r="669" spans="1:25" ht="19.5" customHeight="1" x14ac:dyDescent="0.25">
      <c r="A669" s="2" t="s">
        <v>1690</v>
      </c>
      <c r="B669" s="2" t="s">
        <v>16</v>
      </c>
      <c r="C669" s="2" t="s">
        <v>1728</v>
      </c>
      <c r="D669" s="2" t="s">
        <v>1729</v>
      </c>
      <c r="E669" s="2" t="s">
        <v>1730</v>
      </c>
      <c r="F669" s="3">
        <v>0</v>
      </c>
      <c r="G669" s="3">
        <v>5000</v>
      </c>
      <c r="H669" s="3">
        <v>10000</v>
      </c>
      <c r="I669" s="3">
        <v>10000</v>
      </c>
      <c r="J669" s="3">
        <v>10000</v>
      </c>
      <c r="K669" s="3">
        <v>10000</v>
      </c>
      <c r="L669" s="4">
        <v>10000</v>
      </c>
      <c r="M669" s="4">
        <v>10000</v>
      </c>
      <c r="N669" s="4">
        <v>10000</v>
      </c>
      <c r="O669" s="4">
        <v>10000</v>
      </c>
      <c r="P669" s="4">
        <v>10000</v>
      </c>
      <c r="Q669" s="4">
        <v>10000</v>
      </c>
      <c r="R669" s="4">
        <v>10000</v>
      </c>
      <c r="S669" s="4">
        <v>10000</v>
      </c>
      <c r="T669" s="4">
        <v>10000</v>
      </c>
      <c r="U669" s="4">
        <v>10000</v>
      </c>
      <c r="V669" s="4">
        <v>10000</v>
      </c>
      <c r="W669" s="4">
        <v>10000</v>
      </c>
      <c r="X669" s="4">
        <v>10000</v>
      </c>
      <c r="Y669" s="4">
        <v>10000</v>
      </c>
    </row>
    <row r="670" spans="1:25" ht="19.5" customHeight="1" x14ac:dyDescent="0.25">
      <c r="A670" s="2" t="s">
        <v>1690</v>
      </c>
      <c r="B670" s="2" t="s">
        <v>16</v>
      </c>
      <c r="C670" s="2" t="s">
        <v>1731</v>
      </c>
      <c r="D670" s="2" t="s">
        <v>1732</v>
      </c>
      <c r="E670" s="2" t="s">
        <v>1733</v>
      </c>
      <c r="F670" s="3">
        <v>48984.09</v>
      </c>
      <c r="G670" s="3">
        <v>500000</v>
      </c>
      <c r="H670" s="3">
        <v>1000000</v>
      </c>
      <c r="I670" s="3">
        <v>1000000</v>
      </c>
      <c r="J670" s="3">
        <v>1000000</v>
      </c>
      <c r="K670" s="3">
        <v>1000000</v>
      </c>
      <c r="L670" s="4">
        <v>1000000</v>
      </c>
      <c r="M670" s="4">
        <v>1000000</v>
      </c>
      <c r="N670" s="4">
        <v>1000000</v>
      </c>
      <c r="O670" s="4">
        <v>1000000</v>
      </c>
      <c r="P670" s="4">
        <v>1000000</v>
      </c>
      <c r="Q670" s="4">
        <v>1000000</v>
      </c>
      <c r="R670" s="4">
        <v>1000000</v>
      </c>
      <c r="S670" s="4">
        <v>1000000</v>
      </c>
      <c r="T670" s="4">
        <v>1000000</v>
      </c>
      <c r="U670" s="4">
        <v>1000000</v>
      </c>
      <c r="V670" s="4">
        <v>1000000</v>
      </c>
      <c r="W670" s="4">
        <v>1000000</v>
      </c>
      <c r="X670" s="4">
        <v>1000000</v>
      </c>
      <c r="Y670" s="4">
        <v>1000000</v>
      </c>
    </row>
    <row r="671" spans="1:25" ht="19.5" customHeight="1" x14ac:dyDescent="0.25">
      <c r="A671" s="2" t="s">
        <v>1690</v>
      </c>
      <c r="B671" s="2" t="s">
        <v>16</v>
      </c>
      <c r="C671" s="2" t="s">
        <v>1734</v>
      </c>
      <c r="D671" s="2" t="s">
        <v>1735</v>
      </c>
      <c r="E671" s="2" t="s">
        <v>275</v>
      </c>
      <c r="F671" s="3">
        <v>988041.21</v>
      </c>
      <c r="G671" s="3">
        <v>1258624</v>
      </c>
      <c r="H671" s="3">
        <v>1368624</v>
      </c>
      <c r="I671" s="3">
        <v>1378304</v>
      </c>
      <c r="J671" s="3">
        <v>1368624</v>
      </c>
      <c r="K671" s="3">
        <v>1378304</v>
      </c>
      <c r="L671" s="4">
        <v>1368624</v>
      </c>
      <c r="M671" s="4">
        <v>1378304</v>
      </c>
      <c r="N671" s="4">
        <v>1368624</v>
      </c>
      <c r="O671" s="4">
        <v>1378304</v>
      </c>
      <c r="P671" s="4">
        <v>1368624</v>
      </c>
      <c r="Q671" s="4">
        <v>1378304</v>
      </c>
      <c r="R671" s="4">
        <v>1368624</v>
      </c>
      <c r="S671" s="4">
        <v>1378304</v>
      </c>
      <c r="T671" s="4">
        <v>1368624</v>
      </c>
      <c r="U671" s="4">
        <v>1378304</v>
      </c>
      <c r="V671" s="4">
        <v>1368624</v>
      </c>
      <c r="W671" s="4">
        <v>1378304</v>
      </c>
      <c r="X671" s="4">
        <v>1368624</v>
      </c>
      <c r="Y671" s="4">
        <v>1378304</v>
      </c>
    </row>
    <row r="672" spans="1:25" ht="19.5" customHeight="1" x14ac:dyDescent="0.25">
      <c r="A672" s="2" t="s">
        <v>1690</v>
      </c>
      <c r="B672" s="2" t="s">
        <v>16</v>
      </c>
      <c r="C672" s="2" t="s">
        <v>1736</v>
      </c>
      <c r="D672" s="2" t="s">
        <v>1737</v>
      </c>
      <c r="E672" s="2" t="s">
        <v>1738</v>
      </c>
      <c r="F672" s="3">
        <v>176044.95</v>
      </c>
      <c r="G672" s="3">
        <v>273629</v>
      </c>
      <c r="H672" s="3">
        <v>287310</v>
      </c>
      <c r="I672" s="3">
        <v>287994</v>
      </c>
      <c r="J672" s="3">
        <v>287310</v>
      </c>
      <c r="K672" s="3">
        <v>287994</v>
      </c>
      <c r="L672" s="4">
        <v>287310</v>
      </c>
      <c r="M672" s="4">
        <v>287994</v>
      </c>
      <c r="N672" s="4">
        <v>287310</v>
      </c>
      <c r="O672" s="4">
        <v>287994</v>
      </c>
      <c r="P672" s="4">
        <v>287310</v>
      </c>
      <c r="Q672" s="4">
        <v>287994</v>
      </c>
      <c r="R672" s="4">
        <v>287310</v>
      </c>
      <c r="S672" s="4">
        <v>287994</v>
      </c>
      <c r="T672" s="4">
        <v>287310</v>
      </c>
      <c r="U672" s="4">
        <v>287994</v>
      </c>
      <c r="V672" s="4">
        <v>287310</v>
      </c>
      <c r="W672" s="4">
        <v>287994</v>
      </c>
      <c r="X672" s="4">
        <v>287310</v>
      </c>
      <c r="Y672" s="4">
        <v>287994</v>
      </c>
    </row>
    <row r="673" spans="1:25" ht="19.5" customHeight="1" x14ac:dyDescent="0.25">
      <c r="A673" s="2" t="s">
        <v>1690</v>
      </c>
      <c r="B673" s="2" t="s">
        <v>44</v>
      </c>
      <c r="C673" s="2" t="s">
        <v>1739</v>
      </c>
      <c r="D673" s="2" t="s">
        <v>1740</v>
      </c>
      <c r="E673" s="2" t="s">
        <v>1741</v>
      </c>
      <c r="F673" s="3">
        <v>29825.58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4">
        <v>0</v>
      </c>
      <c r="M673" s="4">
        <v>0</v>
      </c>
      <c r="N673" s="4">
        <v>0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</row>
    <row r="674" spans="1:25" ht="19.5" customHeight="1" x14ac:dyDescent="0.25">
      <c r="A674" s="2" t="s">
        <v>1690</v>
      </c>
      <c r="B674" s="2" t="s">
        <v>44</v>
      </c>
      <c r="C674" s="2" t="s">
        <v>1742</v>
      </c>
      <c r="D674" s="2" t="s">
        <v>1743</v>
      </c>
      <c r="E674" s="2" t="s">
        <v>1744</v>
      </c>
      <c r="F674" s="3">
        <v>0</v>
      </c>
      <c r="G674" s="3">
        <v>0</v>
      </c>
      <c r="H674" s="3">
        <v>150000000</v>
      </c>
      <c r="I674" s="3">
        <v>150000000</v>
      </c>
      <c r="J674" s="3">
        <v>150000000</v>
      </c>
      <c r="K674" s="3">
        <v>150000000</v>
      </c>
      <c r="L674" s="4">
        <v>150000000</v>
      </c>
      <c r="M674" s="4">
        <v>150000000</v>
      </c>
      <c r="N674" s="4">
        <v>150000000</v>
      </c>
      <c r="O674" s="4">
        <v>150000000</v>
      </c>
      <c r="P674" s="4">
        <v>150000000</v>
      </c>
      <c r="Q674" s="4">
        <v>150000000</v>
      </c>
      <c r="R674" s="4">
        <v>150000000</v>
      </c>
      <c r="S674" s="4">
        <v>150000000</v>
      </c>
      <c r="T674" s="4">
        <v>150000000</v>
      </c>
      <c r="U674" s="4">
        <v>150000000</v>
      </c>
      <c r="V674" s="4">
        <v>150000000</v>
      </c>
      <c r="W674" s="4">
        <v>150000000</v>
      </c>
      <c r="X674" s="4">
        <v>150000000</v>
      </c>
      <c r="Y674" s="4">
        <v>150000000</v>
      </c>
    </row>
    <row r="675" spans="1:25" ht="19.5" customHeight="1" x14ac:dyDescent="0.25">
      <c r="A675" s="2" t="s">
        <v>1690</v>
      </c>
      <c r="B675" s="2" t="s">
        <v>44</v>
      </c>
      <c r="C675" s="2" t="s">
        <v>1742</v>
      </c>
      <c r="D675" s="2" t="s">
        <v>1745</v>
      </c>
      <c r="E675" s="2" t="s">
        <v>1746</v>
      </c>
      <c r="F675" s="3">
        <v>41772116.990000002</v>
      </c>
      <c r="G675" s="3">
        <v>219948672</v>
      </c>
      <c r="H675" s="3">
        <v>69948672</v>
      </c>
      <c r="I675" s="3">
        <v>69948672</v>
      </c>
      <c r="J675" s="3">
        <v>69948672</v>
      </c>
      <c r="K675" s="3">
        <v>69948672</v>
      </c>
      <c r="L675" s="4">
        <v>69948672</v>
      </c>
      <c r="M675" s="4">
        <v>69948672</v>
      </c>
      <c r="N675" s="4">
        <v>69948672</v>
      </c>
      <c r="O675" s="4">
        <v>69948672</v>
      </c>
      <c r="P675" s="4">
        <v>69948672</v>
      </c>
      <c r="Q675" s="4">
        <v>69948672</v>
      </c>
      <c r="R675" s="4">
        <v>69948672</v>
      </c>
      <c r="S675" s="4">
        <v>69948672</v>
      </c>
      <c r="T675" s="4">
        <v>69948672</v>
      </c>
      <c r="U675" s="4">
        <v>69948672</v>
      </c>
      <c r="V675" s="4">
        <v>69948672</v>
      </c>
      <c r="W675" s="4">
        <v>69948672</v>
      </c>
      <c r="X675" s="4">
        <v>69948672</v>
      </c>
      <c r="Y675" s="4">
        <v>69948672</v>
      </c>
    </row>
    <row r="676" spans="1:25" ht="19.5" customHeight="1" x14ac:dyDescent="0.25">
      <c r="A676" s="2" t="s">
        <v>1690</v>
      </c>
      <c r="B676" s="2" t="s">
        <v>44</v>
      </c>
      <c r="C676" s="2" t="s">
        <v>1747</v>
      </c>
      <c r="D676" s="2" t="s">
        <v>1748</v>
      </c>
      <c r="E676" s="2" t="s">
        <v>1749</v>
      </c>
      <c r="F676" s="3">
        <v>10028623.060000001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4">
        <v>0</v>
      </c>
      <c r="M676" s="4">
        <v>0</v>
      </c>
      <c r="N676" s="4">
        <v>0</v>
      </c>
      <c r="O676" s="4">
        <v>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</row>
    <row r="677" spans="1:25" ht="19.5" customHeight="1" x14ac:dyDescent="0.25">
      <c r="A677" s="2" t="s">
        <v>1690</v>
      </c>
      <c r="B677" s="2" t="s">
        <v>44</v>
      </c>
      <c r="C677" s="2" t="s">
        <v>1750</v>
      </c>
      <c r="D677" s="2" t="s">
        <v>1751</v>
      </c>
      <c r="E677" s="2" t="s">
        <v>1752</v>
      </c>
      <c r="F677" s="3">
        <v>0</v>
      </c>
      <c r="G677" s="3">
        <v>10000</v>
      </c>
      <c r="H677" s="3">
        <v>30000</v>
      </c>
      <c r="I677" s="3">
        <v>30000</v>
      </c>
      <c r="J677" s="3">
        <v>30000</v>
      </c>
      <c r="K677" s="3">
        <v>30000</v>
      </c>
      <c r="L677" s="4">
        <v>30000</v>
      </c>
      <c r="M677" s="4">
        <v>30000</v>
      </c>
      <c r="N677" s="4">
        <v>30000</v>
      </c>
      <c r="O677" s="4">
        <v>30000</v>
      </c>
      <c r="P677" s="4">
        <v>30000</v>
      </c>
      <c r="Q677" s="4">
        <v>30000</v>
      </c>
      <c r="R677" s="4">
        <v>30000</v>
      </c>
      <c r="S677" s="4">
        <v>30000</v>
      </c>
      <c r="T677" s="4">
        <v>30000</v>
      </c>
      <c r="U677" s="4">
        <v>30000</v>
      </c>
      <c r="V677" s="4">
        <v>30000</v>
      </c>
      <c r="W677" s="4">
        <v>30000</v>
      </c>
      <c r="X677" s="4">
        <v>30000</v>
      </c>
      <c r="Y677" s="4">
        <v>30000</v>
      </c>
    </row>
    <row r="678" spans="1:25" ht="19.5" customHeight="1" x14ac:dyDescent="0.25">
      <c r="A678" s="2" t="s">
        <v>1690</v>
      </c>
      <c r="B678" s="2" t="s">
        <v>44</v>
      </c>
      <c r="C678" s="2" t="s">
        <v>1753</v>
      </c>
      <c r="D678" s="2" t="s">
        <v>1754</v>
      </c>
      <c r="E678" s="2" t="s">
        <v>1755</v>
      </c>
      <c r="F678" s="3">
        <v>5335635.29</v>
      </c>
      <c r="G678" s="4">
        <v>12500000</v>
      </c>
      <c r="H678" s="4">
        <v>12500000</v>
      </c>
      <c r="I678" s="4">
        <v>12500000</v>
      </c>
      <c r="J678" s="4">
        <v>12500000</v>
      </c>
      <c r="K678" s="4">
        <v>12500000</v>
      </c>
      <c r="L678" s="4">
        <v>12500000</v>
      </c>
      <c r="M678" s="4">
        <v>12500000</v>
      </c>
      <c r="N678" s="4">
        <v>12500000</v>
      </c>
      <c r="O678" s="4">
        <v>12500000</v>
      </c>
      <c r="P678" s="4">
        <v>12500000</v>
      </c>
      <c r="Q678" s="4">
        <v>12500000</v>
      </c>
      <c r="R678" s="4">
        <v>12500000</v>
      </c>
      <c r="S678" s="4">
        <v>12500000</v>
      </c>
      <c r="T678" s="4">
        <v>12500000</v>
      </c>
      <c r="U678" s="4">
        <v>12500000</v>
      </c>
      <c r="V678" s="4">
        <v>12500000</v>
      </c>
      <c r="W678" s="4">
        <v>12500000</v>
      </c>
      <c r="X678" s="4">
        <v>12500000</v>
      </c>
      <c r="Y678" s="4">
        <v>12500000</v>
      </c>
    </row>
    <row r="679" spans="1:25" ht="19.5" customHeight="1" x14ac:dyDescent="0.25">
      <c r="A679" s="2" t="s">
        <v>1690</v>
      </c>
      <c r="B679" s="2" t="s">
        <v>44</v>
      </c>
      <c r="C679" s="2" t="s">
        <v>1756</v>
      </c>
      <c r="D679" s="2" t="s">
        <v>1757</v>
      </c>
      <c r="E679" s="2" t="s">
        <v>1758</v>
      </c>
      <c r="F679" s="3">
        <v>0</v>
      </c>
      <c r="G679" s="3">
        <v>60000</v>
      </c>
      <c r="H679" s="3">
        <v>100000</v>
      </c>
      <c r="I679" s="3">
        <v>100000</v>
      </c>
      <c r="J679" s="3">
        <v>100000</v>
      </c>
      <c r="K679" s="3">
        <v>100000</v>
      </c>
      <c r="L679" s="4">
        <v>100000</v>
      </c>
      <c r="M679" s="4">
        <v>100000</v>
      </c>
      <c r="N679" s="4">
        <v>100000</v>
      </c>
      <c r="O679" s="4">
        <v>100000</v>
      </c>
      <c r="P679" s="4">
        <v>100000</v>
      </c>
      <c r="Q679" s="4">
        <v>100000</v>
      </c>
      <c r="R679" s="4">
        <v>100000</v>
      </c>
      <c r="S679" s="4">
        <v>100000</v>
      </c>
      <c r="T679" s="4">
        <v>100000</v>
      </c>
      <c r="U679" s="4">
        <v>100000</v>
      </c>
      <c r="V679" s="4">
        <v>100000</v>
      </c>
      <c r="W679" s="4">
        <v>100000</v>
      </c>
      <c r="X679" s="4">
        <v>100000</v>
      </c>
      <c r="Y679" s="4">
        <v>100000</v>
      </c>
    </row>
    <row r="680" spans="1:25" ht="19.5" customHeight="1" x14ac:dyDescent="0.25">
      <c r="A680" s="2" t="s">
        <v>1690</v>
      </c>
      <c r="B680" s="2" t="s">
        <v>44</v>
      </c>
      <c r="C680" s="2" t="s">
        <v>1759</v>
      </c>
      <c r="D680" s="2" t="s">
        <v>1760</v>
      </c>
      <c r="E680" s="2" t="s">
        <v>1761</v>
      </c>
      <c r="F680" s="3">
        <v>1114813.77</v>
      </c>
      <c r="G680" s="3">
        <v>900000</v>
      </c>
      <c r="H680" s="3">
        <v>1400000</v>
      </c>
      <c r="I680" s="3">
        <v>1400000</v>
      </c>
      <c r="J680" s="3">
        <v>1400000</v>
      </c>
      <c r="K680" s="3">
        <v>1400000</v>
      </c>
      <c r="L680" s="4">
        <v>1400000</v>
      </c>
      <c r="M680" s="4">
        <v>1400000</v>
      </c>
      <c r="N680" s="4">
        <v>1400000</v>
      </c>
      <c r="O680" s="4">
        <v>1400000</v>
      </c>
      <c r="P680" s="4">
        <v>1400000</v>
      </c>
      <c r="Q680" s="4">
        <v>1400000</v>
      </c>
      <c r="R680" s="4">
        <v>1400000</v>
      </c>
      <c r="S680" s="4">
        <v>1400000</v>
      </c>
      <c r="T680" s="4">
        <v>1400000</v>
      </c>
      <c r="U680" s="4">
        <v>1400000</v>
      </c>
      <c r="V680" s="4">
        <v>1400000</v>
      </c>
      <c r="W680" s="4">
        <v>1400000</v>
      </c>
      <c r="X680" s="4">
        <v>1400000</v>
      </c>
      <c r="Y680" s="4">
        <v>1400000</v>
      </c>
    </row>
    <row r="681" spans="1:25" ht="19.5" customHeight="1" x14ac:dyDescent="0.25">
      <c r="A681" s="2" t="s">
        <v>1690</v>
      </c>
      <c r="B681" s="2" t="s">
        <v>44</v>
      </c>
      <c r="C681" s="2" t="s">
        <v>1759</v>
      </c>
      <c r="D681" s="2" t="s">
        <v>1762</v>
      </c>
      <c r="E681" s="2" t="s">
        <v>1763</v>
      </c>
      <c r="F681" s="3">
        <v>397804.57</v>
      </c>
      <c r="G681" s="3">
        <v>800000</v>
      </c>
      <c r="H681" s="3">
        <v>800000</v>
      </c>
      <c r="I681" s="3">
        <v>800000</v>
      </c>
      <c r="J681" s="3">
        <v>800000</v>
      </c>
      <c r="K681" s="3">
        <v>800000</v>
      </c>
      <c r="L681" s="4">
        <v>800000</v>
      </c>
      <c r="M681" s="4">
        <v>800000</v>
      </c>
      <c r="N681" s="4">
        <v>800000</v>
      </c>
      <c r="O681" s="4">
        <v>800000</v>
      </c>
      <c r="P681" s="4">
        <v>800000</v>
      </c>
      <c r="Q681" s="4">
        <v>800000</v>
      </c>
      <c r="R681" s="4">
        <v>800000</v>
      </c>
      <c r="S681" s="4">
        <v>800000</v>
      </c>
      <c r="T681" s="4">
        <v>800000</v>
      </c>
      <c r="U681" s="4">
        <v>800000</v>
      </c>
      <c r="V681" s="4">
        <v>800000</v>
      </c>
      <c r="W681" s="4">
        <v>800000</v>
      </c>
      <c r="X681" s="4">
        <v>800000</v>
      </c>
      <c r="Y681" s="4">
        <v>800000</v>
      </c>
    </row>
    <row r="682" spans="1:25" ht="19.5" customHeight="1" x14ac:dyDescent="0.25">
      <c r="A682" s="2" t="s">
        <v>1690</v>
      </c>
      <c r="B682" s="2" t="s">
        <v>44</v>
      </c>
      <c r="C682" s="2" t="s">
        <v>1764</v>
      </c>
      <c r="D682" s="2" t="s">
        <v>1765</v>
      </c>
      <c r="E682" s="2" t="s">
        <v>1766</v>
      </c>
      <c r="F682" s="3">
        <v>11575.26</v>
      </c>
      <c r="G682" s="3">
        <v>15933842</v>
      </c>
      <c r="H682" s="3">
        <v>5000000</v>
      </c>
      <c r="I682" s="3">
        <v>850000</v>
      </c>
      <c r="J682" s="3">
        <v>5000000</v>
      </c>
      <c r="K682" s="3">
        <v>850000</v>
      </c>
      <c r="L682" s="4">
        <v>5000000</v>
      </c>
      <c r="M682" s="4">
        <v>850000</v>
      </c>
      <c r="N682" s="4">
        <v>5000000</v>
      </c>
      <c r="O682" s="4">
        <v>850000</v>
      </c>
      <c r="P682" s="4">
        <v>5000000</v>
      </c>
      <c r="Q682" s="4">
        <v>850000</v>
      </c>
      <c r="R682" s="4">
        <v>5000000</v>
      </c>
      <c r="S682" s="4">
        <v>850000</v>
      </c>
      <c r="T682" s="4">
        <v>5000000</v>
      </c>
      <c r="U682" s="4">
        <v>850000</v>
      </c>
      <c r="V682" s="4">
        <v>5000000</v>
      </c>
      <c r="W682" s="4">
        <v>850000</v>
      </c>
      <c r="X682" s="4">
        <v>5000000</v>
      </c>
      <c r="Y682" s="4">
        <v>850000</v>
      </c>
    </row>
    <row r="683" spans="1:25" ht="19.5" customHeight="1" x14ac:dyDescent="0.25">
      <c r="A683" s="2" t="s">
        <v>1690</v>
      </c>
      <c r="B683" s="2" t="s">
        <v>44</v>
      </c>
      <c r="C683" s="2" t="s">
        <v>1767</v>
      </c>
      <c r="D683" s="2" t="s">
        <v>1768</v>
      </c>
      <c r="E683" s="2" t="s">
        <v>1769</v>
      </c>
      <c r="F683" s="3">
        <v>10453110.109999999</v>
      </c>
      <c r="G683" s="3">
        <v>12600000</v>
      </c>
      <c r="H683" s="3">
        <v>12600000</v>
      </c>
      <c r="I683" s="3">
        <v>12600000</v>
      </c>
      <c r="J683" s="3">
        <v>12600000</v>
      </c>
      <c r="K683" s="3">
        <v>12600000</v>
      </c>
      <c r="L683" s="4">
        <v>12600000</v>
      </c>
      <c r="M683" s="4">
        <v>12600000</v>
      </c>
      <c r="N683" s="4">
        <v>12600000</v>
      </c>
      <c r="O683" s="4">
        <v>12600000</v>
      </c>
      <c r="P683" s="4">
        <v>12600000</v>
      </c>
      <c r="Q683" s="4">
        <v>12600000</v>
      </c>
      <c r="R683" s="4">
        <v>12600000</v>
      </c>
      <c r="S683" s="4">
        <v>12600000</v>
      </c>
      <c r="T683" s="4">
        <v>12600000</v>
      </c>
      <c r="U683" s="4">
        <v>12600000</v>
      </c>
      <c r="V683" s="4">
        <v>12600000</v>
      </c>
      <c r="W683" s="4">
        <v>12600000</v>
      </c>
      <c r="X683" s="4">
        <v>12600000</v>
      </c>
      <c r="Y683" s="4">
        <v>12600000</v>
      </c>
    </row>
    <row r="684" spans="1:25" ht="19.5" customHeight="1" x14ac:dyDescent="0.25">
      <c r="A684" s="2" t="s">
        <v>1690</v>
      </c>
      <c r="B684" s="2" t="s">
        <v>54</v>
      </c>
      <c r="C684" s="2" t="s">
        <v>54</v>
      </c>
      <c r="D684" s="2" t="s">
        <v>1770</v>
      </c>
      <c r="E684" s="2" t="s">
        <v>1771</v>
      </c>
      <c r="F684" s="3">
        <v>3212077.77</v>
      </c>
      <c r="G684" s="3">
        <v>7850000</v>
      </c>
      <c r="H684" s="3">
        <v>13075000</v>
      </c>
      <c r="I684" s="3">
        <v>13155000</v>
      </c>
      <c r="J684" s="3">
        <v>13075000</v>
      </c>
      <c r="K684" s="3">
        <v>13155000</v>
      </c>
      <c r="L684" s="4">
        <v>13075000</v>
      </c>
      <c r="M684" s="4">
        <v>13155000</v>
      </c>
      <c r="N684" s="4">
        <v>13075000</v>
      </c>
      <c r="O684" s="4">
        <v>13155000</v>
      </c>
      <c r="P684" s="4">
        <v>13075000</v>
      </c>
      <c r="Q684" s="4">
        <v>13155000</v>
      </c>
      <c r="R684" s="4">
        <v>13075000</v>
      </c>
      <c r="S684" s="4">
        <v>13155000</v>
      </c>
      <c r="T684" s="4">
        <v>13075000</v>
      </c>
      <c r="U684" s="4">
        <v>13155000</v>
      </c>
      <c r="V684" s="4">
        <v>13075000</v>
      </c>
      <c r="W684" s="4">
        <v>13155000</v>
      </c>
      <c r="X684" s="4">
        <v>13075000</v>
      </c>
      <c r="Y684" s="4">
        <v>13155000</v>
      </c>
    </row>
    <row r="685" spans="1:25" ht="19.5" customHeight="1" x14ac:dyDescent="0.25">
      <c r="A685" s="2" t="s">
        <v>1690</v>
      </c>
      <c r="B685" s="2" t="s">
        <v>54</v>
      </c>
      <c r="C685" s="2" t="s">
        <v>54</v>
      </c>
      <c r="D685" s="2" t="s">
        <v>1772</v>
      </c>
      <c r="E685" s="2" t="s">
        <v>212</v>
      </c>
      <c r="F685" s="3">
        <v>134495.15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4">
        <v>0</v>
      </c>
      <c r="M685" s="4">
        <v>0</v>
      </c>
      <c r="N685" s="4">
        <v>0</v>
      </c>
      <c r="O685" s="4">
        <v>0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</row>
    <row r="686" spans="1:25" ht="19.5" customHeight="1" x14ac:dyDescent="0.25">
      <c r="A686" s="2" t="s">
        <v>1690</v>
      </c>
      <c r="B686" s="2" t="s">
        <v>54</v>
      </c>
      <c r="C686" s="2" t="s">
        <v>54</v>
      </c>
      <c r="D686" s="2" t="s">
        <v>1773</v>
      </c>
      <c r="E686" s="2" t="s">
        <v>1774</v>
      </c>
      <c r="F686" s="3">
        <v>4530158.79</v>
      </c>
      <c r="G686" s="3">
        <v>5070000</v>
      </c>
      <c r="H686" s="3">
        <v>5578897</v>
      </c>
      <c r="I686" s="3">
        <v>5868428</v>
      </c>
      <c r="J686" s="3">
        <v>5878897</v>
      </c>
      <c r="K686" s="3">
        <v>5868428</v>
      </c>
      <c r="L686" s="4">
        <v>5878897</v>
      </c>
      <c r="M686" s="4">
        <v>5868428</v>
      </c>
      <c r="N686" s="4">
        <v>5878897</v>
      </c>
      <c r="O686" s="4">
        <v>5868428</v>
      </c>
      <c r="P686" s="4">
        <v>5878897</v>
      </c>
      <c r="Q686" s="4">
        <v>5868428</v>
      </c>
      <c r="R686" s="4">
        <v>5878897</v>
      </c>
      <c r="S686" s="4">
        <v>5868428</v>
      </c>
      <c r="T686" s="4">
        <v>5878897</v>
      </c>
      <c r="U686" s="4">
        <v>5868428</v>
      </c>
      <c r="V686" s="4">
        <v>5878897</v>
      </c>
      <c r="W686" s="4">
        <v>5868428</v>
      </c>
      <c r="X686" s="4">
        <v>5878897</v>
      </c>
      <c r="Y686" s="4">
        <v>5868428</v>
      </c>
    </row>
    <row r="687" spans="1:25" ht="19.5" customHeight="1" x14ac:dyDescent="0.25">
      <c r="A687" s="2" t="s">
        <v>1690</v>
      </c>
      <c r="B687" s="2" t="s">
        <v>54</v>
      </c>
      <c r="C687" s="2" t="s">
        <v>54</v>
      </c>
      <c r="D687" s="2" t="s">
        <v>1775</v>
      </c>
      <c r="E687" s="2" t="s">
        <v>1776</v>
      </c>
      <c r="F687" s="3">
        <v>2721782.66</v>
      </c>
      <c r="G687" s="3">
        <v>4000000</v>
      </c>
      <c r="H687" s="3">
        <v>0</v>
      </c>
      <c r="I687" s="3">
        <v>0</v>
      </c>
      <c r="J687" s="3">
        <v>0</v>
      </c>
      <c r="K687" s="3">
        <v>0</v>
      </c>
      <c r="L687" s="4">
        <v>0</v>
      </c>
      <c r="M687" s="4">
        <v>0</v>
      </c>
      <c r="N687" s="4">
        <v>0</v>
      </c>
      <c r="O687" s="4">
        <v>0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</row>
    <row r="688" spans="1:25" ht="19.5" customHeight="1" x14ac:dyDescent="0.25">
      <c r="A688" s="2" t="s">
        <v>1690</v>
      </c>
      <c r="B688" s="2" t="s">
        <v>54</v>
      </c>
      <c r="C688" s="2" t="s">
        <v>54</v>
      </c>
      <c r="D688" s="2" t="s">
        <v>1777</v>
      </c>
      <c r="E688" s="2" t="s">
        <v>1778</v>
      </c>
      <c r="F688" s="3">
        <v>250000</v>
      </c>
      <c r="G688" s="3">
        <v>250000</v>
      </c>
      <c r="H688" s="3">
        <v>0</v>
      </c>
      <c r="I688" s="3">
        <v>0</v>
      </c>
      <c r="J688" s="3">
        <v>250000</v>
      </c>
      <c r="K688" s="3">
        <v>250000</v>
      </c>
      <c r="L688" s="4">
        <v>250000</v>
      </c>
      <c r="M688" s="4">
        <v>250000</v>
      </c>
      <c r="N688" s="4">
        <v>250000</v>
      </c>
      <c r="O688" s="4">
        <v>250000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</row>
    <row r="689" spans="1:25" ht="19.5" customHeight="1" x14ac:dyDescent="0.25">
      <c r="A689" s="2" t="s">
        <v>1690</v>
      </c>
      <c r="B689" s="2" t="s">
        <v>54</v>
      </c>
      <c r="C689" s="2" t="s">
        <v>54</v>
      </c>
      <c r="D689" s="2" t="s">
        <v>1779</v>
      </c>
      <c r="E689" s="2" t="s">
        <v>1727</v>
      </c>
      <c r="F689" s="3">
        <v>23608.11</v>
      </c>
      <c r="G689" s="3">
        <v>3000000</v>
      </c>
      <c r="H689" s="3">
        <v>4250000</v>
      </c>
      <c r="I689" s="3">
        <v>4250000</v>
      </c>
      <c r="J689" s="3">
        <v>4250000</v>
      </c>
      <c r="K689" s="3">
        <v>4250000</v>
      </c>
      <c r="L689" s="4">
        <v>4250000</v>
      </c>
      <c r="M689" s="4">
        <v>4250000</v>
      </c>
      <c r="N689" s="4">
        <v>4250000</v>
      </c>
      <c r="O689" s="4">
        <v>4250000</v>
      </c>
      <c r="P689" s="4">
        <v>4250000</v>
      </c>
      <c r="Q689" s="4">
        <v>4250000</v>
      </c>
      <c r="R689" s="4">
        <v>4250000</v>
      </c>
      <c r="S689" s="4">
        <v>4250000</v>
      </c>
      <c r="T689" s="4">
        <v>4250000</v>
      </c>
      <c r="U689" s="4">
        <v>4250000</v>
      </c>
      <c r="V689" s="4">
        <v>4250000</v>
      </c>
      <c r="W689" s="4">
        <v>4250000</v>
      </c>
      <c r="X689" s="4">
        <v>4250000</v>
      </c>
      <c r="Y689" s="4">
        <v>4250000</v>
      </c>
    </row>
    <row r="690" spans="1:25" ht="19.5" customHeight="1" x14ac:dyDescent="0.25">
      <c r="A690" s="2" t="s">
        <v>1690</v>
      </c>
      <c r="B690" s="2" t="s">
        <v>54</v>
      </c>
      <c r="C690" s="2" t="s">
        <v>54</v>
      </c>
      <c r="D690" s="2" t="s">
        <v>1780</v>
      </c>
      <c r="E690" s="2" t="s">
        <v>1781</v>
      </c>
      <c r="F690" s="3">
        <v>0</v>
      </c>
      <c r="G690" s="3">
        <v>1341433</v>
      </c>
      <c r="H690" s="3">
        <v>0</v>
      </c>
      <c r="I690" s="3">
        <v>0</v>
      </c>
      <c r="J690" s="3">
        <v>0</v>
      </c>
      <c r="K690" s="3">
        <v>0</v>
      </c>
      <c r="L690" s="4">
        <v>0</v>
      </c>
      <c r="M690" s="4">
        <v>0</v>
      </c>
      <c r="N690" s="4">
        <v>0</v>
      </c>
      <c r="O690" s="4">
        <v>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</row>
    <row r="691" spans="1:25" ht="19.5" customHeight="1" x14ac:dyDescent="0.25">
      <c r="A691" s="2" t="s">
        <v>1690</v>
      </c>
      <c r="B691" s="2" t="s">
        <v>54</v>
      </c>
      <c r="C691" s="2" t="s">
        <v>54</v>
      </c>
      <c r="D691" s="2" t="s">
        <v>1782</v>
      </c>
      <c r="E691" s="2" t="s">
        <v>1783</v>
      </c>
      <c r="F691" s="3">
        <v>12705076.4</v>
      </c>
      <c r="G691" s="3">
        <v>13624913.32</v>
      </c>
      <c r="H691" s="3">
        <v>14545000</v>
      </c>
      <c r="I691" s="3">
        <v>14875000</v>
      </c>
      <c r="J691" s="3">
        <v>14545000</v>
      </c>
      <c r="K691" s="3">
        <v>14875000</v>
      </c>
      <c r="L691" s="4">
        <v>14545000</v>
      </c>
      <c r="M691" s="4">
        <v>14875000</v>
      </c>
      <c r="N691" s="4">
        <v>14545000</v>
      </c>
      <c r="O691" s="4">
        <v>14875000</v>
      </c>
      <c r="P691" s="4">
        <v>14545000</v>
      </c>
      <c r="Q691" s="4">
        <v>14875000</v>
      </c>
      <c r="R691" s="4">
        <v>14545000</v>
      </c>
      <c r="S691" s="4">
        <v>14875000</v>
      </c>
      <c r="T691" s="4">
        <v>14545000</v>
      </c>
      <c r="U691" s="4">
        <v>14875000</v>
      </c>
      <c r="V691" s="4">
        <v>14545000</v>
      </c>
      <c r="W691" s="4">
        <v>14875000</v>
      </c>
      <c r="X691" s="4">
        <v>14545000</v>
      </c>
      <c r="Y691" s="4">
        <v>14875000</v>
      </c>
    </row>
    <row r="692" spans="1:25" ht="19.5" customHeight="1" x14ac:dyDescent="0.25">
      <c r="A692" s="2" t="s">
        <v>1690</v>
      </c>
      <c r="B692" s="2" t="s">
        <v>54</v>
      </c>
      <c r="C692" s="2" t="s">
        <v>54</v>
      </c>
      <c r="D692" s="2" t="s">
        <v>1784</v>
      </c>
      <c r="E692" s="2" t="s">
        <v>1693</v>
      </c>
      <c r="F692" s="3">
        <v>992688.59</v>
      </c>
      <c r="G692" s="3">
        <v>2209200</v>
      </c>
      <c r="H692" s="3">
        <v>13320000</v>
      </c>
      <c r="I692" s="3">
        <v>13350000</v>
      </c>
      <c r="J692" s="3">
        <v>13320000</v>
      </c>
      <c r="K692" s="3">
        <v>13350000</v>
      </c>
      <c r="L692" s="4">
        <v>13320000</v>
      </c>
      <c r="M692" s="4">
        <v>13350000</v>
      </c>
      <c r="N692" s="4">
        <v>13320000</v>
      </c>
      <c r="O692" s="4">
        <v>13350000</v>
      </c>
      <c r="P692" s="4">
        <v>13320000</v>
      </c>
      <c r="Q692" s="4">
        <v>13350000</v>
      </c>
      <c r="R692" s="4">
        <v>13320000</v>
      </c>
      <c r="S692" s="4">
        <v>13350000</v>
      </c>
      <c r="T692" s="4">
        <v>13320000</v>
      </c>
      <c r="U692" s="4">
        <v>13350000</v>
      </c>
      <c r="V692" s="4">
        <v>13320000</v>
      </c>
      <c r="W692" s="4">
        <v>13350000</v>
      </c>
      <c r="X692" s="4">
        <v>13320000</v>
      </c>
      <c r="Y692" s="4">
        <v>13350000</v>
      </c>
    </row>
    <row r="693" spans="1:25" ht="19.5" customHeight="1" x14ac:dyDescent="0.25">
      <c r="A693" s="2" t="s">
        <v>1690</v>
      </c>
      <c r="B693" s="2" t="s">
        <v>54</v>
      </c>
      <c r="C693" s="2" t="s">
        <v>54</v>
      </c>
      <c r="D693" s="2" t="s">
        <v>1785</v>
      </c>
      <c r="E693" s="2" t="s">
        <v>1786</v>
      </c>
      <c r="F693" s="3">
        <v>2822197.42</v>
      </c>
      <c r="G693" s="4">
        <v>3078200</v>
      </c>
      <c r="H693" s="4">
        <v>3376000</v>
      </c>
      <c r="I693" s="4">
        <v>3455000</v>
      </c>
      <c r="J693" s="4">
        <v>3376000</v>
      </c>
      <c r="K693" s="4">
        <v>3455000</v>
      </c>
      <c r="L693" s="4">
        <v>3376000</v>
      </c>
      <c r="M693" s="4">
        <v>3455000</v>
      </c>
      <c r="N693" s="4">
        <v>3376000</v>
      </c>
      <c r="O693" s="4">
        <v>3455000</v>
      </c>
      <c r="P693" s="4">
        <v>3376000</v>
      </c>
      <c r="Q693" s="4">
        <v>3455000</v>
      </c>
      <c r="R693" s="4">
        <v>3376000</v>
      </c>
      <c r="S693" s="4">
        <v>3455000</v>
      </c>
      <c r="T693" s="4">
        <v>3376000</v>
      </c>
      <c r="U693" s="4">
        <v>3455000</v>
      </c>
      <c r="V693" s="4">
        <v>3376000</v>
      </c>
      <c r="W693" s="4">
        <v>3455000</v>
      </c>
      <c r="X693" s="4">
        <v>3376000</v>
      </c>
      <c r="Y693" s="4">
        <v>3455000</v>
      </c>
    </row>
    <row r="694" spans="1:25" ht="19.5" customHeight="1" x14ac:dyDescent="0.25">
      <c r="A694" s="2" t="s">
        <v>1690</v>
      </c>
      <c r="B694" s="2" t="s">
        <v>54</v>
      </c>
      <c r="C694" s="2" t="s">
        <v>54</v>
      </c>
      <c r="D694" s="2" t="s">
        <v>1787</v>
      </c>
      <c r="E694" s="2" t="s">
        <v>1788</v>
      </c>
      <c r="F694" s="3">
        <v>58609.53</v>
      </c>
      <c r="G694" s="3">
        <v>495000</v>
      </c>
      <c r="H694" s="3">
        <v>500000</v>
      </c>
      <c r="I694" s="3">
        <v>500000</v>
      </c>
      <c r="J694" s="3">
        <v>500000</v>
      </c>
      <c r="K694" s="3">
        <v>500000</v>
      </c>
      <c r="L694" s="4">
        <v>500000</v>
      </c>
      <c r="M694" s="4">
        <v>500000</v>
      </c>
      <c r="N694" s="4">
        <v>500000</v>
      </c>
      <c r="O694" s="4">
        <v>500000</v>
      </c>
      <c r="P694" s="4">
        <v>500000</v>
      </c>
      <c r="Q694" s="4">
        <v>500000</v>
      </c>
      <c r="R694" s="4">
        <v>500000</v>
      </c>
      <c r="S694" s="4">
        <v>500000</v>
      </c>
      <c r="T694" s="4">
        <v>500000</v>
      </c>
      <c r="U694" s="4">
        <v>500000</v>
      </c>
      <c r="V694" s="4">
        <v>500000</v>
      </c>
      <c r="W694" s="4">
        <v>500000</v>
      </c>
      <c r="X694" s="4">
        <v>500000</v>
      </c>
      <c r="Y694" s="4">
        <v>500000</v>
      </c>
    </row>
    <row r="695" spans="1:25" ht="19.5" customHeight="1" x14ac:dyDescent="0.25">
      <c r="A695" s="2" t="s">
        <v>1690</v>
      </c>
      <c r="B695" s="2" t="s">
        <v>54</v>
      </c>
      <c r="C695" s="2" t="s">
        <v>54</v>
      </c>
      <c r="D695" s="2" t="s">
        <v>1789</v>
      </c>
      <c r="E695" s="2" t="s">
        <v>1790</v>
      </c>
      <c r="F695" s="3">
        <v>215667.46</v>
      </c>
      <c r="G695" s="3">
        <v>270000</v>
      </c>
      <c r="H695" s="3">
        <v>2705500</v>
      </c>
      <c r="I695" s="3">
        <v>2705500</v>
      </c>
      <c r="J695" s="3">
        <v>2705500</v>
      </c>
      <c r="K695" s="3">
        <v>2705500</v>
      </c>
      <c r="L695" s="4">
        <v>2705500</v>
      </c>
      <c r="M695" s="4">
        <v>2705500</v>
      </c>
      <c r="N695" s="4">
        <v>2705500</v>
      </c>
      <c r="O695" s="4">
        <v>2705500</v>
      </c>
      <c r="P695" s="4">
        <v>2705500</v>
      </c>
      <c r="Q695" s="4">
        <v>2705500</v>
      </c>
      <c r="R695" s="4">
        <v>2705500</v>
      </c>
      <c r="S695" s="4">
        <v>2705500</v>
      </c>
      <c r="T695" s="4">
        <v>2705500</v>
      </c>
      <c r="U695" s="4">
        <v>2705500</v>
      </c>
      <c r="V695" s="4">
        <v>2705500</v>
      </c>
      <c r="W695" s="4">
        <v>2705500</v>
      </c>
      <c r="X695" s="4">
        <v>2705500</v>
      </c>
      <c r="Y695" s="4">
        <v>2705500</v>
      </c>
    </row>
    <row r="696" spans="1:25" ht="19.5" customHeight="1" x14ac:dyDescent="0.25">
      <c r="A696" s="2" t="s">
        <v>1791</v>
      </c>
      <c r="B696" s="2" t="s">
        <v>16</v>
      </c>
      <c r="C696" s="2" t="s">
        <v>1792</v>
      </c>
      <c r="D696" s="2" t="s">
        <v>1793</v>
      </c>
      <c r="E696" s="2" t="s">
        <v>1794</v>
      </c>
      <c r="F696" s="3">
        <v>950308.56</v>
      </c>
      <c r="G696" s="3">
        <v>1200000</v>
      </c>
      <c r="H696" s="3">
        <v>1200000</v>
      </c>
      <c r="I696" s="3">
        <v>1200000</v>
      </c>
      <c r="J696" s="3">
        <v>1200000</v>
      </c>
      <c r="K696" s="3">
        <v>1200000</v>
      </c>
      <c r="L696" s="4">
        <v>1200000</v>
      </c>
      <c r="M696" s="4">
        <v>1200000</v>
      </c>
      <c r="N696" s="4">
        <v>1200000</v>
      </c>
      <c r="O696" s="4">
        <v>1200000</v>
      </c>
      <c r="P696" s="4">
        <v>1200000</v>
      </c>
      <c r="Q696" s="4">
        <v>1200000</v>
      </c>
      <c r="R696" s="4">
        <v>1200000</v>
      </c>
      <c r="S696" s="4">
        <v>1200000</v>
      </c>
      <c r="T696" s="4">
        <v>1200000</v>
      </c>
      <c r="U696" s="4">
        <v>1200000</v>
      </c>
      <c r="V696" s="4">
        <v>1200000</v>
      </c>
      <c r="W696" s="4">
        <v>1200000</v>
      </c>
      <c r="X696" s="4">
        <v>1200000</v>
      </c>
      <c r="Y696" s="4">
        <v>1200000</v>
      </c>
    </row>
    <row r="697" spans="1:25" ht="19.5" customHeight="1" x14ac:dyDescent="0.25">
      <c r="A697" s="2" t="s">
        <v>1791</v>
      </c>
      <c r="B697" s="2" t="s">
        <v>16</v>
      </c>
      <c r="C697" s="2" t="s">
        <v>1795</v>
      </c>
      <c r="D697" s="2" t="s">
        <v>1796</v>
      </c>
      <c r="E697" s="2" t="s">
        <v>1797</v>
      </c>
      <c r="F697" s="3">
        <v>538640.88</v>
      </c>
      <c r="G697" s="3">
        <v>400000</v>
      </c>
      <c r="H697" s="3">
        <v>400000</v>
      </c>
      <c r="I697" s="3">
        <v>400000</v>
      </c>
      <c r="J697" s="3">
        <v>400000</v>
      </c>
      <c r="K697" s="3">
        <v>400000</v>
      </c>
      <c r="L697" s="4">
        <v>400000</v>
      </c>
      <c r="M697" s="4">
        <v>400000</v>
      </c>
      <c r="N697" s="4">
        <v>400000</v>
      </c>
      <c r="O697" s="4">
        <v>400000</v>
      </c>
      <c r="P697" s="4">
        <v>400000</v>
      </c>
      <c r="Q697" s="4">
        <v>400000</v>
      </c>
      <c r="R697" s="4">
        <v>400000</v>
      </c>
      <c r="S697" s="4">
        <v>400000</v>
      </c>
      <c r="T697" s="4">
        <v>400000</v>
      </c>
      <c r="U697" s="4">
        <v>400000</v>
      </c>
      <c r="V697" s="4">
        <v>400000</v>
      </c>
      <c r="W697" s="4">
        <v>400000</v>
      </c>
      <c r="X697" s="4">
        <v>400000</v>
      </c>
      <c r="Y697" s="4">
        <v>400000</v>
      </c>
    </row>
    <row r="698" spans="1:25" ht="19.5" customHeight="1" x14ac:dyDescent="0.25">
      <c r="A698" s="2" t="s">
        <v>1791</v>
      </c>
      <c r="B698" s="2" t="s">
        <v>16</v>
      </c>
      <c r="C698" s="2" t="s">
        <v>1798</v>
      </c>
      <c r="D698" s="2" t="s">
        <v>1799</v>
      </c>
      <c r="E698" s="2" t="s">
        <v>1800</v>
      </c>
      <c r="F698" s="3">
        <v>2429744.06</v>
      </c>
      <c r="G698" s="3">
        <v>2450000</v>
      </c>
      <c r="H698" s="3">
        <v>2450000</v>
      </c>
      <c r="I698" s="3">
        <v>2450000</v>
      </c>
      <c r="J698" s="3">
        <v>2450000</v>
      </c>
      <c r="K698" s="3">
        <v>2450000</v>
      </c>
      <c r="L698" s="4">
        <v>2450000</v>
      </c>
      <c r="M698" s="4">
        <v>2450000</v>
      </c>
      <c r="N698" s="4">
        <v>2450000</v>
      </c>
      <c r="O698" s="4">
        <v>2450000</v>
      </c>
      <c r="P698" s="4">
        <v>2450000</v>
      </c>
      <c r="Q698" s="4">
        <v>2450000</v>
      </c>
      <c r="R698" s="4">
        <v>2450000</v>
      </c>
      <c r="S698" s="4">
        <v>2450000</v>
      </c>
      <c r="T698" s="4">
        <v>2450000</v>
      </c>
      <c r="U698" s="4">
        <v>2450000</v>
      </c>
      <c r="V698" s="4">
        <v>2450000</v>
      </c>
      <c r="W698" s="4">
        <v>2450000</v>
      </c>
      <c r="X698" s="4">
        <v>2450000</v>
      </c>
      <c r="Y698" s="4">
        <v>2450000</v>
      </c>
    </row>
    <row r="699" spans="1:25" ht="19.5" customHeight="1" x14ac:dyDescent="0.25">
      <c r="A699" s="2" t="s">
        <v>1791</v>
      </c>
      <c r="B699" s="2" t="s">
        <v>16</v>
      </c>
      <c r="C699" s="2" t="s">
        <v>1801</v>
      </c>
      <c r="D699" s="2" t="s">
        <v>1802</v>
      </c>
      <c r="E699" s="2" t="s">
        <v>1803</v>
      </c>
      <c r="F699" s="4">
        <v>3351607.38</v>
      </c>
      <c r="G699" s="3">
        <v>4660000</v>
      </c>
      <c r="H699" s="3">
        <v>4660000</v>
      </c>
      <c r="I699" s="3">
        <v>4660000</v>
      </c>
      <c r="J699" s="3">
        <v>4660000</v>
      </c>
      <c r="K699" s="3">
        <v>4660000</v>
      </c>
      <c r="L699" s="4">
        <v>4660000</v>
      </c>
      <c r="M699" s="4">
        <v>4660000</v>
      </c>
      <c r="N699" s="4">
        <v>4660000</v>
      </c>
      <c r="O699" s="4">
        <v>4660000</v>
      </c>
      <c r="P699" s="4">
        <v>4660000</v>
      </c>
      <c r="Q699" s="4">
        <v>4660000</v>
      </c>
      <c r="R699" s="4">
        <v>4660000</v>
      </c>
      <c r="S699" s="4">
        <v>4660000</v>
      </c>
      <c r="T699" s="4">
        <v>4660000</v>
      </c>
      <c r="U699" s="4">
        <v>4660000</v>
      </c>
      <c r="V699" s="4">
        <v>4660000</v>
      </c>
      <c r="W699" s="4">
        <v>4660000</v>
      </c>
      <c r="X699" s="4">
        <v>4660000</v>
      </c>
      <c r="Y699" s="4">
        <v>4660000</v>
      </c>
    </row>
    <row r="700" spans="1:25" ht="19.5" customHeight="1" x14ac:dyDescent="0.25">
      <c r="A700" s="2" t="s">
        <v>1791</v>
      </c>
      <c r="B700" s="2" t="s">
        <v>16</v>
      </c>
      <c r="C700" s="2" t="s">
        <v>1804</v>
      </c>
      <c r="D700" s="2" t="s">
        <v>1805</v>
      </c>
      <c r="E700" s="2" t="s">
        <v>1806</v>
      </c>
      <c r="F700" s="3">
        <v>701983.67</v>
      </c>
      <c r="G700" s="3">
        <v>1300000</v>
      </c>
      <c r="H700" s="3">
        <v>1300000</v>
      </c>
      <c r="I700" s="3">
        <v>1300000</v>
      </c>
      <c r="J700" s="3">
        <v>1300000</v>
      </c>
      <c r="K700" s="3">
        <v>1300000</v>
      </c>
      <c r="L700" s="4">
        <v>1300000</v>
      </c>
      <c r="M700" s="4">
        <v>1300000</v>
      </c>
      <c r="N700" s="4">
        <v>1300000</v>
      </c>
      <c r="O700" s="4">
        <v>1300000</v>
      </c>
      <c r="P700" s="4">
        <v>1300000</v>
      </c>
      <c r="Q700" s="4">
        <v>1300000</v>
      </c>
      <c r="R700" s="4">
        <v>1300000</v>
      </c>
      <c r="S700" s="4">
        <v>1300000</v>
      </c>
      <c r="T700" s="4">
        <v>1300000</v>
      </c>
      <c r="U700" s="4">
        <v>1300000</v>
      </c>
      <c r="V700" s="4">
        <v>1300000</v>
      </c>
      <c r="W700" s="4">
        <v>1300000</v>
      </c>
      <c r="X700" s="4">
        <v>1300000</v>
      </c>
      <c r="Y700" s="4">
        <v>1300000</v>
      </c>
    </row>
    <row r="701" spans="1:25" ht="19.5" customHeight="1" x14ac:dyDescent="0.25">
      <c r="A701" s="2" t="s">
        <v>1791</v>
      </c>
      <c r="B701" s="2" t="s">
        <v>16</v>
      </c>
      <c r="C701" s="2" t="s">
        <v>35</v>
      </c>
      <c r="D701" s="2" t="s">
        <v>1807</v>
      </c>
      <c r="E701" s="2" t="s">
        <v>1808</v>
      </c>
      <c r="F701" s="3">
        <v>0</v>
      </c>
      <c r="G701" s="3">
        <v>117393143</v>
      </c>
      <c r="H701" s="3">
        <v>18000000</v>
      </c>
      <c r="I701" s="3">
        <v>0</v>
      </c>
      <c r="J701" s="3">
        <v>18000000</v>
      </c>
      <c r="K701" s="3">
        <v>0</v>
      </c>
      <c r="L701" s="4">
        <v>18000000</v>
      </c>
      <c r="M701" s="4">
        <v>0</v>
      </c>
      <c r="N701" s="4">
        <v>18000000</v>
      </c>
      <c r="O701" s="4">
        <v>0</v>
      </c>
      <c r="P701" s="4">
        <v>18000000</v>
      </c>
      <c r="Q701" s="4">
        <v>0</v>
      </c>
      <c r="R701" s="4">
        <v>18000000</v>
      </c>
      <c r="S701" s="4">
        <v>0</v>
      </c>
      <c r="T701" s="4">
        <v>18000000</v>
      </c>
      <c r="U701" s="4">
        <v>0</v>
      </c>
      <c r="V701" s="4">
        <v>18000000</v>
      </c>
      <c r="W701" s="4">
        <v>0</v>
      </c>
      <c r="X701" s="4">
        <v>18000000</v>
      </c>
      <c r="Y701" s="4">
        <v>0</v>
      </c>
    </row>
    <row r="702" spans="1:25" ht="19.5" customHeight="1" x14ac:dyDescent="0.25">
      <c r="A702" s="2" t="s">
        <v>1791</v>
      </c>
      <c r="B702" s="2" t="s">
        <v>16</v>
      </c>
      <c r="C702" s="2" t="s">
        <v>1809</v>
      </c>
      <c r="D702" s="2" t="s">
        <v>1810</v>
      </c>
      <c r="E702" s="2" t="s">
        <v>1811</v>
      </c>
      <c r="F702" s="3">
        <v>2624902.33</v>
      </c>
      <c r="G702" s="3">
        <v>1860000</v>
      </c>
      <c r="H702" s="3">
        <v>1860000</v>
      </c>
      <c r="I702" s="3">
        <v>1860000</v>
      </c>
      <c r="J702" s="3">
        <v>1860000</v>
      </c>
      <c r="K702" s="3">
        <v>1860000</v>
      </c>
      <c r="L702" s="4">
        <v>1860000</v>
      </c>
      <c r="M702" s="4">
        <v>1860000</v>
      </c>
      <c r="N702" s="4">
        <v>1860000</v>
      </c>
      <c r="O702" s="4">
        <v>1860000</v>
      </c>
      <c r="P702" s="4">
        <v>1860000</v>
      </c>
      <c r="Q702" s="4">
        <v>1860000</v>
      </c>
      <c r="R702" s="4">
        <v>1860000</v>
      </c>
      <c r="S702" s="4">
        <v>1860000</v>
      </c>
      <c r="T702" s="4">
        <v>1860000</v>
      </c>
      <c r="U702" s="4">
        <v>1860000</v>
      </c>
      <c r="V702" s="4">
        <v>1860000</v>
      </c>
      <c r="W702" s="4">
        <v>1860000</v>
      </c>
      <c r="X702" s="4">
        <v>1860000</v>
      </c>
      <c r="Y702" s="4">
        <v>1860000</v>
      </c>
    </row>
    <row r="703" spans="1:25" ht="19.5" customHeight="1" x14ac:dyDescent="0.25">
      <c r="A703" s="2" t="s">
        <v>1791</v>
      </c>
      <c r="B703" s="2" t="s">
        <v>16</v>
      </c>
      <c r="C703" s="2" t="s">
        <v>1563</v>
      </c>
      <c r="D703" s="2" t="s">
        <v>1812</v>
      </c>
      <c r="E703" s="2" t="s">
        <v>1813</v>
      </c>
      <c r="F703" s="3">
        <v>5000000</v>
      </c>
      <c r="G703" s="3">
        <v>5000000</v>
      </c>
      <c r="H703" s="3">
        <v>5000000</v>
      </c>
      <c r="I703" s="3">
        <v>5000000</v>
      </c>
      <c r="J703" s="3">
        <v>5000000</v>
      </c>
      <c r="K703" s="3">
        <v>5000000</v>
      </c>
      <c r="L703" s="4">
        <v>5000000</v>
      </c>
      <c r="M703" s="4">
        <v>5000000</v>
      </c>
      <c r="N703" s="4">
        <v>5000000</v>
      </c>
      <c r="O703" s="4">
        <v>5000000</v>
      </c>
      <c r="P703" s="4">
        <v>5000000</v>
      </c>
      <c r="Q703" s="4">
        <v>5000000</v>
      </c>
      <c r="R703" s="4">
        <v>5000000</v>
      </c>
      <c r="S703" s="4">
        <v>5000000</v>
      </c>
      <c r="T703" s="4">
        <v>5000000</v>
      </c>
      <c r="U703" s="4">
        <v>5000000</v>
      </c>
      <c r="V703" s="4">
        <v>5000000</v>
      </c>
      <c r="W703" s="4">
        <v>5000000</v>
      </c>
      <c r="X703" s="4">
        <v>5000000</v>
      </c>
      <c r="Y703" s="4">
        <v>5000000</v>
      </c>
    </row>
    <row r="704" spans="1:25" ht="19.5" customHeight="1" x14ac:dyDescent="0.25">
      <c r="A704" s="2" t="s">
        <v>1791</v>
      </c>
      <c r="B704" s="2" t="s">
        <v>16</v>
      </c>
      <c r="C704" s="2" t="s">
        <v>1814</v>
      </c>
      <c r="D704" s="2" t="s">
        <v>1815</v>
      </c>
      <c r="E704" s="2" t="s">
        <v>1816</v>
      </c>
      <c r="F704" s="3">
        <v>213050.09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4">
        <v>0</v>
      </c>
      <c r="M704" s="4">
        <v>0</v>
      </c>
      <c r="N704" s="4">
        <v>0</v>
      </c>
      <c r="O704" s="4">
        <v>0</v>
      </c>
      <c r="P704" s="4">
        <v>0</v>
      </c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</row>
    <row r="705" spans="1:25" ht="19.5" customHeight="1" x14ac:dyDescent="0.25">
      <c r="A705" s="2" t="s">
        <v>1791</v>
      </c>
      <c r="B705" s="2" t="s">
        <v>44</v>
      </c>
      <c r="C705" s="2" t="s">
        <v>1817</v>
      </c>
      <c r="D705" s="2" t="s">
        <v>1818</v>
      </c>
      <c r="E705" s="2" t="s">
        <v>1819</v>
      </c>
      <c r="F705" s="3">
        <v>1560369.77</v>
      </c>
      <c r="G705" s="3">
        <v>3040000</v>
      </c>
      <c r="H705" s="3">
        <v>3040000</v>
      </c>
      <c r="I705" s="3">
        <v>3040000</v>
      </c>
      <c r="J705" s="3">
        <v>3040000</v>
      </c>
      <c r="K705" s="3">
        <v>3040000</v>
      </c>
      <c r="L705" s="4">
        <v>3040000</v>
      </c>
      <c r="M705" s="4">
        <v>3040000</v>
      </c>
      <c r="N705" s="4">
        <v>3040000</v>
      </c>
      <c r="O705" s="4">
        <v>3040000</v>
      </c>
      <c r="P705" s="4">
        <v>3040000</v>
      </c>
      <c r="Q705" s="4">
        <v>3040000</v>
      </c>
      <c r="R705" s="4">
        <v>3040000</v>
      </c>
      <c r="S705" s="4">
        <v>3040000</v>
      </c>
      <c r="T705" s="4">
        <v>3040000</v>
      </c>
      <c r="U705" s="4">
        <v>3040000</v>
      </c>
      <c r="V705" s="4">
        <v>3040000</v>
      </c>
      <c r="W705" s="4">
        <v>3040000</v>
      </c>
      <c r="X705" s="4">
        <v>3040000</v>
      </c>
      <c r="Y705" s="4">
        <v>3040000</v>
      </c>
    </row>
    <row r="706" spans="1:25" ht="19.5" customHeight="1" x14ac:dyDescent="0.25">
      <c r="A706" s="2" t="s">
        <v>1791</v>
      </c>
      <c r="B706" s="2" t="s">
        <v>44</v>
      </c>
      <c r="C706" s="2" t="s">
        <v>1820</v>
      </c>
      <c r="D706" s="2" t="s">
        <v>1821</v>
      </c>
      <c r="E706" s="2" t="s">
        <v>1822</v>
      </c>
      <c r="F706" s="3">
        <v>79040.59</v>
      </c>
      <c r="G706" s="3">
        <v>300000</v>
      </c>
      <c r="H706" s="3">
        <v>300000</v>
      </c>
      <c r="I706" s="3">
        <v>300000</v>
      </c>
      <c r="J706" s="3">
        <v>300000</v>
      </c>
      <c r="K706" s="3">
        <v>300000</v>
      </c>
      <c r="L706" s="4">
        <v>300000</v>
      </c>
      <c r="M706" s="4">
        <v>300000</v>
      </c>
      <c r="N706" s="4">
        <v>300000</v>
      </c>
      <c r="O706" s="4">
        <v>300000</v>
      </c>
      <c r="P706" s="4">
        <v>300000</v>
      </c>
      <c r="Q706" s="4">
        <v>300000</v>
      </c>
      <c r="R706" s="4">
        <v>300000</v>
      </c>
      <c r="S706" s="4">
        <v>300000</v>
      </c>
      <c r="T706" s="4">
        <v>300000</v>
      </c>
      <c r="U706" s="4">
        <v>300000</v>
      </c>
      <c r="V706" s="4">
        <v>300000</v>
      </c>
      <c r="W706" s="4">
        <v>300000</v>
      </c>
      <c r="X706" s="4">
        <v>300000</v>
      </c>
      <c r="Y706" s="4">
        <v>300000</v>
      </c>
    </row>
    <row r="707" spans="1:25" ht="19.5" customHeight="1" x14ac:dyDescent="0.25">
      <c r="A707" s="2" t="s">
        <v>1791</v>
      </c>
      <c r="B707" s="2" t="s">
        <v>54</v>
      </c>
      <c r="C707" s="2" t="s">
        <v>54</v>
      </c>
      <c r="D707" s="2" t="s">
        <v>1823</v>
      </c>
      <c r="E707" s="2" t="s">
        <v>1824</v>
      </c>
      <c r="F707" s="3">
        <v>1121092596.6600001</v>
      </c>
      <c r="G707" s="3">
        <v>1153962886</v>
      </c>
      <c r="H707" s="3">
        <v>1201221420</v>
      </c>
      <c r="I707" s="3">
        <v>1251447479</v>
      </c>
      <c r="J707" s="3">
        <v>1201221420</v>
      </c>
      <c r="K707" s="3">
        <v>1251447479</v>
      </c>
      <c r="L707" s="4">
        <v>1201221420</v>
      </c>
      <c r="M707" s="4">
        <v>1251447479</v>
      </c>
      <c r="N707" s="4">
        <v>1201221420</v>
      </c>
      <c r="O707" s="4">
        <v>1251447479</v>
      </c>
      <c r="P707" s="4">
        <v>1162990471</v>
      </c>
      <c r="Q707" s="4">
        <v>1205111140</v>
      </c>
      <c r="R707" s="4">
        <v>1192004968</v>
      </c>
      <c r="S707" s="4">
        <v>1234125637</v>
      </c>
      <c r="T707" s="4">
        <v>1192004968</v>
      </c>
      <c r="U707" s="4">
        <v>1234125637</v>
      </c>
      <c r="V707" s="4">
        <v>1192004968</v>
      </c>
      <c r="W707" s="4">
        <v>1234125637</v>
      </c>
      <c r="X707" s="4">
        <v>1192004968</v>
      </c>
      <c r="Y707" s="4">
        <v>1234125637</v>
      </c>
    </row>
    <row r="708" spans="1:25" ht="19.5" customHeight="1" x14ac:dyDescent="0.25">
      <c r="A708" s="2" t="s">
        <v>1791</v>
      </c>
      <c r="B708" s="2" t="s">
        <v>54</v>
      </c>
      <c r="C708" s="2" t="s">
        <v>54</v>
      </c>
      <c r="D708" s="2" t="s">
        <v>1825</v>
      </c>
      <c r="E708" s="2" t="s">
        <v>1826</v>
      </c>
      <c r="F708" s="3">
        <v>69216365.030000001</v>
      </c>
      <c r="G708" s="4">
        <v>70019786</v>
      </c>
      <c r="H708" s="4">
        <v>70019786</v>
      </c>
      <c r="I708" s="4">
        <v>70019786</v>
      </c>
      <c r="J708" s="4">
        <v>70019786</v>
      </c>
      <c r="K708" s="4">
        <v>70019786</v>
      </c>
      <c r="L708" s="4">
        <v>70019786</v>
      </c>
      <c r="M708" s="4">
        <v>70019786</v>
      </c>
      <c r="N708" s="4">
        <v>70019786</v>
      </c>
      <c r="O708" s="4">
        <v>70019786</v>
      </c>
      <c r="P708" s="4">
        <v>70019786</v>
      </c>
      <c r="Q708" s="4">
        <v>70019786</v>
      </c>
      <c r="R708" s="4">
        <v>70019786</v>
      </c>
      <c r="S708" s="4">
        <v>70019786</v>
      </c>
      <c r="T708" s="4">
        <v>70019786</v>
      </c>
      <c r="U708" s="4">
        <v>70019786</v>
      </c>
      <c r="V708" s="4">
        <v>70019786</v>
      </c>
      <c r="W708" s="4">
        <v>70019786</v>
      </c>
      <c r="X708" s="4">
        <v>70019786</v>
      </c>
      <c r="Y708" s="4">
        <v>70019786</v>
      </c>
    </row>
    <row r="709" spans="1:25" ht="19.5" customHeight="1" x14ac:dyDescent="0.25">
      <c r="A709" s="2" t="s">
        <v>1791</v>
      </c>
      <c r="B709" s="2" t="s">
        <v>54</v>
      </c>
      <c r="C709" s="2" t="s">
        <v>54</v>
      </c>
      <c r="D709" s="2" t="s">
        <v>1827</v>
      </c>
      <c r="E709" s="2" t="s">
        <v>1828</v>
      </c>
      <c r="F709" s="3">
        <v>61467571.869999997</v>
      </c>
      <c r="G709" s="4">
        <v>72940500</v>
      </c>
      <c r="H709" s="4">
        <v>85000000</v>
      </c>
      <c r="I709" s="4">
        <v>85000000</v>
      </c>
      <c r="J709" s="4">
        <v>85000000</v>
      </c>
      <c r="K709" s="4">
        <v>85000000</v>
      </c>
      <c r="L709" s="4">
        <v>85000000</v>
      </c>
      <c r="M709" s="4">
        <v>85000000</v>
      </c>
      <c r="N709" s="4">
        <v>85000000</v>
      </c>
      <c r="O709" s="4">
        <v>85000000</v>
      </c>
      <c r="P709" s="4">
        <v>85000000</v>
      </c>
      <c r="Q709" s="4">
        <v>85000000</v>
      </c>
      <c r="R709" s="4">
        <v>85000000</v>
      </c>
      <c r="S709" s="4">
        <v>85000000</v>
      </c>
      <c r="T709" s="4">
        <v>85000000</v>
      </c>
      <c r="U709" s="4">
        <v>85000000</v>
      </c>
      <c r="V709" s="4">
        <v>85000000</v>
      </c>
      <c r="W709" s="4">
        <v>85000000</v>
      </c>
      <c r="X709" s="4">
        <v>85000000</v>
      </c>
      <c r="Y709" s="4">
        <v>85000000</v>
      </c>
    </row>
    <row r="710" spans="1:25" ht="19.5" customHeight="1" x14ac:dyDescent="0.25">
      <c r="A710" s="2" t="s">
        <v>1791</v>
      </c>
      <c r="B710" s="2" t="s">
        <v>54</v>
      </c>
      <c r="C710" s="2" t="s">
        <v>54</v>
      </c>
      <c r="D710" s="2" t="s">
        <v>1829</v>
      </c>
      <c r="E710" s="2" t="s">
        <v>1830</v>
      </c>
      <c r="F710" s="3">
        <v>59333786.340000004</v>
      </c>
      <c r="G710" s="3">
        <v>60444863</v>
      </c>
      <c r="H710" s="3">
        <v>60444863</v>
      </c>
      <c r="I710" s="3">
        <v>60444863</v>
      </c>
      <c r="J710" s="3">
        <v>67644863</v>
      </c>
      <c r="K710" s="3">
        <v>67644863</v>
      </c>
      <c r="L710" s="4">
        <v>67644863</v>
      </c>
      <c r="M710" s="4">
        <v>67644863</v>
      </c>
      <c r="N710" s="4">
        <v>67644863</v>
      </c>
      <c r="O710" s="4">
        <v>67644863</v>
      </c>
      <c r="P710" s="4">
        <v>96659360</v>
      </c>
      <c r="Q710" s="4">
        <v>96659360</v>
      </c>
      <c r="R710" s="4">
        <v>67644863</v>
      </c>
      <c r="S710" s="4">
        <v>67644863</v>
      </c>
      <c r="T710" s="4">
        <v>67644863</v>
      </c>
      <c r="U710" s="4">
        <v>67644863</v>
      </c>
      <c r="V710" s="4">
        <v>67644863</v>
      </c>
      <c r="W710" s="4">
        <v>67644863</v>
      </c>
      <c r="X710" s="4">
        <v>67644863</v>
      </c>
      <c r="Y710" s="4">
        <v>67644863</v>
      </c>
    </row>
    <row r="711" spans="1:25" ht="19.5" customHeight="1" x14ac:dyDescent="0.25">
      <c r="A711" s="2" t="s">
        <v>1791</v>
      </c>
      <c r="B711" s="2" t="s">
        <v>54</v>
      </c>
      <c r="C711" s="2" t="s">
        <v>54</v>
      </c>
      <c r="D711" s="2" t="s">
        <v>1831</v>
      </c>
      <c r="E711" s="2" t="s">
        <v>1832</v>
      </c>
      <c r="F711" s="3">
        <v>9339026</v>
      </c>
      <c r="G711" s="3">
        <v>9340276</v>
      </c>
      <c r="H711" s="3">
        <v>9340276</v>
      </c>
      <c r="I711" s="3">
        <v>9340276</v>
      </c>
      <c r="J711" s="3">
        <v>9340276</v>
      </c>
      <c r="K711" s="3">
        <v>9340276</v>
      </c>
      <c r="L711" s="4">
        <v>9340276</v>
      </c>
      <c r="M711" s="4">
        <v>9340276</v>
      </c>
      <c r="N711" s="4">
        <v>9340276</v>
      </c>
      <c r="O711" s="4">
        <v>9340276</v>
      </c>
      <c r="P711" s="4">
        <v>9340276</v>
      </c>
      <c r="Q711" s="4">
        <v>9340276</v>
      </c>
      <c r="R711" s="4">
        <v>9340276</v>
      </c>
      <c r="S711" s="4">
        <v>9340276</v>
      </c>
      <c r="T711" s="4">
        <v>9340276</v>
      </c>
      <c r="U711" s="4">
        <v>9340276</v>
      </c>
      <c r="V711" s="4">
        <v>9340276</v>
      </c>
      <c r="W711" s="4">
        <v>9340276</v>
      </c>
      <c r="X711" s="4">
        <v>9340276</v>
      </c>
      <c r="Y711" s="4">
        <v>9340276</v>
      </c>
    </row>
    <row r="712" spans="1:25" ht="19.5" customHeight="1" x14ac:dyDescent="0.25">
      <c r="A712" s="2" t="s">
        <v>1791</v>
      </c>
      <c r="B712" s="2" t="s">
        <v>54</v>
      </c>
      <c r="C712" s="2" t="s">
        <v>54</v>
      </c>
      <c r="D712" s="2" t="s">
        <v>1833</v>
      </c>
      <c r="E712" s="2" t="s">
        <v>1834</v>
      </c>
      <c r="F712" s="3">
        <v>83072332</v>
      </c>
      <c r="G712" s="3">
        <v>83072332</v>
      </c>
      <c r="H712" s="3">
        <v>83072332</v>
      </c>
      <c r="I712" s="3">
        <v>83072332</v>
      </c>
      <c r="J712" s="3">
        <v>84757815</v>
      </c>
      <c r="K712" s="3">
        <v>86072332</v>
      </c>
      <c r="L712" s="4">
        <v>84757815</v>
      </c>
      <c r="M712" s="4">
        <v>86072332</v>
      </c>
      <c r="N712" s="4">
        <v>84757815</v>
      </c>
      <c r="O712" s="4">
        <v>86072332</v>
      </c>
      <c r="P712" s="4">
        <v>84757815</v>
      </c>
      <c r="Q712" s="4">
        <v>88835863</v>
      </c>
      <c r="R712" s="4">
        <v>84757815</v>
      </c>
      <c r="S712" s="4">
        <v>88835863</v>
      </c>
      <c r="T712" s="4">
        <v>84757815</v>
      </c>
      <c r="U712" s="4">
        <v>88835863</v>
      </c>
      <c r="V712" s="4">
        <v>84757815</v>
      </c>
      <c r="W712" s="4">
        <v>88835863</v>
      </c>
      <c r="X712" s="4">
        <v>84757815</v>
      </c>
      <c r="Y712" s="4">
        <v>88835863</v>
      </c>
    </row>
    <row r="713" spans="1:25" ht="19.5" customHeight="1" x14ac:dyDescent="0.25">
      <c r="A713" s="2" t="s">
        <v>1791</v>
      </c>
      <c r="B713" s="2" t="s">
        <v>54</v>
      </c>
      <c r="C713" s="2" t="s">
        <v>54</v>
      </c>
      <c r="D713" s="2" t="s">
        <v>1835</v>
      </c>
      <c r="E713" s="2" t="s">
        <v>1836</v>
      </c>
      <c r="F713" s="3">
        <v>84498737.189999998</v>
      </c>
      <c r="G713" s="3">
        <v>87273762</v>
      </c>
      <c r="H713" s="3">
        <v>96680240</v>
      </c>
      <c r="I713" s="3">
        <v>106525655</v>
      </c>
      <c r="J713" s="3">
        <v>96680240</v>
      </c>
      <c r="K713" s="3">
        <v>106525655</v>
      </c>
      <c r="L713" s="4">
        <v>96680240</v>
      </c>
      <c r="M713" s="4">
        <v>106525655</v>
      </c>
      <c r="N713" s="4">
        <v>96680240</v>
      </c>
      <c r="O713" s="4">
        <v>106525655</v>
      </c>
      <c r="P713" s="4">
        <v>96680240</v>
      </c>
      <c r="Q713" s="4">
        <v>106525655</v>
      </c>
      <c r="R713" s="4">
        <v>96680240</v>
      </c>
      <c r="S713" s="4">
        <v>106525655</v>
      </c>
      <c r="T713" s="4">
        <v>96680240</v>
      </c>
      <c r="U713" s="4">
        <v>106525655</v>
      </c>
      <c r="V713" s="4">
        <v>96680240</v>
      </c>
      <c r="W713" s="4">
        <v>106525655</v>
      </c>
      <c r="X713" s="4">
        <v>96680240</v>
      </c>
      <c r="Y713" s="4">
        <v>106525655</v>
      </c>
    </row>
    <row r="714" spans="1:25" ht="19.5" customHeight="1" x14ac:dyDescent="0.25">
      <c r="A714" s="2" t="s">
        <v>1791</v>
      </c>
      <c r="B714" s="2" t="s">
        <v>54</v>
      </c>
      <c r="C714" s="2" t="s">
        <v>54</v>
      </c>
      <c r="D714" s="2" t="s">
        <v>1837</v>
      </c>
      <c r="E714" s="2" t="s">
        <v>1838</v>
      </c>
      <c r="F714" s="3">
        <v>24993185.370000001</v>
      </c>
      <c r="G714" s="3">
        <v>24372000</v>
      </c>
      <c r="H714" s="3">
        <v>24658204</v>
      </c>
      <c r="I714" s="3">
        <v>25132130</v>
      </c>
      <c r="J714" s="3">
        <v>24658204</v>
      </c>
      <c r="K714" s="3">
        <v>25132130</v>
      </c>
      <c r="L714" s="4">
        <v>24658204</v>
      </c>
      <c r="M714" s="4">
        <v>25132130</v>
      </c>
      <c r="N714" s="4">
        <v>24658204</v>
      </c>
      <c r="O714" s="4">
        <v>25132130</v>
      </c>
      <c r="P714" s="4">
        <v>24658204</v>
      </c>
      <c r="Q714" s="4">
        <v>25132130</v>
      </c>
      <c r="R714" s="4">
        <v>24658204</v>
      </c>
      <c r="S714" s="4">
        <v>25132130</v>
      </c>
      <c r="T714" s="4">
        <v>24658204</v>
      </c>
      <c r="U714" s="4">
        <v>25132130</v>
      </c>
      <c r="V714" s="4">
        <v>24658204</v>
      </c>
      <c r="W714" s="4">
        <v>25132130</v>
      </c>
      <c r="X714" s="4">
        <v>24658204</v>
      </c>
      <c r="Y714" s="4">
        <v>25132130</v>
      </c>
    </row>
    <row r="715" spans="1:25" ht="19.5" customHeight="1" x14ac:dyDescent="0.25">
      <c r="A715" s="2" t="s">
        <v>1791</v>
      </c>
      <c r="B715" s="2" t="s">
        <v>54</v>
      </c>
      <c r="C715" s="2" t="s">
        <v>54</v>
      </c>
      <c r="D715" s="2" t="s">
        <v>1839</v>
      </c>
      <c r="E715" s="2" t="s">
        <v>1840</v>
      </c>
      <c r="F715" s="3">
        <v>286874303.80000001</v>
      </c>
      <c r="G715" s="4">
        <v>288946474</v>
      </c>
      <c r="H715" s="4">
        <v>290898936</v>
      </c>
      <c r="I715" s="4">
        <v>302940702</v>
      </c>
      <c r="J715" s="4">
        <v>290898936</v>
      </c>
      <c r="K715" s="4">
        <v>302940702</v>
      </c>
      <c r="L715" s="4">
        <v>290898936</v>
      </c>
      <c r="M715" s="4">
        <v>302940702</v>
      </c>
      <c r="N715" s="4">
        <v>290898936</v>
      </c>
      <c r="O715" s="4">
        <v>302940702</v>
      </c>
      <c r="P715" s="4">
        <v>290898936</v>
      </c>
      <c r="Q715" s="4">
        <v>302940702</v>
      </c>
      <c r="R715" s="4">
        <v>290898936</v>
      </c>
      <c r="S715" s="4">
        <v>302940702</v>
      </c>
      <c r="T715" s="4">
        <v>290898936</v>
      </c>
      <c r="U715" s="4">
        <v>302940702</v>
      </c>
      <c r="V715" s="4">
        <v>290898936</v>
      </c>
      <c r="W715" s="4">
        <v>302940702</v>
      </c>
      <c r="X715" s="4">
        <v>290898936</v>
      </c>
      <c r="Y715" s="4">
        <v>302940702</v>
      </c>
    </row>
    <row r="716" spans="1:25" ht="19.5" customHeight="1" x14ac:dyDescent="0.25">
      <c r="A716" s="2" t="s">
        <v>1791</v>
      </c>
      <c r="B716" s="2" t="s">
        <v>54</v>
      </c>
      <c r="C716" s="2" t="s">
        <v>54</v>
      </c>
      <c r="D716" s="2" t="s">
        <v>1841</v>
      </c>
      <c r="E716" s="2" t="s">
        <v>1842</v>
      </c>
      <c r="F716" s="3">
        <v>35607735.850000001</v>
      </c>
      <c r="G716" s="3">
        <v>33900490</v>
      </c>
      <c r="H716" s="3">
        <v>34887328</v>
      </c>
      <c r="I716" s="3">
        <v>35665119</v>
      </c>
      <c r="J716" s="3">
        <v>34887328</v>
      </c>
      <c r="K716" s="3">
        <v>35665119</v>
      </c>
      <c r="L716" s="4">
        <v>34887328</v>
      </c>
      <c r="M716" s="4">
        <v>35665119</v>
      </c>
      <c r="N716" s="4">
        <v>34887328</v>
      </c>
      <c r="O716" s="4">
        <v>35665119</v>
      </c>
      <c r="P716" s="4">
        <v>34887328</v>
      </c>
      <c r="Q716" s="4">
        <v>35665119</v>
      </c>
      <c r="R716" s="4">
        <v>35541578</v>
      </c>
      <c r="S716" s="4">
        <v>35665119</v>
      </c>
      <c r="T716" s="4">
        <v>35541578</v>
      </c>
      <c r="U716" s="4">
        <v>35665119</v>
      </c>
      <c r="V716" s="4">
        <v>35541578</v>
      </c>
      <c r="W716" s="4">
        <v>35665119</v>
      </c>
      <c r="X716" s="4">
        <v>35541578</v>
      </c>
      <c r="Y716" s="4">
        <v>35665119</v>
      </c>
    </row>
    <row r="717" spans="1:25" ht="19.5" customHeight="1" x14ac:dyDescent="0.25">
      <c r="A717" s="2" t="s">
        <v>1791</v>
      </c>
      <c r="B717" s="2" t="s">
        <v>243</v>
      </c>
      <c r="C717" s="2" t="s">
        <v>1843</v>
      </c>
      <c r="D717" s="2" t="s">
        <v>1844</v>
      </c>
      <c r="E717" s="2" t="s">
        <v>1845</v>
      </c>
      <c r="F717" s="3">
        <v>2777548.72</v>
      </c>
      <c r="G717" s="3">
        <v>2850000</v>
      </c>
      <c r="H717" s="3">
        <v>2850000</v>
      </c>
      <c r="I717" s="3">
        <v>2850000</v>
      </c>
      <c r="J717" s="3">
        <v>2850000</v>
      </c>
      <c r="K717" s="3">
        <v>2850000</v>
      </c>
      <c r="L717" s="4">
        <v>2850000</v>
      </c>
      <c r="M717" s="4">
        <v>2850000</v>
      </c>
      <c r="N717" s="4">
        <v>2850000</v>
      </c>
      <c r="O717" s="4">
        <v>2850000</v>
      </c>
      <c r="P717" s="4">
        <v>2850000</v>
      </c>
      <c r="Q717" s="4">
        <v>2850000</v>
      </c>
      <c r="R717" s="4">
        <v>2850000</v>
      </c>
      <c r="S717" s="4">
        <v>2850000</v>
      </c>
      <c r="T717" s="4">
        <v>2850000</v>
      </c>
      <c r="U717" s="4">
        <v>2850000</v>
      </c>
      <c r="V717" s="4">
        <v>2850000</v>
      </c>
      <c r="W717" s="4">
        <v>2850000</v>
      </c>
      <c r="X717" s="4">
        <v>2850000</v>
      </c>
      <c r="Y717" s="4">
        <v>2850000</v>
      </c>
    </row>
    <row r="718" spans="1:25" ht="19.5" customHeight="1" x14ac:dyDescent="0.25">
      <c r="A718" s="2" t="s">
        <v>1791</v>
      </c>
      <c r="B718" s="2" t="s">
        <v>243</v>
      </c>
      <c r="C718" s="2" t="s">
        <v>1846</v>
      </c>
      <c r="D718" s="2" t="s">
        <v>1847</v>
      </c>
      <c r="E718" s="2" t="s">
        <v>1848</v>
      </c>
      <c r="F718" s="3">
        <v>39016278.5</v>
      </c>
      <c r="G718" s="3">
        <v>46515000</v>
      </c>
      <c r="H718" s="3">
        <v>46515000</v>
      </c>
      <c r="I718" s="3">
        <v>46515000</v>
      </c>
      <c r="J718" s="3">
        <v>46515000</v>
      </c>
      <c r="K718" s="3">
        <v>46515000</v>
      </c>
      <c r="L718" s="4">
        <v>46515000</v>
      </c>
      <c r="M718" s="4">
        <v>46515000</v>
      </c>
      <c r="N718" s="4">
        <v>46515000</v>
      </c>
      <c r="O718" s="4">
        <v>46515000</v>
      </c>
      <c r="P718" s="4">
        <v>46515000</v>
      </c>
      <c r="Q718" s="4">
        <v>46515000</v>
      </c>
      <c r="R718" s="4">
        <v>46515000</v>
      </c>
      <c r="S718" s="4">
        <v>46515000</v>
      </c>
      <c r="T718" s="4">
        <v>46515000</v>
      </c>
      <c r="U718" s="4">
        <v>46515000</v>
      </c>
      <c r="V718" s="4">
        <v>46515000</v>
      </c>
      <c r="W718" s="4">
        <v>46515000</v>
      </c>
      <c r="X718" s="4">
        <v>46515000</v>
      </c>
      <c r="Y718" s="4">
        <v>46515000</v>
      </c>
    </row>
    <row r="719" spans="1:25" ht="19.5" customHeight="1" x14ac:dyDescent="0.25">
      <c r="A719" s="2" t="s">
        <v>1791</v>
      </c>
      <c r="B719" s="2" t="s">
        <v>243</v>
      </c>
      <c r="C719" s="2" t="s">
        <v>1849</v>
      </c>
      <c r="D719" s="2" t="s">
        <v>1850</v>
      </c>
      <c r="E719" s="2" t="s">
        <v>1851</v>
      </c>
      <c r="F719" s="3">
        <v>868176.66</v>
      </c>
      <c r="G719" s="3">
        <v>2000000</v>
      </c>
      <c r="H719" s="3">
        <v>2000000</v>
      </c>
      <c r="I719" s="3">
        <v>2000000</v>
      </c>
      <c r="J719" s="3">
        <v>2000000</v>
      </c>
      <c r="K719" s="3">
        <v>2000000</v>
      </c>
      <c r="L719" s="4">
        <v>2000000</v>
      </c>
      <c r="M719" s="4">
        <v>2000000</v>
      </c>
      <c r="N719" s="4">
        <v>2000000</v>
      </c>
      <c r="O719" s="4">
        <v>2000000</v>
      </c>
      <c r="P719" s="4">
        <v>2000000</v>
      </c>
      <c r="Q719" s="4">
        <v>2000000</v>
      </c>
      <c r="R719" s="4">
        <v>2000000</v>
      </c>
      <c r="S719" s="4">
        <v>2000000</v>
      </c>
      <c r="T719" s="4">
        <v>2000000</v>
      </c>
      <c r="U719" s="4">
        <v>2000000</v>
      </c>
      <c r="V719" s="4">
        <v>2000000</v>
      </c>
      <c r="W719" s="4">
        <v>2000000</v>
      </c>
      <c r="X719" s="4">
        <v>2000000</v>
      </c>
      <c r="Y719" s="4">
        <v>2000000</v>
      </c>
    </row>
    <row r="720" spans="1:25" ht="19.5" customHeight="1" x14ac:dyDescent="0.25">
      <c r="A720" s="2" t="s">
        <v>1791</v>
      </c>
      <c r="B720" s="2" t="s">
        <v>243</v>
      </c>
      <c r="C720" s="2" t="s">
        <v>1852</v>
      </c>
      <c r="D720" s="2" t="s">
        <v>1853</v>
      </c>
      <c r="E720" s="2" t="s">
        <v>1854</v>
      </c>
      <c r="F720" s="3">
        <v>493596.63</v>
      </c>
      <c r="G720" s="3">
        <v>980000</v>
      </c>
      <c r="H720" s="3">
        <v>980000</v>
      </c>
      <c r="I720" s="3">
        <v>980000</v>
      </c>
      <c r="J720" s="3">
        <v>980000</v>
      </c>
      <c r="K720" s="3">
        <v>980000</v>
      </c>
      <c r="L720" s="4">
        <v>980000</v>
      </c>
      <c r="M720" s="4">
        <v>980000</v>
      </c>
      <c r="N720" s="4">
        <v>980000</v>
      </c>
      <c r="O720" s="4">
        <v>980000</v>
      </c>
      <c r="P720" s="4">
        <v>980000</v>
      </c>
      <c r="Q720" s="4">
        <v>980000</v>
      </c>
      <c r="R720" s="4">
        <v>980000</v>
      </c>
      <c r="S720" s="4">
        <v>980000</v>
      </c>
      <c r="T720" s="4">
        <v>980000</v>
      </c>
      <c r="U720" s="4">
        <v>980000</v>
      </c>
      <c r="V720" s="4">
        <v>980000</v>
      </c>
      <c r="W720" s="4">
        <v>980000</v>
      </c>
      <c r="X720" s="4">
        <v>980000</v>
      </c>
      <c r="Y720" s="4">
        <v>980000</v>
      </c>
    </row>
    <row r="721" spans="1:25" ht="19.5" customHeight="1" x14ac:dyDescent="0.25">
      <c r="A721" s="2" t="s">
        <v>1791</v>
      </c>
      <c r="B721" s="2" t="s">
        <v>243</v>
      </c>
      <c r="C721" s="2" t="s">
        <v>1855</v>
      </c>
      <c r="D721" s="2" t="s">
        <v>1856</v>
      </c>
      <c r="E721" s="2" t="s">
        <v>1857</v>
      </c>
      <c r="F721" s="3">
        <v>535081.44999999995</v>
      </c>
      <c r="G721" s="3">
        <v>500000</v>
      </c>
      <c r="H721" s="3">
        <v>500000</v>
      </c>
      <c r="I721" s="3">
        <v>500000</v>
      </c>
      <c r="J721" s="3">
        <v>500000</v>
      </c>
      <c r="K721" s="3">
        <v>500000</v>
      </c>
      <c r="L721" s="4">
        <v>500000</v>
      </c>
      <c r="M721" s="4">
        <v>500000</v>
      </c>
      <c r="N721" s="4">
        <v>500000</v>
      </c>
      <c r="O721" s="4">
        <v>500000</v>
      </c>
      <c r="P721" s="4">
        <v>500000</v>
      </c>
      <c r="Q721" s="4">
        <v>500000</v>
      </c>
      <c r="R721" s="4">
        <v>500000</v>
      </c>
      <c r="S721" s="4">
        <v>500000</v>
      </c>
      <c r="T721" s="4">
        <v>500000</v>
      </c>
      <c r="U721" s="4">
        <v>500000</v>
      </c>
      <c r="V721" s="4">
        <v>500000</v>
      </c>
      <c r="W721" s="4">
        <v>500000</v>
      </c>
      <c r="X721" s="4">
        <v>500000</v>
      </c>
      <c r="Y721" s="4">
        <v>500000</v>
      </c>
    </row>
    <row r="722" spans="1:25" ht="19.5" customHeight="1" x14ac:dyDescent="0.25">
      <c r="A722" s="2" t="s">
        <v>1858</v>
      </c>
      <c r="B722" s="2" t="s">
        <v>16</v>
      </c>
      <c r="C722" s="2" t="s">
        <v>20</v>
      </c>
      <c r="D722" s="2" t="s">
        <v>1859</v>
      </c>
      <c r="E722" s="2" t="s">
        <v>22</v>
      </c>
      <c r="F722" s="3">
        <v>407208.15</v>
      </c>
      <c r="G722" s="3">
        <v>435046</v>
      </c>
      <c r="H722" s="3">
        <v>444238</v>
      </c>
      <c r="I722" s="3">
        <v>440278</v>
      </c>
      <c r="J722" s="3">
        <v>444238</v>
      </c>
      <c r="K722" s="3">
        <v>440278</v>
      </c>
      <c r="L722" s="4">
        <v>444238</v>
      </c>
      <c r="M722" s="4">
        <v>440278</v>
      </c>
      <c r="N722" s="4">
        <v>444238</v>
      </c>
      <c r="O722" s="4">
        <v>440278</v>
      </c>
      <c r="P722" s="4">
        <v>444238</v>
      </c>
      <c r="Q722" s="4">
        <v>440278</v>
      </c>
      <c r="R722" s="4">
        <v>444238</v>
      </c>
      <c r="S722" s="4">
        <v>440278</v>
      </c>
      <c r="T722" s="4">
        <v>444238</v>
      </c>
      <c r="U722" s="4">
        <v>440278</v>
      </c>
      <c r="V722" s="4">
        <v>444238</v>
      </c>
      <c r="W722" s="4">
        <v>440278</v>
      </c>
      <c r="X722" s="4">
        <v>444238</v>
      </c>
      <c r="Y722" s="4">
        <v>440278</v>
      </c>
    </row>
    <row r="723" spans="1:25" ht="19.5" customHeight="1" x14ac:dyDescent="0.25">
      <c r="A723" s="2" t="s">
        <v>1858</v>
      </c>
      <c r="B723" s="2" t="s">
        <v>243</v>
      </c>
      <c r="C723" s="2" t="s">
        <v>1860</v>
      </c>
      <c r="D723" s="2" t="s">
        <v>1861</v>
      </c>
      <c r="E723" s="2" t="s">
        <v>1862</v>
      </c>
      <c r="F723" s="4">
        <v>20000</v>
      </c>
      <c r="G723" s="3">
        <v>30000</v>
      </c>
      <c r="H723" s="3">
        <v>30000</v>
      </c>
      <c r="I723" s="3">
        <v>30000</v>
      </c>
      <c r="J723" s="3">
        <v>30000</v>
      </c>
      <c r="K723" s="3">
        <v>30000</v>
      </c>
      <c r="L723" s="4">
        <v>30000</v>
      </c>
      <c r="M723" s="4">
        <v>30000</v>
      </c>
      <c r="N723" s="4">
        <v>30000</v>
      </c>
      <c r="O723" s="4">
        <v>30000</v>
      </c>
      <c r="P723" s="4">
        <v>30000</v>
      </c>
      <c r="Q723" s="4">
        <v>30000</v>
      </c>
      <c r="R723" s="4">
        <v>30000</v>
      </c>
      <c r="S723" s="4">
        <v>30000</v>
      </c>
      <c r="T723" s="4">
        <v>30000</v>
      </c>
      <c r="U723" s="4">
        <v>30000</v>
      </c>
      <c r="V723" s="4">
        <v>30000</v>
      </c>
      <c r="W723" s="4">
        <v>30000</v>
      </c>
      <c r="X723" s="4">
        <v>30000</v>
      </c>
      <c r="Y723" s="4">
        <v>30000</v>
      </c>
    </row>
    <row r="724" spans="1:25" ht="19.5" customHeight="1" x14ac:dyDescent="0.25">
      <c r="A724" s="2" t="s">
        <v>1863</v>
      </c>
      <c r="B724" s="2" t="s">
        <v>16</v>
      </c>
      <c r="C724" s="2" t="s">
        <v>1864</v>
      </c>
      <c r="D724" s="2" t="s">
        <v>1865</v>
      </c>
      <c r="E724" s="2" t="s">
        <v>1866</v>
      </c>
      <c r="F724" s="3">
        <v>775215.93</v>
      </c>
      <c r="G724" s="3">
        <v>995000</v>
      </c>
      <c r="H724" s="3">
        <v>720775</v>
      </c>
      <c r="I724" s="3">
        <v>771000</v>
      </c>
      <c r="J724" s="3">
        <v>720775</v>
      </c>
      <c r="K724" s="3">
        <v>771000</v>
      </c>
      <c r="L724" s="4">
        <v>720775</v>
      </c>
      <c r="M724" s="4">
        <v>771000</v>
      </c>
      <c r="N724" s="4">
        <v>720775</v>
      </c>
      <c r="O724" s="4">
        <v>771000</v>
      </c>
      <c r="P724" s="4">
        <v>720775</v>
      </c>
      <c r="Q724" s="4">
        <v>771000</v>
      </c>
      <c r="R724" s="4">
        <v>720775</v>
      </c>
      <c r="S724" s="4">
        <v>771000</v>
      </c>
      <c r="T724" s="4">
        <v>720775</v>
      </c>
      <c r="U724" s="4">
        <v>771000</v>
      </c>
      <c r="V724" s="4">
        <v>720775</v>
      </c>
      <c r="W724" s="4">
        <v>771000</v>
      </c>
      <c r="X724" s="4">
        <v>720775</v>
      </c>
      <c r="Y724" s="4">
        <v>771000</v>
      </c>
    </row>
    <row r="725" spans="1:25" ht="19.5" customHeight="1" x14ac:dyDescent="0.25">
      <c r="A725" s="2" t="s">
        <v>1863</v>
      </c>
      <c r="B725" s="2" t="s">
        <v>16</v>
      </c>
      <c r="C725" s="2" t="s">
        <v>1867</v>
      </c>
      <c r="D725" s="2" t="s">
        <v>1868</v>
      </c>
      <c r="E725" s="2" t="s">
        <v>1869</v>
      </c>
      <c r="F725" s="3">
        <v>8919253.4600000009</v>
      </c>
      <c r="G725" s="3">
        <v>11672589</v>
      </c>
      <c r="H725" s="3">
        <v>9810523</v>
      </c>
      <c r="I725" s="3">
        <v>9444887</v>
      </c>
      <c r="J725" s="3">
        <v>9810523</v>
      </c>
      <c r="K725" s="3">
        <v>9444887</v>
      </c>
      <c r="L725" s="4">
        <v>9810523</v>
      </c>
      <c r="M725" s="4">
        <v>9444887</v>
      </c>
      <c r="N725" s="4">
        <v>9810523</v>
      </c>
      <c r="O725" s="4">
        <v>9444887</v>
      </c>
      <c r="P725" s="4">
        <v>9810523</v>
      </c>
      <c r="Q725" s="4">
        <v>9444887</v>
      </c>
      <c r="R725" s="4">
        <v>9810523</v>
      </c>
      <c r="S725" s="4">
        <v>9444887</v>
      </c>
      <c r="T725" s="4">
        <v>9810523</v>
      </c>
      <c r="U725" s="4">
        <v>9444887</v>
      </c>
      <c r="V725" s="4">
        <v>9810523</v>
      </c>
      <c r="W725" s="4">
        <v>9444887</v>
      </c>
      <c r="X725" s="4">
        <v>9810523</v>
      </c>
      <c r="Y725" s="4">
        <v>9444887</v>
      </c>
    </row>
    <row r="726" spans="1:25" ht="19.5" customHeight="1" x14ac:dyDescent="0.25">
      <c r="A726" s="2" t="s">
        <v>1863</v>
      </c>
      <c r="B726" s="2" t="s">
        <v>16</v>
      </c>
      <c r="C726" s="2" t="s">
        <v>35</v>
      </c>
      <c r="D726" s="2" t="s">
        <v>1870</v>
      </c>
      <c r="E726" s="2" t="s">
        <v>1871</v>
      </c>
      <c r="F726" s="3">
        <v>0</v>
      </c>
      <c r="G726" s="3">
        <v>4700000</v>
      </c>
      <c r="H726" s="3">
        <v>2000000</v>
      </c>
      <c r="I726" s="3">
        <v>0</v>
      </c>
      <c r="J726" s="3">
        <v>2000000</v>
      </c>
      <c r="K726" s="3">
        <v>0</v>
      </c>
      <c r="L726" s="4">
        <v>2000000</v>
      </c>
      <c r="M726" s="4">
        <v>0</v>
      </c>
      <c r="N726" s="4">
        <v>2000000</v>
      </c>
      <c r="O726" s="4">
        <v>0</v>
      </c>
      <c r="P726" s="4">
        <v>2000000</v>
      </c>
      <c r="Q726" s="4">
        <v>0</v>
      </c>
      <c r="R726" s="4">
        <v>2000000</v>
      </c>
      <c r="S726" s="4">
        <v>0</v>
      </c>
      <c r="T726" s="4">
        <v>2000000</v>
      </c>
      <c r="U726" s="4">
        <v>0</v>
      </c>
      <c r="V726" s="4">
        <v>2000000</v>
      </c>
      <c r="W726" s="4">
        <v>0</v>
      </c>
      <c r="X726" s="4">
        <v>2000000</v>
      </c>
      <c r="Y726" s="4">
        <v>0</v>
      </c>
    </row>
    <row r="727" spans="1:25" ht="19.5" customHeight="1" x14ac:dyDescent="0.25">
      <c r="A727" s="2" t="s">
        <v>1863</v>
      </c>
      <c r="B727" s="2" t="s">
        <v>16</v>
      </c>
      <c r="C727" s="2" t="s">
        <v>1872</v>
      </c>
      <c r="D727" s="2" t="s">
        <v>1873</v>
      </c>
      <c r="E727" s="2" t="s">
        <v>1874</v>
      </c>
      <c r="F727" s="3">
        <v>51500</v>
      </c>
      <c r="G727" s="3">
        <v>1000000</v>
      </c>
      <c r="H727" s="3">
        <v>55800</v>
      </c>
      <c r="I727" s="3">
        <v>55800</v>
      </c>
      <c r="J727" s="3">
        <v>55800</v>
      </c>
      <c r="K727" s="3">
        <v>55800</v>
      </c>
      <c r="L727" s="4">
        <v>55800</v>
      </c>
      <c r="M727" s="4">
        <v>55800</v>
      </c>
      <c r="N727" s="4">
        <v>55800</v>
      </c>
      <c r="O727" s="4">
        <v>55800</v>
      </c>
      <c r="P727" s="4">
        <v>55800</v>
      </c>
      <c r="Q727" s="4">
        <v>55800</v>
      </c>
      <c r="R727" s="4">
        <v>55800</v>
      </c>
      <c r="S727" s="4">
        <v>55800</v>
      </c>
      <c r="T727" s="4">
        <v>55800</v>
      </c>
      <c r="U727" s="4">
        <v>55800</v>
      </c>
      <c r="V727" s="4">
        <v>55800</v>
      </c>
      <c r="W727" s="4">
        <v>55800</v>
      </c>
      <c r="X727" s="4">
        <v>55800</v>
      </c>
      <c r="Y727" s="4">
        <v>55800</v>
      </c>
    </row>
    <row r="728" spans="1:25" ht="19.5" customHeight="1" x14ac:dyDescent="0.25">
      <c r="A728" s="6" t="s">
        <v>1863</v>
      </c>
      <c r="B728" s="6" t="s">
        <v>16</v>
      </c>
      <c r="C728" s="6" t="s">
        <v>1875</v>
      </c>
      <c r="D728" s="7" t="s">
        <v>1876</v>
      </c>
      <c r="E728" s="6" t="s">
        <v>1877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0</v>
      </c>
      <c r="O728" s="9">
        <v>0</v>
      </c>
      <c r="P728" s="4">
        <v>701752</v>
      </c>
      <c r="Q728" s="4">
        <v>172541</v>
      </c>
      <c r="R728" s="4">
        <v>701752</v>
      </c>
      <c r="S728" s="4">
        <v>172541</v>
      </c>
      <c r="T728" s="4">
        <v>701752</v>
      </c>
      <c r="U728" s="4">
        <v>172541</v>
      </c>
      <c r="V728" s="4">
        <v>701752</v>
      </c>
      <c r="W728" s="4">
        <v>172541</v>
      </c>
      <c r="X728" s="4">
        <v>701752</v>
      </c>
      <c r="Y728" s="4">
        <v>172541</v>
      </c>
    </row>
    <row r="729" spans="1:25" ht="19.5" customHeight="1" x14ac:dyDescent="0.25">
      <c r="A729" s="2" t="s">
        <v>1863</v>
      </c>
      <c r="B729" s="2" t="s">
        <v>16</v>
      </c>
      <c r="C729" s="2" t="s">
        <v>1878</v>
      </c>
      <c r="D729" s="2" t="s">
        <v>1879</v>
      </c>
      <c r="E729" s="2" t="s">
        <v>1880</v>
      </c>
      <c r="F729" s="3">
        <v>17</v>
      </c>
      <c r="G729" s="3">
        <v>70000</v>
      </c>
      <c r="H729" s="3">
        <v>0</v>
      </c>
      <c r="I729" s="3">
        <v>0</v>
      </c>
      <c r="J729" s="3">
        <v>0</v>
      </c>
      <c r="K729" s="3">
        <v>0</v>
      </c>
      <c r="L729" s="4">
        <v>0</v>
      </c>
      <c r="M729" s="4">
        <v>0</v>
      </c>
      <c r="N729" s="4">
        <v>0</v>
      </c>
      <c r="O729" s="4">
        <v>0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</row>
    <row r="730" spans="1:25" ht="19.5" customHeight="1" x14ac:dyDescent="0.25">
      <c r="A730" s="2" t="s">
        <v>1863</v>
      </c>
      <c r="B730" s="2" t="s">
        <v>16</v>
      </c>
      <c r="C730" s="2" t="s">
        <v>1881</v>
      </c>
      <c r="D730" s="2" t="s">
        <v>1882</v>
      </c>
      <c r="E730" s="2" t="s">
        <v>1883</v>
      </c>
      <c r="F730" s="3">
        <v>67028.2</v>
      </c>
      <c r="G730" s="3">
        <v>500000</v>
      </c>
      <c r="H730" s="3">
        <v>500000</v>
      </c>
      <c r="I730" s="3">
        <v>500000</v>
      </c>
      <c r="J730" s="3">
        <v>500000</v>
      </c>
      <c r="K730" s="3">
        <v>500000</v>
      </c>
      <c r="L730" s="4">
        <v>500000</v>
      </c>
      <c r="M730" s="4">
        <v>500000</v>
      </c>
      <c r="N730" s="4">
        <v>500000</v>
      </c>
      <c r="O730" s="4">
        <v>500000</v>
      </c>
      <c r="P730" s="4">
        <v>500000</v>
      </c>
      <c r="Q730" s="4">
        <v>500000</v>
      </c>
      <c r="R730" s="4">
        <v>500000</v>
      </c>
      <c r="S730" s="4">
        <v>500000</v>
      </c>
      <c r="T730" s="4">
        <v>500000</v>
      </c>
      <c r="U730" s="4">
        <v>500000</v>
      </c>
      <c r="V730" s="4">
        <v>500000</v>
      </c>
      <c r="W730" s="4">
        <v>500000</v>
      </c>
      <c r="X730" s="4">
        <v>500000</v>
      </c>
      <c r="Y730" s="4">
        <v>500000</v>
      </c>
    </row>
    <row r="731" spans="1:25" ht="19.5" customHeight="1" x14ac:dyDescent="0.25">
      <c r="A731" s="2" t="s">
        <v>1863</v>
      </c>
      <c r="B731" s="2" t="s">
        <v>813</v>
      </c>
      <c r="C731" s="2" t="s">
        <v>1884</v>
      </c>
      <c r="D731" s="2" t="s">
        <v>1885</v>
      </c>
      <c r="E731" s="2" t="s">
        <v>1886</v>
      </c>
      <c r="F731" s="3">
        <v>140360.78</v>
      </c>
      <c r="G731" s="3">
        <v>260856</v>
      </c>
      <c r="H731" s="3">
        <v>187286</v>
      </c>
      <c r="I731" s="3">
        <v>163224</v>
      </c>
      <c r="J731" s="3">
        <v>187286</v>
      </c>
      <c r="K731" s="3">
        <v>163224</v>
      </c>
      <c r="L731" s="4">
        <v>187286</v>
      </c>
      <c r="M731" s="4">
        <v>163224</v>
      </c>
      <c r="N731" s="4">
        <v>187286</v>
      </c>
      <c r="O731" s="4">
        <v>163224</v>
      </c>
      <c r="P731" s="4">
        <v>187286</v>
      </c>
      <c r="Q731" s="4">
        <v>163224</v>
      </c>
      <c r="R731" s="4">
        <v>187286</v>
      </c>
      <c r="S731" s="4">
        <v>163224</v>
      </c>
      <c r="T731" s="4">
        <v>187286</v>
      </c>
      <c r="U731" s="4">
        <v>163224</v>
      </c>
      <c r="V731" s="4">
        <v>187286</v>
      </c>
      <c r="W731" s="4">
        <v>163224</v>
      </c>
      <c r="X731" s="4">
        <v>187286</v>
      </c>
      <c r="Y731" s="4">
        <v>163224</v>
      </c>
    </row>
    <row r="732" spans="1:25" ht="19.5" customHeight="1" x14ac:dyDescent="0.25">
      <c r="A732" s="2" t="s">
        <v>1863</v>
      </c>
      <c r="B732" s="2" t="s">
        <v>813</v>
      </c>
      <c r="C732" s="2" t="s">
        <v>1884</v>
      </c>
      <c r="D732" s="2" t="s">
        <v>1887</v>
      </c>
      <c r="E732" s="2" t="s">
        <v>1888</v>
      </c>
      <c r="F732" s="3">
        <v>600736.64</v>
      </c>
      <c r="G732" s="3">
        <v>552706</v>
      </c>
      <c r="H732" s="3">
        <v>609411</v>
      </c>
      <c r="I732" s="3">
        <v>221420</v>
      </c>
      <c r="J732" s="3">
        <v>609411</v>
      </c>
      <c r="K732" s="3">
        <v>221420</v>
      </c>
      <c r="L732" s="4">
        <v>609411</v>
      </c>
      <c r="M732" s="4">
        <v>221420</v>
      </c>
      <c r="N732" s="4">
        <v>609411</v>
      </c>
      <c r="O732" s="4">
        <v>221420</v>
      </c>
      <c r="P732" s="4">
        <v>609411</v>
      </c>
      <c r="Q732" s="4">
        <v>221420</v>
      </c>
      <c r="R732" s="4">
        <v>609411</v>
      </c>
      <c r="S732" s="4">
        <v>221420</v>
      </c>
      <c r="T732" s="4">
        <v>609411</v>
      </c>
      <c r="U732" s="4">
        <v>221420</v>
      </c>
      <c r="V732" s="4">
        <v>609411</v>
      </c>
      <c r="W732" s="4">
        <v>221420</v>
      </c>
      <c r="X732" s="4">
        <v>609411</v>
      </c>
      <c r="Y732" s="4">
        <v>221420</v>
      </c>
    </row>
    <row r="733" spans="1:25" ht="19.5" customHeight="1" x14ac:dyDescent="0.25">
      <c r="A733" s="2" t="s">
        <v>1863</v>
      </c>
      <c r="B733" s="2" t="s">
        <v>44</v>
      </c>
      <c r="C733" s="2" t="s">
        <v>1889</v>
      </c>
      <c r="D733" s="2" t="s">
        <v>1890</v>
      </c>
      <c r="E733" s="2" t="s">
        <v>1891</v>
      </c>
      <c r="F733" s="3">
        <v>809372.82</v>
      </c>
      <c r="G733" s="3">
        <v>930262</v>
      </c>
      <c r="H733" s="3">
        <v>903149</v>
      </c>
      <c r="I733" s="3">
        <v>922108</v>
      </c>
      <c r="J733" s="3">
        <v>903149</v>
      </c>
      <c r="K733" s="3">
        <v>922108</v>
      </c>
      <c r="L733" s="4">
        <v>903149</v>
      </c>
      <c r="M733" s="4">
        <v>922108</v>
      </c>
      <c r="N733" s="4">
        <v>903149</v>
      </c>
      <c r="O733" s="4">
        <v>922108</v>
      </c>
      <c r="P733" s="4">
        <v>903149</v>
      </c>
      <c r="Q733" s="4">
        <v>922108</v>
      </c>
      <c r="R733" s="4">
        <v>903149</v>
      </c>
      <c r="S733" s="4">
        <v>922108</v>
      </c>
      <c r="T733" s="4">
        <v>903149</v>
      </c>
      <c r="U733" s="4">
        <v>922108</v>
      </c>
      <c r="V733" s="4">
        <v>903149</v>
      </c>
      <c r="W733" s="4">
        <v>922108</v>
      </c>
      <c r="X733" s="4">
        <v>903149</v>
      </c>
      <c r="Y733" s="4">
        <v>922108</v>
      </c>
    </row>
    <row r="734" spans="1:25" ht="19.5" customHeight="1" x14ac:dyDescent="0.25">
      <c r="A734" s="2" t="s">
        <v>1863</v>
      </c>
      <c r="B734" s="2" t="s">
        <v>44</v>
      </c>
      <c r="C734" s="2" t="s">
        <v>1892</v>
      </c>
      <c r="D734" s="2" t="s">
        <v>1893</v>
      </c>
      <c r="E734" s="2" t="s">
        <v>1894</v>
      </c>
      <c r="F734" s="3">
        <v>2648870.48</v>
      </c>
      <c r="G734" s="4">
        <v>6232810</v>
      </c>
      <c r="H734" s="4">
        <v>3578278</v>
      </c>
      <c r="I734" s="4">
        <v>3578278</v>
      </c>
      <c r="J734" s="4">
        <v>3578278</v>
      </c>
      <c r="K734" s="4">
        <v>3578278</v>
      </c>
      <c r="L734" s="4">
        <v>3578278</v>
      </c>
      <c r="M734" s="4">
        <v>3578278</v>
      </c>
      <c r="N734" s="4">
        <v>3578278</v>
      </c>
      <c r="O734" s="4">
        <v>3578278</v>
      </c>
      <c r="P734" s="4">
        <v>3578278</v>
      </c>
      <c r="Q734" s="4">
        <v>3578278</v>
      </c>
      <c r="R734" s="4">
        <v>3578278</v>
      </c>
      <c r="S734" s="4">
        <v>3578278</v>
      </c>
      <c r="T734" s="4">
        <v>3578278</v>
      </c>
      <c r="U734" s="4">
        <v>3578278</v>
      </c>
      <c r="V734" s="4">
        <v>3578278</v>
      </c>
      <c r="W734" s="4">
        <v>3578278</v>
      </c>
      <c r="X734" s="4">
        <v>3578278</v>
      </c>
      <c r="Y734" s="4">
        <v>3578278</v>
      </c>
    </row>
    <row r="735" spans="1:25" ht="19.5" customHeight="1" x14ac:dyDescent="0.25">
      <c r="A735" s="2" t="s">
        <v>1863</v>
      </c>
      <c r="B735" s="2" t="s">
        <v>44</v>
      </c>
      <c r="C735" s="2" t="s">
        <v>1895</v>
      </c>
      <c r="D735" s="2" t="s">
        <v>1896</v>
      </c>
      <c r="E735" s="2" t="s">
        <v>1897</v>
      </c>
      <c r="F735" s="4">
        <v>30770446.399999999</v>
      </c>
      <c r="G735" s="3">
        <v>34986679</v>
      </c>
      <c r="H735" s="3">
        <v>27183376</v>
      </c>
      <c r="I735" s="3">
        <v>29957759</v>
      </c>
      <c r="J735" s="3">
        <v>27183376</v>
      </c>
      <c r="K735" s="3">
        <v>29957759</v>
      </c>
      <c r="L735" s="4">
        <v>27183376</v>
      </c>
      <c r="M735" s="4">
        <v>29957759</v>
      </c>
      <c r="N735" s="4">
        <v>27183376</v>
      </c>
      <c r="O735" s="4">
        <v>29957759</v>
      </c>
      <c r="P735" s="4">
        <v>27183376</v>
      </c>
      <c r="Q735" s="4">
        <v>29957759</v>
      </c>
      <c r="R735" s="4">
        <v>27183376</v>
      </c>
      <c r="S735" s="4">
        <v>29957759</v>
      </c>
      <c r="T735" s="4">
        <v>27183376</v>
      </c>
      <c r="U735" s="4">
        <v>29957759</v>
      </c>
      <c r="V735" s="4">
        <v>27183376</v>
      </c>
      <c r="W735" s="4">
        <v>29957759</v>
      </c>
      <c r="X735" s="4">
        <v>27183376</v>
      </c>
      <c r="Y735" s="4">
        <v>29957759</v>
      </c>
    </row>
    <row r="736" spans="1:25" ht="19.5" customHeight="1" x14ac:dyDescent="0.25">
      <c r="A736" s="2" t="s">
        <v>1863</v>
      </c>
      <c r="B736" s="2" t="s">
        <v>54</v>
      </c>
      <c r="C736" s="2" t="s">
        <v>54</v>
      </c>
      <c r="D736" s="2" t="s">
        <v>1898</v>
      </c>
      <c r="E736" s="2" t="s">
        <v>1899</v>
      </c>
      <c r="F736" s="3">
        <v>32537797.5</v>
      </c>
      <c r="G736" s="4">
        <v>40445233</v>
      </c>
      <c r="H736" s="4">
        <v>45402392</v>
      </c>
      <c r="I736" s="4">
        <v>45393691</v>
      </c>
      <c r="J736" s="4">
        <v>45402392</v>
      </c>
      <c r="K736" s="4">
        <v>45393691</v>
      </c>
      <c r="L736" s="4">
        <v>45402392</v>
      </c>
      <c r="M736" s="4">
        <v>45393691</v>
      </c>
      <c r="N736" s="4">
        <v>45402392</v>
      </c>
      <c r="O736" s="4">
        <v>45393691</v>
      </c>
      <c r="P736" s="4">
        <v>45402392</v>
      </c>
      <c r="Q736" s="4">
        <v>45393691</v>
      </c>
      <c r="R736" s="4">
        <v>45402392</v>
      </c>
      <c r="S736" s="4">
        <v>45393691</v>
      </c>
      <c r="T736" s="4">
        <v>45402392</v>
      </c>
      <c r="U736" s="4">
        <v>45393691</v>
      </c>
      <c r="V736" s="4">
        <v>45402392</v>
      </c>
      <c r="W736" s="4">
        <v>45393691</v>
      </c>
      <c r="X736" s="4">
        <v>45402392</v>
      </c>
      <c r="Y736" s="4">
        <v>45393691</v>
      </c>
    </row>
    <row r="737" spans="1:25" ht="19.5" customHeight="1" x14ac:dyDescent="0.25">
      <c r="A737" s="2" t="s">
        <v>1863</v>
      </c>
      <c r="B737" s="2" t="s">
        <v>54</v>
      </c>
      <c r="C737" s="2" t="s">
        <v>54</v>
      </c>
      <c r="D737" s="2" t="s">
        <v>1900</v>
      </c>
      <c r="E737" s="2" t="s">
        <v>1901</v>
      </c>
      <c r="F737" s="3">
        <v>118497.15</v>
      </c>
      <c r="G737" s="3">
        <v>120829</v>
      </c>
      <c r="H737" s="3">
        <v>129332</v>
      </c>
      <c r="I737" s="3">
        <v>135813</v>
      </c>
      <c r="J737" s="3">
        <v>129332</v>
      </c>
      <c r="K737" s="3">
        <v>135813</v>
      </c>
      <c r="L737" s="4">
        <v>129332</v>
      </c>
      <c r="M737" s="4">
        <v>135813</v>
      </c>
      <c r="N737" s="4">
        <v>129332</v>
      </c>
      <c r="O737" s="4">
        <v>135813</v>
      </c>
      <c r="P737" s="4">
        <v>129332</v>
      </c>
      <c r="Q737" s="4">
        <v>135813</v>
      </c>
      <c r="R737" s="4">
        <v>129332</v>
      </c>
      <c r="S737" s="4">
        <v>135813</v>
      </c>
      <c r="T737" s="4">
        <v>129332</v>
      </c>
      <c r="U737" s="4">
        <v>135813</v>
      </c>
      <c r="V737" s="4">
        <v>129332</v>
      </c>
      <c r="W737" s="4">
        <v>135813</v>
      </c>
      <c r="X737" s="4">
        <v>129332</v>
      </c>
      <c r="Y737" s="4">
        <v>135813</v>
      </c>
    </row>
    <row r="738" spans="1:25" ht="19.5" customHeight="1" x14ac:dyDescent="0.25">
      <c r="A738" s="2" t="s">
        <v>1863</v>
      </c>
      <c r="B738" s="2" t="s">
        <v>54</v>
      </c>
      <c r="C738" s="2" t="s">
        <v>54</v>
      </c>
      <c r="D738" s="2" t="s">
        <v>1902</v>
      </c>
      <c r="E738" s="2" t="s">
        <v>1903</v>
      </c>
      <c r="F738" s="4">
        <v>3605186.93</v>
      </c>
      <c r="G738" s="3">
        <v>4102802</v>
      </c>
      <c r="H738" s="3">
        <v>4095439</v>
      </c>
      <c r="I738" s="3">
        <v>4097659</v>
      </c>
      <c r="J738" s="3">
        <v>4245439</v>
      </c>
      <c r="K738" s="3">
        <v>4247659</v>
      </c>
      <c r="L738" s="4">
        <v>4245439</v>
      </c>
      <c r="M738" s="4">
        <v>4247659</v>
      </c>
      <c r="N738" s="4">
        <v>4245439</v>
      </c>
      <c r="O738" s="4">
        <v>4247659</v>
      </c>
      <c r="P738" s="4">
        <v>4395439</v>
      </c>
      <c r="Q738" s="4">
        <v>4197659</v>
      </c>
      <c r="R738" s="4">
        <v>4395439</v>
      </c>
      <c r="S738" s="4">
        <v>4197659</v>
      </c>
      <c r="T738" s="4">
        <v>4395439</v>
      </c>
      <c r="U738" s="4">
        <v>4197659</v>
      </c>
      <c r="V738" s="4">
        <v>4395439</v>
      </c>
      <c r="W738" s="4">
        <v>4197659</v>
      </c>
      <c r="X738" s="4">
        <v>4395439</v>
      </c>
      <c r="Y738" s="4">
        <v>4197659</v>
      </c>
    </row>
    <row r="739" spans="1:25" ht="19.5" customHeight="1" x14ac:dyDescent="0.25">
      <c r="A739" s="2" t="s">
        <v>1863</v>
      </c>
      <c r="B739" s="2" t="s">
        <v>54</v>
      </c>
      <c r="C739" s="2" t="s">
        <v>54</v>
      </c>
      <c r="D739" s="2" t="s">
        <v>1904</v>
      </c>
      <c r="E739" s="2" t="s">
        <v>1905</v>
      </c>
      <c r="F739" s="3">
        <v>0</v>
      </c>
      <c r="G739" s="3">
        <v>0</v>
      </c>
      <c r="H739" s="3">
        <v>1500000</v>
      </c>
      <c r="I739" s="3">
        <v>1500000</v>
      </c>
      <c r="J739" s="3">
        <v>1500000</v>
      </c>
      <c r="K739" s="3">
        <v>1500000</v>
      </c>
      <c r="L739" s="4">
        <v>1500000</v>
      </c>
      <c r="M739" s="4">
        <v>1500000</v>
      </c>
      <c r="N739" s="4">
        <v>1500000</v>
      </c>
      <c r="O739" s="4">
        <v>1500000</v>
      </c>
      <c r="P739" s="4">
        <v>1500000</v>
      </c>
      <c r="Q739" s="4">
        <v>1500000</v>
      </c>
      <c r="R739" s="4">
        <v>1500000</v>
      </c>
      <c r="S739" s="4">
        <v>1500000</v>
      </c>
      <c r="T739" s="4">
        <v>1500000</v>
      </c>
      <c r="U739" s="4">
        <v>1500000</v>
      </c>
      <c r="V739" s="4">
        <v>1500000</v>
      </c>
      <c r="W739" s="4">
        <v>1500000</v>
      </c>
      <c r="X739" s="4">
        <v>1500000</v>
      </c>
      <c r="Y739" s="4">
        <v>1500000</v>
      </c>
    </row>
    <row r="740" spans="1:25" ht="19.5" customHeight="1" x14ac:dyDescent="0.25">
      <c r="A740" s="2" t="s">
        <v>1863</v>
      </c>
      <c r="B740" s="2" t="s">
        <v>54</v>
      </c>
      <c r="C740" s="2" t="s">
        <v>54</v>
      </c>
      <c r="D740" s="2" t="s">
        <v>1906</v>
      </c>
      <c r="E740" s="2" t="s">
        <v>1907</v>
      </c>
      <c r="F740" s="3">
        <v>4973458.76</v>
      </c>
      <c r="G740" s="3">
        <v>5470142</v>
      </c>
      <c r="H740" s="3">
        <v>5375000</v>
      </c>
      <c r="I740" s="3">
        <v>5000000</v>
      </c>
      <c r="J740" s="3">
        <v>5375000</v>
      </c>
      <c r="K740" s="3">
        <v>5000000</v>
      </c>
      <c r="L740" s="4">
        <v>5375000</v>
      </c>
      <c r="M740" s="4">
        <v>5000000</v>
      </c>
      <c r="N740" s="4">
        <v>5375000</v>
      </c>
      <c r="O740" s="4">
        <v>5000000</v>
      </c>
      <c r="P740" s="4">
        <v>5375000</v>
      </c>
      <c r="Q740" s="4">
        <v>5000000</v>
      </c>
      <c r="R740" s="4">
        <v>5375000</v>
      </c>
      <c r="S740" s="4">
        <v>5000000</v>
      </c>
      <c r="T740" s="4">
        <v>5375000</v>
      </c>
      <c r="U740" s="4">
        <v>5000000</v>
      </c>
      <c r="V740" s="4">
        <v>5375000</v>
      </c>
      <c r="W740" s="4">
        <v>5000000</v>
      </c>
      <c r="X740" s="4">
        <v>5375000</v>
      </c>
      <c r="Y740" s="4">
        <v>5000000</v>
      </c>
    </row>
    <row r="741" spans="1:25" ht="19.5" customHeight="1" x14ac:dyDescent="0.25">
      <c r="A741" s="2" t="s">
        <v>1908</v>
      </c>
      <c r="B741" s="2" t="s">
        <v>16</v>
      </c>
      <c r="C741" s="2" t="s">
        <v>1909</v>
      </c>
      <c r="D741" s="2" t="s">
        <v>1910</v>
      </c>
      <c r="E741" s="2" t="s">
        <v>1911</v>
      </c>
      <c r="F741" s="3">
        <v>1403553.48</v>
      </c>
      <c r="G741" s="3">
        <v>1463161</v>
      </c>
      <c r="H741" s="3">
        <v>1538933</v>
      </c>
      <c r="I741" s="3">
        <v>1416746</v>
      </c>
      <c r="J741" s="3">
        <v>1538933</v>
      </c>
      <c r="K741" s="3">
        <v>1416746</v>
      </c>
      <c r="L741" s="4">
        <v>1538933</v>
      </c>
      <c r="M741" s="4">
        <v>1416746</v>
      </c>
      <c r="N741" s="4">
        <v>1538933</v>
      </c>
      <c r="O741" s="4">
        <v>1416746</v>
      </c>
      <c r="P741" s="4">
        <v>1538933</v>
      </c>
      <c r="Q741" s="4">
        <v>1416746</v>
      </c>
      <c r="R741" s="4">
        <v>1538933</v>
      </c>
      <c r="S741" s="4">
        <v>1416746</v>
      </c>
      <c r="T741" s="4">
        <v>1538933</v>
      </c>
      <c r="U741" s="4">
        <v>1416746</v>
      </c>
      <c r="V741" s="4">
        <v>1538933</v>
      </c>
      <c r="W741" s="4">
        <v>1416746</v>
      </c>
      <c r="X741" s="4">
        <v>1538933</v>
      </c>
      <c r="Y741" s="4">
        <v>1416746</v>
      </c>
    </row>
    <row r="742" spans="1:25" ht="19.5" customHeight="1" x14ac:dyDescent="0.25">
      <c r="A742" s="2" t="s">
        <v>1908</v>
      </c>
      <c r="B742" s="2" t="s">
        <v>16</v>
      </c>
      <c r="C742" s="2" t="s">
        <v>1912</v>
      </c>
      <c r="D742" s="2" t="s">
        <v>1913</v>
      </c>
      <c r="E742" s="2" t="s">
        <v>1803</v>
      </c>
      <c r="F742" s="3">
        <v>2621618.0099999998</v>
      </c>
      <c r="G742" s="3">
        <v>3292983</v>
      </c>
      <c r="H742" s="3">
        <v>2964749</v>
      </c>
      <c r="I742" s="3">
        <v>2546450</v>
      </c>
      <c r="J742" s="3">
        <v>2964749</v>
      </c>
      <c r="K742" s="3">
        <v>2546450</v>
      </c>
      <c r="L742" s="4">
        <v>2964749</v>
      </c>
      <c r="M742" s="4">
        <v>2546450</v>
      </c>
      <c r="N742" s="4">
        <v>2964749</v>
      </c>
      <c r="O742" s="4">
        <v>2546450</v>
      </c>
      <c r="P742" s="4">
        <v>2964749</v>
      </c>
      <c r="Q742" s="4">
        <v>2546450</v>
      </c>
      <c r="R742" s="4">
        <v>2964749</v>
      </c>
      <c r="S742" s="4">
        <v>2546450</v>
      </c>
      <c r="T742" s="4">
        <v>2964749</v>
      </c>
      <c r="U742" s="4">
        <v>2546450</v>
      </c>
      <c r="V742" s="4">
        <v>2964749</v>
      </c>
      <c r="W742" s="4">
        <v>2546450</v>
      </c>
      <c r="X742" s="4">
        <v>2964749</v>
      </c>
      <c r="Y742" s="4">
        <v>2546450</v>
      </c>
    </row>
    <row r="743" spans="1:25" ht="19.5" customHeight="1" x14ac:dyDescent="0.25">
      <c r="A743" s="2" t="s">
        <v>1908</v>
      </c>
      <c r="B743" s="2" t="s">
        <v>16</v>
      </c>
      <c r="C743" s="2" t="s">
        <v>1914</v>
      </c>
      <c r="D743" s="2" t="s">
        <v>1915</v>
      </c>
      <c r="E743" s="2" t="s">
        <v>1916</v>
      </c>
      <c r="F743" s="3">
        <v>13864.61</v>
      </c>
      <c r="G743" s="3">
        <v>20300</v>
      </c>
      <c r="H743" s="3">
        <v>20300</v>
      </c>
      <c r="I743" s="3">
        <v>20300</v>
      </c>
      <c r="J743" s="3">
        <v>20300</v>
      </c>
      <c r="K743" s="3">
        <v>20300</v>
      </c>
      <c r="L743" s="4">
        <v>20300</v>
      </c>
      <c r="M743" s="4">
        <v>20300</v>
      </c>
      <c r="N743" s="4">
        <v>20300</v>
      </c>
      <c r="O743" s="4">
        <v>20300</v>
      </c>
      <c r="P743" s="4">
        <v>20300</v>
      </c>
      <c r="Q743" s="4">
        <v>20300</v>
      </c>
      <c r="R743" s="4">
        <v>20300</v>
      </c>
      <c r="S743" s="4">
        <v>20300</v>
      </c>
      <c r="T743" s="4">
        <v>20300</v>
      </c>
      <c r="U743" s="4">
        <v>20300</v>
      </c>
      <c r="V743" s="4">
        <v>20300</v>
      </c>
      <c r="W743" s="4">
        <v>20300</v>
      </c>
      <c r="X743" s="4">
        <v>20300</v>
      </c>
      <c r="Y743" s="4">
        <v>20300</v>
      </c>
    </row>
    <row r="744" spans="1:25" ht="19.5" customHeight="1" x14ac:dyDescent="0.25">
      <c r="A744" s="2" t="s">
        <v>1908</v>
      </c>
      <c r="B744" s="2" t="s">
        <v>16</v>
      </c>
      <c r="C744" s="2" t="s">
        <v>1917</v>
      </c>
      <c r="D744" s="2" t="s">
        <v>1918</v>
      </c>
      <c r="E744" s="2" t="s">
        <v>1919</v>
      </c>
      <c r="F744" s="3">
        <v>101491.96</v>
      </c>
      <c r="G744" s="3">
        <v>153968</v>
      </c>
      <c r="H744" s="3">
        <v>153968</v>
      </c>
      <c r="I744" s="3">
        <v>90968</v>
      </c>
      <c r="J744" s="3">
        <v>153968</v>
      </c>
      <c r="K744" s="3">
        <v>90968</v>
      </c>
      <c r="L744" s="4">
        <v>153968</v>
      </c>
      <c r="M744" s="4">
        <v>90968</v>
      </c>
      <c r="N744" s="4">
        <v>153968</v>
      </c>
      <c r="O744" s="4">
        <v>90968</v>
      </c>
      <c r="P744" s="4">
        <v>153968</v>
      </c>
      <c r="Q744" s="4">
        <v>90968</v>
      </c>
      <c r="R744" s="4">
        <v>153968</v>
      </c>
      <c r="S744" s="4">
        <v>90968</v>
      </c>
      <c r="T744" s="4">
        <v>153968</v>
      </c>
      <c r="U744" s="4">
        <v>90968</v>
      </c>
      <c r="V744" s="4">
        <v>153968</v>
      </c>
      <c r="W744" s="4">
        <v>90968</v>
      </c>
      <c r="X744" s="4">
        <v>153968</v>
      </c>
      <c r="Y744" s="4">
        <v>90968</v>
      </c>
    </row>
    <row r="745" spans="1:25" ht="19.5" customHeight="1" x14ac:dyDescent="0.25">
      <c r="A745" s="2" t="s">
        <v>1908</v>
      </c>
      <c r="B745" s="2" t="s">
        <v>16</v>
      </c>
      <c r="C745" s="2" t="s">
        <v>1920</v>
      </c>
      <c r="D745" s="2" t="s">
        <v>1921</v>
      </c>
      <c r="E745" s="2" t="s">
        <v>1922</v>
      </c>
      <c r="F745" s="3">
        <v>33915</v>
      </c>
      <c r="G745" s="3">
        <v>110063</v>
      </c>
      <c r="H745" s="3">
        <v>109663</v>
      </c>
      <c r="I745" s="3">
        <v>109663</v>
      </c>
      <c r="J745" s="3">
        <v>109663</v>
      </c>
      <c r="K745" s="3">
        <v>109663</v>
      </c>
      <c r="L745" s="4">
        <v>109663</v>
      </c>
      <c r="M745" s="4">
        <v>109663</v>
      </c>
      <c r="N745" s="4">
        <v>109663</v>
      </c>
      <c r="O745" s="4">
        <v>109663</v>
      </c>
      <c r="P745" s="4">
        <v>109663</v>
      </c>
      <c r="Q745" s="4">
        <v>109663</v>
      </c>
      <c r="R745" s="4">
        <v>109663</v>
      </c>
      <c r="S745" s="4">
        <v>109663</v>
      </c>
      <c r="T745" s="4">
        <v>109663</v>
      </c>
      <c r="U745" s="4">
        <v>109663</v>
      </c>
      <c r="V745" s="4">
        <v>109663</v>
      </c>
      <c r="W745" s="4">
        <v>109663</v>
      </c>
      <c r="X745" s="4">
        <v>109663</v>
      </c>
      <c r="Y745" s="4">
        <v>109663</v>
      </c>
    </row>
    <row r="746" spans="1:25" ht="19.5" customHeight="1" x14ac:dyDescent="0.25">
      <c r="A746" s="2" t="s">
        <v>1908</v>
      </c>
      <c r="B746" s="2" t="s">
        <v>16</v>
      </c>
      <c r="C746" s="2" t="s">
        <v>1923</v>
      </c>
      <c r="D746" s="2" t="s">
        <v>1924</v>
      </c>
      <c r="E746" s="2" t="s">
        <v>1925</v>
      </c>
      <c r="F746" s="3">
        <v>41253.599999999999</v>
      </c>
      <c r="G746" s="3">
        <v>59000</v>
      </c>
      <c r="H746" s="3">
        <v>59000</v>
      </c>
      <c r="I746" s="3">
        <v>59000</v>
      </c>
      <c r="J746" s="3">
        <v>59000</v>
      </c>
      <c r="K746" s="3">
        <v>59000</v>
      </c>
      <c r="L746" s="4">
        <v>59000</v>
      </c>
      <c r="M746" s="4">
        <v>59000</v>
      </c>
      <c r="N746" s="4">
        <v>59000</v>
      </c>
      <c r="O746" s="4">
        <v>59000</v>
      </c>
      <c r="P746" s="4">
        <v>59000</v>
      </c>
      <c r="Q746" s="4">
        <v>59000</v>
      </c>
      <c r="R746" s="4">
        <v>59000</v>
      </c>
      <c r="S746" s="4">
        <v>59000</v>
      </c>
      <c r="T746" s="4">
        <v>59000</v>
      </c>
      <c r="U746" s="4">
        <v>59000</v>
      </c>
      <c r="V746" s="4">
        <v>59000</v>
      </c>
      <c r="W746" s="4">
        <v>59000</v>
      </c>
      <c r="X746" s="4">
        <v>59000</v>
      </c>
      <c r="Y746" s="4">
        <v>59000</v>
      </c>
    </row>
    <row r="747" spans="1:25" ht="19.5" customHeight="1" x14ac:dyDescent="0.25">
      <c r="A747" s="2" t="s">
        <v>1908</v>
      </c>
      <c r="B747" s="2" t="s">
        <v>44</v>
      </c>
      <c r="C747" s="2" t="s">
        <v>1926</v>
      </c>
      <c r="D747" s="2" t="s">
        <v>1927</v>
      </c>
      <c r="E747" s="2" t="s">
        <v>1928</v>
      </c>
      <c r="F747" s="3">
        <v>709557.98</v>
      </c>
      <c r="G747" s="3">
        <v>925890</v>
      </c>
      <c r="H747" s="3">
        <v>974805</v>
      </c>
      <c r="I747" s="3">
        <v>987656</v>
      </c>
      <c r="J747" s="3">
        <v>974805</v>
      </c>
      <c r="K747" s="3">
        <v>987656</v>
      </c>
      <c r="L747" s="4">
        <v>974805</v>
      </c>
      <c r="M747" s="4">
        <v>987656</v>
      </c>
      <c r="N747" s="4">
        <v>974805</v>
      </c>
      <c r="O747" s="4">
        <v>987656</v>
      </c>
      <c r="P747" s="4">
        <v>974805</v>
      </c>
      <c r="Q747" s="4">
        <v>987656</v>
      </c>
      <c r="R747" s="4">
        <v>974805</v>
      </c>
      <c r="S747" s="4">
        <v>987656</v>
      </c>
      <c r="T747" s="4">
        <v>974805</v>
      </c>
      <c r="U747" s="4">
        <v>987656</v>
      </c>
      <c r="V747" s="4">
        <v>974805</v>
      </c>
      <c r="W747" s="4">
        <v>987656</v>
      </c>
      <c r="X747" s="4">
        <v>974805</v>
      </c>
      <c r="Y747" s="4">
        <v>987656</v>
      </c>
    </row>
    <row r="748" spans="1:25" ht="19.5" customHeight="1" x14ac:dyDescent="0.25">
      <c r="A748" s="2" t="s">
        <v>1908</v>
      </c>
      <c r="B748" s="2" t="s">
        <v>44</v>
      </c>
      <c r="C748" s="2" t="s">
        <v>1926</v>
      </c>
      <c r="D748" s="2" t="s">
        <v>1929</v>
      </c>
      <c r="E748" s="2" t="s">
        <v>1930</v>
      </c>
      <c r="F748" s="3">
        <v>1788963.29</v>
      </c>
      <c r="G748" s="3">
        <v>4099482</v>
      </c>
      <c r="H748" s="3">
        <v>2289557</v>
      </c>
      <c r="I748" s="3">
        <v>2294382</v>
      </c>
      <c r="J748" s="3">
        <v>2289557</v>
      </c>
      <c r="K748" s="3">
        <v>2294382</v>
      </c>
      <c r="L748" s="4">
        <v>2289557</v>
      </c>
      <c r="M748" s="4">
        <v>2294382</v>
      </c>
      <c r="N748" s="4">
        <v>2289557</v>
      </c>
      <c r="O748" s="4">
        <v>2294382</v>
      </c>
      <c r="P748" s="4">
        <v>2289557</v>
      </c>
      <c r="Q748" s="4">
        <v>2294382</v>
      </c>
      <c r="R748" s="4">
        <v>2289557</v>
      </c>
      <c r="S748" s="4">
        <v>2294382</v>
      </c>
      <c r="T748" s="4">
        <v>2289557</v>
      </c>
      <c r="U748" s="4">
        <v>2294382</v>
      </c>
      <c r="V748" s="4">
        <v>2289557</v>
      </c>
      <c r="W748" s="4">
        <v>2294382</v>
      </c>
      <c r="X748" s="4">
        <v>2289557</v>
      </c>
      <c r="Y748" s="4">
        <v>2294382</v>
      </c>
    </row>
    <row r="749" spans="1:25" ht="19.5" customHeight="1" x14ac:dyDescent="0.25">
      <c r="A749" s="2" t="s">
        <v>1908</v>
      </c>
      <c r="B749" s="2" t="s">
        <v>44</v>
      </c>
      <c r="C749" s="2" t="s">
        <v>1926</v>
      </c>
      <c r="D749" s="2" t="s">
        <v>1931</v>
      </c>
      <c r="E749" s="2" t="s">
        <v>1932</v>
      </c>
      <c r="F749" s="3">
        <v>930720.73</v>
      </c>
      <c r="G749" s="3">
        <v>930000</v>
      </c>
      <c r="H749" s="3">
        <v>930000</v>
      </c>
      <c r="I749" s="3">
        <v>930000</v>
      </c>
      <c r="J749" s="3">
        <v>930000</v>
      </c>
      <c r="K749" s="3">
        <v>930000</v>
      </c>
      <c r="L749" s="4">
        <v>930000</v>
      </c>
      <c r="M749" s="4">
        <v>930000</v>
      </c>
      <c r="N749" s="4">
        <v>930000</v>
      </c>
      <c r="O749" s="4">
        <v>930000</v>
      </c>
      <c r="P749" s="4">
        <v>930000</v>
      </c>
      <c r="Q749" s="4">
        <v>930000</v>
      </c>
      <c r="R749" s="4">
        <v>930000</v>
      </c>
      <c r="S749" s="4">
        <v>930000</v>
      </c>
      <c r="T749" s="4">
        <v>930000</v>
      </c>
      <c r="U749" s="4">
        <v>930000</v>
      </c>
      <c r="V749" s="4">
        <v>930000</v>
      </c>
      <c r="W749" s="4">
        <v>930000</v>
      </c>
      <c r="X749" s="4">
        <v>930000</v>
      </c>
      <c r="Y749" s="4">
        <v>930000</v>
      </c>
    </row>
    <row r="750" spans="1:25" ht="19.5" customHeight="1" x14ac:dyDescent="0.25">
      <c r="A750" s="2" t="s">
        <v>1908</v>
      </c>
      <c r="B750" s="2" t="s">
        <v>44</v>
      </c>
      <c r="C750" s="2" t="s">
        <v>1926</v>
      </c>
      <c r="D750" s="2" t="s">
        <v>1933</v>
      </c>
      <c r="E750" s="2" t="s">
        <v>1934</v>
      </c>
      <c r="F750" s="4">
        <v>875683.6</v>
      </c>
      <c r="G750" s="3">
        <v>2100000</v>
      </c>
      <c r="H750" s="3">
        <v>3386344</v>
      </c>
      <c r="I750" s="3">
        <v>3449344</v>
      </c>
      <c r="J750" s="3">
        <v>3386344</v>
      </c>
      <c r="K750" s="3">
        <v>3449344</v>
      </c>
      <c r="L750" s="4">
        <v>3386344</v>
      </c>
      <c r="M750" s="4">
        <v>3449344</v>
      </c>
      <c r="N750" s="4">
        <v>3386344</v>
      </c>
      <c r="O750" s="4">
        <v>3449344</v>
      </c>
      <c r="P750" s="4">
        <v>3386344</v>
      </c>
      <c r="Q750" s="4">
        <v>3449344</v>
      </c>
      <c r="R750" s="4">
        <v>3386344</v>
      </c>
      <c r="S750" s="4">
        <v>3449344</v>
      </c>
      <c r="T750" s="4">
        <v>3386344</v>
      </c>
      <c r="U750" s="4">
        <v>3449344</v>
      </c>
      <c r="V750" s="4">
        <v>3386344</v>
      </c>
      <c r="W750" s="4">
        <v>3449344</v>
      </c>
      <c r="X750" s="4">
        <v>3386344</v>
      </c>
      <c r="Y750" s="4">
        <v>3449344</v>
      </c>
    </row>
    <row r="751" spans="1:25" ht="19.5" customHeight="1" x14ac:dyDescent="0.25">
      <c r="A751" s="2" t="s">
        <v>1908</v>
      </c>
      <c r="B751" s="2" t="s">
        <v>44</v>
      </c>
      <c r="C751" s="2" t="s">
        <v>1935</v>
      </c>
      <c r="D751" s="2" t="s">
        <v>1936</v>
      </c>
      <c r="E751" s="2" t="s">
        <v>1937</v>
      </c>
      <c r="F751" s="3">
        <v>1673499.16</v>
      </c>
      <c r="G751" s="3">
        <v>2226998</v>
      </c>
      <c r="H751" s="3">
        <v>1907500</v>
      </c>
      <c r="I751" s="3">
        <v>1907501</v>
      </c>
      <c r="J751" s="3">
        <v>1907500</v>
      </c>
      <c r="K751" s="3">
        <v>1907501</v>
      </c>
      <c r="L751" s="4">
        <v>1907500</v>
      </c>
      <c r="M751" s="4">
        <v>1907501</v>
      </c>
      <c r="N751" s="4">
        <v>1907500</v>
      </c>
      <c r="O751" s="4">
        <v>1907501</v>
      </c>
      <c r="P751" s="4">
        <v>1907500</v>
      </c>
      <c r="Q751" s="4">
        <v>1907501</v>
      </c>
      <c r="R751" s="4">
        <v>1907500</v>
      </c>
      <c r="S751" s="4">
        <v>1907501</v>
      </c>
      <c r="T751" s="4">
        <v>1907500</v>
      </c>
      <c r="U751" s="4">
        <v>1907501</v>
      </c>
      <c r="V751" s="4">
        <v>1907500</v>
      </c>
      <c r="W751" s="4">
        <v>1907501</v>
      </c>
      <c r="X751" s="4">
        <v>1907500</v>
      </c>
      <c r="Y751" s="4">
        <v>1907501</v>
      </c>
    </row>
    <row r="752" spans="1:25" ht="19.5" customHeight="1" x14ac:dyDescent="0.25">
      <c r="A752" s="2" t="s">
        <v>1908</v>
      </c>
      <c r="B752" s="2" t="s">
        <v>54</v>
      </c>
      <c r="C752" s="2" t="s">
        <v>54</v>
      </c>
      <c r="D752" s="2" t="s">
        <v>1938</v>
      </c>
      <c r="E752" s="2" t="s">
        <v>1939</v>
      </c>
      <c r="F752" s="3">
        <v>164110813.16999999</v>
      </c>
      <c r="G752" s="3">
        <v>159359501</v>
      </c>
      <c r="H752" s="3">
        <v>166336645</v>
      </c>
      <c r="I752" s="3">
        <v>168744852</v>
      </c>
      <c r="J752" s="3">
        <v>166336645</v>
      </c>
      <c r="K752" s="3">
        <v>168744852</v>
      </c>
      <c r="L752" s="4">
        <v>166336645</v>
      </c>
      <c r="M752" s="4">
        <v>168744852</v>
      </c>
      <c r="N752" s="4">
        <v>166336645</v>
      </c>
      <c r="O752" s="4">
        <v>168744852</v>
      </c>
      <c r="P752" s="4">
        <v>166336645</v>
      </c>
      <c r="Q752" s="4">
        <v>168744852</v>
      </c>
      <c r="R752" s="4">
        <v>166636645</v>
      </c>
      <c r="S752" s="4">
        <v>169044852</v>
      </c>
      <c r="T752" s="4">
        <v>166636645</v>
      </c>
      <c r="U752" s="4">
        <v>169044852</v>
      </c>
      <c r="V752" s="4">
        <v>166636645</v>
      </c>
      <c r="W752" s="4">
        <v>169044852</v>
      </c>
      <c r="X752" s="4">
        <v>166636645</v>
      </c>
      <c r="Y752" s="4">
        <v>169044852</v>
      </c>
    </row>
    <row r="753" spans="1:25" ht="19.5" customHeight="1" x14ac:dyDescent="0.25">
      <c r="A753" s="2" t="s">
        <v>1908</v>
      </c>
      <c r="B753" s="2" t="s">
        <v>54</v>
      </c>
      <c r="C753" s="2" t="s">
        <v>54</v>
      </c>
      <c r="D753" s="2" t="s">
        <v>1940</v>
      </c>
      <c r="E753" s="2" t="s">
        <v>1941</v>
      </c>
      <c r="F753" s="3">
        <v>14502130.029999999</v>
      </c>
      <c r="G753" s="3">
        <v>16438156</v>
      </c>
      <c r="H753" s="3">
        <v>16250000</v>
      </c>
      <c r="I753" s="3">
        <v>18900000</v>
      </c>
      <c r="J753" s="3">
        <v>16250000</v>
      </c>
      <c r="K753" s="3">
        <v>18900000</v>
      </c>
      <c r="L753" s="4">
        <v>16250000</v>
      </c>
      <c r="M753" s="4">
        <v>18900000</v>
      </c>
      <c r="N753" s="4">
        <v>16250000</v>
      </c>
      <c r="O753" s="4">
        <v>18900000</v>
      </c>
      <c r="P753" s="4">
        <v>16250000</v>
      </c>
      <c r="Q753" s="4">
        <v>18900000</v>
      </c>
      <c r="R753" s="4">
        <v>16250000</v>
      </c>
      <c r="S753" s="4">
        <v>18900000</v>
      </c>
      <c r="T753" s="4">
        <v>16250000</v>
      </c>
      <c r="U753" s="4">
        <v>18900000</v>
      </c>
      <c r="V753" s="4">
        <v>16250000</v>
      </c>
      <c r="W753" s="4">
        <v>18900000</v>
      </c>
      <c r="X753" s="4">
        <v>16250000</v>
      </c>
      <c r="Y753" s="4">
        <v>18900000</v>
      </c>
    </row>
    <row r="754" spans="1:25" ht="19.5" customHeight="1" x14ac:dyDescent="0.25">
      <c r="A754" s="2" t="s">
        <v>1908</v>
      </c>
      <c r="B754" s="2" t="s">
        <v>54</v>
      </c>
      <c r="C754" s="2" t="s">
        <v>54</v>
      </c>
      <c r="D754" s="2" t="s">
        <v>1942</v>
      </c>
      <c r="E754" s="2" t="s">
        <v>1943</v>
      </c>
      <c r="F754" s="3">
        <v>16702727</v>
      </c>
      <c r="G754" s="3">
        <v>16702728</v>
      </c>
      <c r="H754" s="3">
        <v>16702728</v>
      </c>
      <c r="I754" s="3">
        <v>16702728</v>
      </c>
      <c r="J754" s="3">
        <v>16702728</v>
      </c>
      <c r="K754" s="3">
        <v>16702728</v>
      </c>
      <c r="L754" s="4">
        <v>16702728</v>
      </c>
      <c r="M754" s="4">
        <v>16702728</v>
      </c>
      <c r="N754" s="4">
        <v>16702728</v>
      </c>
      <c r="O754" s="4">
        <v>16702728</v>
      </c>
      <c r="P754" s="4">
        <v>16702728</v>
      </c>
      <c r="Q754" s="4">
        <v>16702728</v>
      </c>
      <c r="R754" s="4">
        <v>16702728</v>
      </c>
      <c r="S754" s="4">
        <v>16702728</v>
      </c>
      <c r="T754" s="4">
        <v>16702728</v>
      </c>
      <c r="U754" s="4">
        <v>16702728</v>
      </c>
      <c r="V754" s="4">
        <v>16702728</v>
      </c>
      <c r="W754" s="4">
        <v>16702728</v>
      </c>
      <c r="X754" s="4">
        <v>16702728</v>
      </c>
      <c r="Y754" s="4">
        <v>16702728</v>
      </c>
    </row>
    <row r="755" spans="1:25" ht="19.5" customHeight="1" x14ac:dyDescent="0.25">
      <c r="A755" s="2" t="s">
        <v>1908</v>
      </c>
      <c r="B755" s="2" t="s">
        <v>54</v>
      </c>
      <c r="C755" s="2" t="s">
        <v>54</v>
      </c>
      <c r="D755" s="2" t="s">
        <v>1944</v>
      </c>
      <c r="E755" s="2" t="s">
        <v>1945</v>
      </c>
      <c r="F755" s="3">
        <v>9390191.6999999993</v>
      </c>
      <c r="G755" s="3">
        <v>9463750</v>
      </c>
      <c r="H755" s="3">
        <v>9899086</v>
      </c>
      <c r="I755" s="3">
        <v>10050852</v>
      </c>
      <c r="J755" s="3">
        <v>9899086</v>
      </c>
      <c r="K755" s="3">
        <v>10050852</v>
      </c>
      <c r="L755" s="4">
        <v>9899086</v>
      </c>
      <c r="M755" s="4">
        <v>10050852</v>
      </c>
      <c r="N755" s="4">
        <v>9899086</v>
      </c>
      <c r="O755" s="4">
        <v>10050852</v>
      </c>
      <c r="P755" s="4">
        <v>9899086</v>
      </c>
      <c r="Q755" s="4">
        <v>10050852</v>
      </c>
      <c r="R755" s="4">
        <v>9899086</v>
      </c>
      <c r="S755" s="4">
        <v>10050852</v>
      </c>
      <c r="T755" s="4">
        <v>9899086</v>
      </c>
      <c r="U755" s="4">
        <v>10050852</v>
      </c>
      <c r="V755" s="4">
        <v>9899086</v>
      </c>
      <c r="W755" s="4">
        <v>10050852</v>
      </c>
      <c r="X755" s="4">
        <v>9899086</v>
      </c>
      <c r="Y755" s="4">
        <v>10050852</v>
      </c>
    </row>
    <row r="756" spans="1:25" ht="19.5" customHeight="1" x14ac:dyDescent="0.25">
      <c r="A756" s="2" t="s">
        <v>1908</v>
      </c>
      <c r="B756" s="2" t="s">
        <v>54</v>
      </c>
      <c r="C756" s="2" t="s">
        <v>54</v>
      </c>
      <c r="D756" s="2" t="s">
        <v>1946</v>
      </c>
      <c r="E756" s="2" t="s">
        <v>1838</v>
      </c>
      <c r="F756" s="3">
        <v>12450515.640000001</v>
      </c>
      <c r="G756" s="3">
        <v>12449753</v>
      </c>
      <c r="H756" s="3">
        <v>13741605</v>
      </c>
      <c r="I756" s="3">
        <v>14036850</v>
      </c>
      <c r="J756" s="3">
        <v>13741605</v>
      </c>
      <c r="K756" s="3">
        <v>14036850</v>
      </c>
      <c r="L756" s="4">
        <v>13741605</v>
      </c>
      <c r="M756" s="4">
        <v>14036850</v>
      </c>
      <c r="N756" s="4">
        <v>13741605</v>
      </c>
      <c r="O756" s="4">
        <v>14036850</v>
      </c>
      <c r="P756" s="4">
        <v>13741605</v>
      </c>
      <c r="Q756" s="4">
        <v>14036850</v>
      </c>
      <c r="R756" s="4">
        <v>13741605</v>
      </c>
      <c r="S756" s="4">
        <v>14036850</v>
      </c>
      <c r="T756" s="4">
        <v>13741605</v>
      </c>
      <c r="U756" s="4">
        <v>14036850</v>
      </c>
      <c r="V756" s="4">
        <v>13741605</v>
      </c>
      <c r="W756" s="4">
        <v>14036850</v>
      </c>
      <c r="X756" s="4">
        <v>13741605</v>
      </c>
      <c r="Y756" s="4">
        <v>14036850</v>
      </c>
    </row>
    <row r="757" spans="1:25" ht="19.5" customHeight="1" x14ac:dyDescent="0.25">
      <c r="A757" s="2" t="s">
        <v>1947</v>
      </c>
      <c r="B757" s="2" t="s">
        <v>54</v>
      </c>
      <c r="C757" s="2" t="s">
        <v>54</v>
      </c>
      <c r="D757" s="2" t="s">
        <v>1948</v>
      </c>
      <c r="E757" s="2" t="s">
        <v>22</v>
      </c>
      <c r="F757" s="4">
        <v>497136.25</v>
      </c>
      <c r="G757" s="3">
        <v>651000</v>
      </c>
      <c r="H757" s="3">
        <v>651000</v>
      </c>
      <c r="I757" s="3">
        <v>651000</v>
      </c>
      <c r="J757" s="3">
        <v>651000</v>
      </c>
      <c r="K757" s="3">
        <v>651000</v>
      </c>
      <c r="L757" s="4">
        <v>651000</v>
      </c>
      <c r="M757" s="4">
        <v>651000</v>
      </c>
      <c r="N757" s="4">
        <v>651000</v>
      </c>
      <c r="O757" s="4">
        <v>651000</v>
      </c>
      <c r="P757" s="4">
        <v>651000</v>
      </c>
      <c r="Q757" s="4">
        <v>651000</v>
      </c>
      <c r="R757" s="4">
        <v>651000</v>
      </c>
      <c r="S757" s="4">
        <v>651000</v>
      </c>
      <c r="T757" s="4">
        <v>651000</v>
      </c>
      <c r="U757" s="4">
        <v>651000</v>
      </c>
      <c r="V757" s="4">
        <v>651000</v>
      </c>
      <c r="W757" s="4">
        <v>651000</v>
      </c>
      <c r="X757" s="4">
        <v>651000</v>
      </c>
      <c r="Y757" s="4">
        <v>651000</v>
      </c>
    </row>
    <row r="758" spans="1:25" ht="19.5" customHeight="1" x14ac:dyDescent="0.25">
      <c r="A758" s="2" t="s">
        <v>1949</v>
      </c>
      <c r="B758" s="2" t="s">
        <v>16</v>
      </c>
      <c r="C758" s="2" t="s">
        <v>1950</v>
      </c>
      <c r="D758" s="2" t="s">
        <v>1951</v>
      </c>
      <c r="E758" s="2" t="s">
        <v>1952</v>
      </c>
      <c r="F758" s="3">
        <v>556049.18000000005</v>
      </c>
      <c r="G758" s="3">
        <v>1000000</v>
      </c>
      <c r="H758" s="3">
        <v>1000000</v>
      </c>
      <c r="I758" s="3">
        <v>1000000</v>
      </c>
      <c r="J758" s="3">
        <v>1000000</v>
      </c>
      <c r="K758" s="3">
        <v>1000000</v>
      </c>
      <c r="L758" s="4">
        <v>1000000</v>
      </c>
      <c r="M758" s="4">
        <v>1000000</v>
      </c>
      <c r="N758" s="4">
        <v>1000000</v>
      </c>
      <c r="O758" s="4">
        <v>1000000</v>
      </c>
      <c r="P758" s="4">
        <v>1000000</v>
      </c>
      <c r="Q758" s="4">
        <v>1000000</v>
      </c>
      <c r="R758" s="4">
        <v>1000000</v>
      </c>
      <c r="S758" s="4">
        <v>1000000</v>
      </c>
      <c r="T758" s="4">
        <v>1000000</v>
      </c>
      <c r="U758" s="4">
        <v>1000000</v>
      </c>
      <c r="V758" s="4">
        <v>1000000</v>
      </c>
      <c r="W758" s="4">
        <v>1000000</v>
      </c>
      <c r="X758" s="4">
        <v>1000000</v>
      </c>
      <c r="Y758" s="4">
        <v>1000000</v>
      </c>
    </row>
    <row r="759" spans="1:25" ht="19.5" customHeight="1" x14ac:dyDescent="0.25">
      <c r="A759" s="2" t="s">
        <v>1949</v>
      </c>
      <c r="B759" s="2" t="s">
        <v>16</v>
      </c>
      <c r="C759" s="2" t="s">
        <v>1953</v>
      </c>
      <c r="D759" s="2" t="s">
        <v>1954</v>
      </c>
      <c r="E759" s="2" t="s">
        <v>1955</v>
      </c>
      <c r="F759" s="3">
        <v>961019.78</v>
      </c>
      <c r="G759" s="3">
        <v>1000000</v>
      </c>
      <c r="H759" s="3">
        <v>0</v>
      </c>
      <c r="I759" s="3">
        <v>0</v>
      </c>
      <c r="J759" s="3">
        <v>0</v>
      </c>
      <c r="K759" s="3">
        <v>0</v>
      </c>
      <c r="L759" s="4">
        <v>0</v>
      </c>
      <c r="M759" s="4">
        <v>0</v>
      </c>
      <c r="N759" s="4">
        <v>0</v>
      </c>
      <c r="O759" s="4">
        <v>0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</row>
    <row r="760" spans="1:25" ht="19.5" customHeight="1" x14ac:dyDescent="0.25">
      <c r="A760" s="2" t="s">
        <v>1949</v>
      </c>
      <c r="B760" s="2" t="s">
        <v>16</v>
      </c>
      <c r="C760" s="2" t="s">
        <v>1956</v>
      </c>
      <c r="D760" s="2" t="s">
        <v>1957</v>
      </c>
      <c r="E760" s="2" t="s">
        <v>1958</v>
      </c>
      <c r="F760" s="3">
        <v>12653068.35</v>
      </c>
      <c r="G760" s="3">
        <v>14000000</v>
      </c>
      <c r="H760" s="3">
        <v>14000000</v>
      </c>
      <c r="I760" s="3">
        <v>14000000</v>
      </c>
      <c r="J760" s="3">
        <v>14000000</v>
      </c>
      <c r="K760" s="3">
        <v>14000000</v>
      </c>
      <c r="L760" s="4">
        <v>14000000</v>
      </c>
      <c r="M760" s="4">
        <v>14000000</v>
      </c>
      <c r="N760" s="4">
        <v>14000000</v>
      </c>
      <c r="O760" s="4">
        <v>14000000</v>
      </c>
      <c r="P760" s="4">
        <v>14000000</v>
      </c>
      <c r="Q760" s="4">
        <v>14000000</v>
      </c>
      <c r="R760" s="4">
        <v>14000000</v>
      </c>
      <c r="S760" s="4">
        <v>14000000</v>
      </c>
      <c r="T760" s="4">
        <v>14000000</v>
      </c>
      <c r="U760" s="4">
        <v>14000000</v>
      </c>
      <c r="V760" s="4">
        <v>14000000</v>
      </c>
      <c r="W760" s="4">
        <v>14000000</v>
      </c>
      <c r="X760" s="4">
        <v>14000000</v>
      </c>
      <c r="Y760" s="4">
        <v>14000000</v>
      </c>
    </row>
    <row r="761" spans="1:25" ht="19.5" customHeight="1" x14ac:dyDescent="0.25">
      <c r="A761" s="2" t="s">
        <v>1949</v>
      </c>
      <c r="B761" s="2" t="s">
        <v>16</v>
      </c>
      <c r="C761" s="2" t="s">
        <v>1959</v>
      </c>
      <c r="D761" s="2" t="s">
        <v>1960</v>
      </c>
      <c r="E761" s="2" t="s">
        <v>1961</v>
      </c>
      <c r="F761" s="3">
        <v>130517.25</v>
      </c>
      <c r="G761" s="3">
        <v>1300000</v>
      </c>
      <c r="H761" s="3">
        <v>1300000</v>
      </c>
      <c r="I761" s="3">
        <v>1300000</v>
      </c>
      <c r="J761" s="3">
        <v>1300000</v>
      </c>
      <c r="K761" s="3">
        <v>1300000</v>
      </c>
      <c r="L761" s="4">
        <v>1300000</v>
      </c>
      <c r="M761" s="4">
        <v>1300000</v>
      </c>
      <c r="N761" s="4">
        <v>1300000</v>
      </c>
      <c r="O761" s="4">
        <v>1300000</v>
      </c>
      <c r="P761" s="4">
        <v>1300000</v>
      </c>
      <c r="Q761" s="4">
        <v>1300000</v>
      </c>
      <c r="R761" s="4">
        <v>1300000</v>
      </c>
      <c r="S761" s="4">
        <v>1300000</v>
      </c>
      <c r="T761" s="4">
        <v>1300000</v>
      </c>
      <c r="U761" s="4">
        <v>1300000</v>
      </c>
      <c r="V761" s="4">
        <v>1300000</v>
      </c>
      <c r="W761" s="4">
        <v>1300000</v>
      </c>
      <c r="X761" s="4">
        <v>1300000</v>
      </c>
      <c r="Y761" s="4">
        <v>1300000</v>
      </c>
    </row>
    <row r="762" spans="1:25" ht="19.5" customHeight="1" x14ac:dyDescent="0.25">
      <c r="A762" s="2" t="s">
        <v>1949</v>
      </c>
      <c r="B762" s="2" t="s">
        <v>16</v>
      </c>
      <c r="C762" s="2" t="s">
        <v>35</v>
      </c>
      <c r="D762" s="2" t="s">
        <v>1962</v>
      </c>
      <c r="E762" s="2" t="s">
        <v>1963</v>
      </c>
      <c r="F762" s="3">
        <v>0</v>
      </c>
      <c r="G762" s="3">
        <v>34554566</v>
      </c>
      <c r="H762" s="3">
        <v>0</v>
      </c>
      <c r="I762" s="3">
        <v>0</v>
      </c>
      <c r="J762" s="3">
        <v>0</v>
      </c>
      <c r="K762" s="3">
        <v>0</v>
      </c>
      <c r="L762" s="4">
        <v>0</v>
      </c>
      <c r="M762" s="4">
        <v>0</v>
      </c>
      <c r="N762" s="4">
        <v>0</v>
      </c>
      <c r="O762" s="4">
        <v>0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</row>
    <row r="763" spans="1:25" ht="19.5" customHeight="1" x14ac:dyDescent="0.25">
      <c r="A763" s="2" t="s">
        <v>1949</v>
      </c>
      <c r="B763" s="2" t="s">
        <v>16</v>
      </c>
      <c r="C763" s="2" t="s">
        <v>35</v>
      </c>
      <c r="D763" s="2" t="s">
        <v>1964</v>
      </c>
      <c r="E763" s="2" t="s">
        <v>1965</v>
      </c>
      <c r="F763" s="3">
        <v>0</v>
      </c>
      <c r="G763" s="3">
        <v>28827451</v>
      </c>
      <c r="H763" s="3">
        <v>0</v>
      </c>
      <c r="I763" s="3">
        <v>0</v>
      </c>
      <c r="J763" s="3">
        <v>0</v>
      </c>
      <c r="K763" s="3">
        <v>0</v>
      </c>
      <c r="L763" s="4">
        <v>0</v>
      </c>
      <c r="M763" s="4">
        <v>0</v>
      </c>
      <c r="N763" s="4">
        <v>0</v>
      </c>
      <c r="O763" s="4">
        <v>0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</row>
    <row r="764" spans="1:25" ht="19.5" customHeight="1" x14ac:dyDescent="0.25">
      <c r="A764" s="2" t="s">
        <v>1949</v>
      </c>
      <c r="B764" s="2" t="s">
        <v>16</v>
      </c>
      <c r="C764" s="2" t="s">
        <v>35</v>
      </c>
      <c r="D764" s="2" t="s">
        <v>1966</v>
      </c>
      <c r="E764" s="2" t="s">
        <v>1967</v>
      </c>
      <c r="F764" s="3">
        <v>0</v>
      </c>
      <c r="G764" s="3">
        <v>24586588</v>
      </c>
      <c r="H764" s="3">
        <v>0</v>
      </c>
      <c r="I764" s="3">
        <v>0</v>
      </c>
      <c r="J764" s="3">
        <v>0</v>
      </c>
      <c r="K764" s="3">
        <v>0</v>
      </c>
      <c r="L764" s="4">
        <v>0</v>
      </c>
      <c r="M764" s="4">
        <v>0</v>
      </c>
      <c r="N764" s="4">
        <v>0</v>
      </c>
      <c r="O764" s="4">
        <v>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</row>
    <row r="765" spans="1:25" ht="19.5" customHeight="1" x14ac:dyDescent="0.25">
      <c r="A765" s="2" t="s">
        <v>1949</v>
      </c>
      <c r="B765" s="2" t="s">
        <v>16</v>
      </c>
      <c r="C765" s="2" t="s">
        <v>35</v>
      </c>
      <c r="D765" s="2" t="s">
        <v>1968</v>
      </c>
      <c r="E765" s="2" t="s">
        <v>1969</v>
      </c>
      <c r="F765" s="3">
        <v>0</v>
      </c>
      <c r="G765" s="3">
        <v>50000000</v>
      </c>
      <c r="H765" s="3">
        <v>0</v>
      </c>
      <c r="I765" s="3">
        <v>0</v>
      </c>
      <c r="J765" s="3">
        <v>0</v>
      </c>
      <c r="K765" s="3">
        <v>0</v>
      </c>
      <c r="L765" s="4">
        <v>0</v>
      </c>
      <c r="M765" s="4">
        <v>0</v>
      </c>
      <c r="N765" s="4">
        <v>0</v>
      </c>
      <c r="O765" s="4">
        <v>0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</row>
    <row r="766" spans="1:25" ht="19.5" customHeight="1" x14ac:dyDescent="0.25">
      <c r="A766" s="2" t="s">
        <v>1949</v>
      </c>
      <c r="B766" s="2" t="s">
        <v>16</v>
      </c>
      <c r="C766" s="2" t="s">
        <v>35</v>
      </c>
      <c r="D766" s="2" t="s">
        <v>1970</v>
      </c>
      <c r="E766" s="2" t="s">
        <v>1971</v>
      </c>
      <c r="F766" s="3">
        <v>0</v>
      </c>
      <c r="G766" s="3">
        <v>12031395</v>
      </c>
      <c r="H766" s="3">
        <v>0</v>
      </c>
      <c r="I766" s="3">
        <v>0</v>
      </c>
      <c r="J766" s="3">
        <v>0</v>
      </c>
      <c r="K766" s="3">
        <v>0</v>
      </c>
      <c r="L766" s="4">
        <v>0</v>
      </c>
      <c r="M766" s="4">
        <v>0</v>
      </c>
      <c r="N766" s="4">
        <v>0</v>
      </c>
      <c r="O766" s="4">
        <v>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</row>
    <row r="767" spans="1:25" ht="19.5" customHeight="1" x14ac:dyDescent="0.25">
      <c r="A767" s="2" t="s">
        <v>1949</v>
      </c>
      <c r="B767" s="2" t="s">
        <v>16</v>
      </c>
      <c r="C767" s="2" t="s">
        <v>1972</v>
      </c>
      <c r="D767" s="2" t="s">
        <v>1973</v>
      </c>
      <c r="E767" s="2" t="s">
        <v>1974</v>
      </c>
      <c r="F767" s="3">
        <v>0</v>
      </c>
      <c r="G767" s="3">
        <v>2000000</v>
      </c>
      <c r="H767" s="3">
        <v>2000000</v>
      </c>
      <c r="I767" s="3">
        <v>2000000</v>
      </c>
      <c r="J767" s="3">
        <v>2000000</v>
      </c>
      <c r="K767" s="3">
        <v>2000000</v>
      </c>
      <c r="L767" s="4">
        <v>2000000</v>
      </c>
      <c r="M767" s="4">
        <v>2000000</v>
      </c>
      <c r="N767" s="4">
        <v>2000000</v>
      </c>
      <c r="O767" s="4">
        <v>2000000</v>
      </c>
      <c r="P767" s="4">
        <v>2000000</v>
      </c>
      <c r="Q767" s="4">
        <v>2000000</v>
      </c>
      <c r="R767" s="4">
        <v>2000000</v>
      </c>
      <c r="S767" s="4">
        <v>2000000</v>
      </c>
      <c r="T767" s="4">
        <v>2000000</v>
      </c>
      <c r="U767" s="4">
        <v>2000000</v>
      </c>
      <c r="V767" s="4">
        <v>2000000</v>
      </c>
      <c r="W767" s="4">
        <v>2000000</v>
      </c>
      <c r="X767" s="4">
        <v>2000000</v>
      </c>
      <c r="Y767" s="4">
        <v>2000000</v>
      </c>
    </row>
    <row r="768" spans="1:25" ht="19.5" customHeight="1" x14ac:dyDescent="0.25">
      <c r="A768" s="2" t="s">
        <v>1949</v>
      </c>
      <c r="B768" s="2" t="s">
        <v>16</v>
      </c>
      <c r="C768" s="2" t="s">
        <v>1975</v>
      </c>
      <c r="D768" s="2" t="s">
        <v>1976</v>
      </c>
      <c r="E768" s="2" t="s">
        <v>1977</v>
      </c>
      <c r="F768" s="3">
        <v>968260.05</v>
      </c>
      <c r="G768" s="3">
        <v>1250000</v>
      </c>
      <c r="H768" s="3">
        <v>1250000</v>
      </c>
      <c r="I768" s="3">
        <v>1250000</v>
      </c>
      <c r="J768" s="3">
        <v>1250000</v>
      </c>
      <c r="K768" s="3">
        <v>1250000</v>
      </c>
      <c r="L768" s="4">
        <v>1250000</v>
      </c>
      <c r="M768" s="4">
        <v>1250000</v>
      </c>
      <c r="N768" s="4">
        <v>1250000</v>
      </c>
      <c r="O768" s="4">
        <v>1250000</v>
      </c>
      <c r="P768" s="4">
        <v>1250000</v>
      </c>
      <c r="Q768" s="4">
        <v>1250000</v>
      </c>
      <c r="R768" s="4">
        <v>1250000</v>
      </c>
      <c r="S768" s="4">
        <v>1250000</v>
      </c>
      <c r="T768" s="4">
        <v>1250000</v>
      </c>
      <c r="U768" s="4">
        <v>1250000</v>
      </c>
      <c r="V768" s="4">
        <v>1250000</v>
      </c>
      <c r="W768" s="4">
        <v>1250000</v>
      </c>
      <c r="X768" s="4">
        <v>1250000</v>
      </c>
      <c r="Y768" s="4">
        <v>1250000</v>
      </c>
    </row>
    <row r="769" spans="1:25" ht="19.5" customHeight="1" x14ac:dyDescent="0.25">
      <c r="A769" s="2" t="s">
        <v>1949</v>
      </c>
      <c r="B769" s="2" t="s">
        <v>16</v>
      </c>
      <c r="C769" s="2" t="s">
        <v>1978</v>
      </c>
      <c r="D769" s="2" t="s">
        <v>1979</v>
      </c>
      <c r="E769" s="2" t="s">
        <v>1980</v>
      </c>
      <c r="F769" s="3">
        <v>0</v>
      </c>
      <c r="G769" s="3">
        <v>550000</v>
      </c>
      <c r="H769" s="3">
        <v>550000</v>
      </c>
      <c r="I769" s="3">
        <v>550000</v>
      </c>
      <c r="J769" s="3">
        <v>550000</v>
      </c>
      <c r="K769" s="3">
        <v>550000</v>
      </c>
      <c r="L769" s="4">
        <v>550000</v>
      </c>
      <c r="M769" s="4">
        <v>550000</v>
      </c>
      <c r="N769" s="4">
        <v>550000</v>
      </c>
      <c r="O769" s="4">
        <v>550000</v>
      </c>
      <c r="P769" s="4">
        <v>550000</v>
      </c>
      <c r="Q769" s="4">
        <v>550000</v>
      </c>
      <c r="R769" s="4">
        <v>550000</v>
      </c>
      <c r="S769" s="4">
        <v>550000</v>
      </c>
      <c r="T769" s="4">
        <v>550000</v>
      </c>
      <c r="U769" s="4">
        <v>550000</v>
      </c>
      <c r="V769" s="4">
        <v>550000</v>
      </c>
      <c r="W769" s="4">
        <v>550000</v>
      </c>
      <c r="X769" s="4">
        <v>550000</v>
      </c>
      <c r="Y769" s="4">
        <v>550000</v>
      </c>
    </row>
    <row r="770" spans="1:25" ht="19.5" customHeight="1" x14ac:dyDescent="0.25">
      <c r="A770" s="2" t="s">
        <v>1949</v>
      </c>
      <c r="B770" s="2" t="s">
        <v>16</v>
      </c>
      <c r="C770" s="2" t="s">
        <v>1981</v>
      </c>
      <c r="D770" s="2" t="s">
        <v>1982</v>
      </c>
      <c r="E770" s="2" t="s">
        <v>1983</v>
      </c>
      <c r="F770" s="3">
        <v>119041.79</v>
      </c>
      <c r="G770" s="3">
        <v>175000</v>
      </c>
      <c r="H770" s="3">
        <v>175000</v>
      </c>
      <c r="I770" s="3">
        <v>175000</v>
      </c>
      <c r="J770" s="3">
        <v>175000</v>
      </c>
      <c r="K770" s="3">
        <v>175000</v>
      </c>
      <c r="L770" s="4">
        <v>175000</v>
      </c>
      <c r="M770" s="4">
        <v>175000</v>
      </c>
      <c r="N770" s="4">
        <v>175000</v>
      </c>
      <c r="O770" s="4">
        <v>175000</v>
      </c>
      <c r="P770" s="4">
        <v>175000</v>
      </c>
      <c r="Q770" s="4">
        <v>175000</v>
      </c>
      <c r="R770" s="4">
        <v>175000</v>
      </c>
      <c r="S770" s="4">
        <v>175000</v>
      </c>
      <c r="T770" s="4">
        <v>175000</v>
      </c>
      <c r="U770" s="4">
        <v>175000</v>
      </c>
      <c r="V770" s="4">
        <v>175000</v>
      </c>
      <c r="W770" s="4">
        <v>175000</v>
      </c>
      <c r="X770" s="4">
        <v>175000</v>
      </c>
      <c r="Y770" s="4">
        <v>175000</v>
      </c>
    </row>
    <row r="771" spans="1:25" ht="19.5" customHeight="1" x14ac:dyDescent="0.25">
      <c r="A771" s="2" t="s">
        <v>1949</v>
      </c>
      <c r="B771" s="2" t="s">
        <v>16</v>
      </c>
      <c r="C771" s="2" t="s">
        <v>1984</v>
      </c>
      <c r="D771" s="2" t="s">
        <v>1985</v>
      </c>
      <c r="E771" s="2" t="s">
        <v>1986</v>
      </c>
      <c r="F771" s="3">
        <v>238544.41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4">
        <v>0</v>
      </c>
      <c r="M771" s="4">
        <v>0</v>
      </c>
      <c r="N771" s="4">
        <v>0</v>
      </c>
      <c r="O771" s="4">
        <v>0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</row>
    <row r="772" spans="1:25" ht="19.5" customHeight="1" x14ac:dyDescent="0.25">
      <c r="A772" s="2" t="s">
        <v>1949</v>
      </c>
      <c r="B772" s="2" t="s">
        <v>16</v>
      </c>
      <c r="C772" s="2" t="s">
        <v>1987</v>
      </c>
      <c r="D772" s="2" t="s">
        <v>1988</v>
      </c>
      <c r="E772" s="6" t="s">
        <v>1989</v>
      </c>
      <c r="F772" s="3">
        <v>274775371.13999999</v>
      </c>
      <c r="G772" s="3">
        <v>400000000</v>
      </c>
      <c r="H772" s="3">
        <v>500000000</v>
      </c>
      <c r="I772" s="3">
        <v>600000000</v>
      </c>
      <c r="J772" s="3">
        <v>500000000</v>
      </c>
      <c r="K772" s="3">
        <v>600000000</v>
      </c>
      <c r="L772" s="4">
        <v>500000000</v>
      </c>
      <c r="M772" s="4">
        <v>600000000</v>
      </c>
      <c r="N772" s="4">
        <v>500000000</v>
      </c>
      <c r="O772" s="4">
        <v>600000000</v>
      </c>
      <c r="P772" s="4">
        <v>661000000</v>
      </c>
      <c r="Q772" s="4">
        <v>842000000</v>
      </c>
      <c r="R772" s="4">
        <v>661000000</v>
      </c>
      <c r="S772" s="4">
        <v>842000000</v>
      </c>
      <c r="T772" s="4">
        <v>661000000</v>
      </c>
      <c r="U772" s="4">
        <v>842000000</v>
      </c>
      <c r="V772" s="4">
        <v>500000000</v>
      </c>
      <c r="W772" s="4">
        <v>600000000</v>
      </c>
      <c r="X772" s="4">
        <v>500000000</v>
      </c>
      <c r="Y772" s="4">
        <v>600000000</v>
      </c>
    </row>
    <row r="773" spans="1:25" ht="19.5" customHeight="1" x14ac:dyDescent="0.25">
      <c r="A773" s="2" t="s">
        <v>1949</v>
      </c>
      <c r="B773" s="2" t="s">
        <v>16</v>
      </c>
      <c r="C773" s="2" t="s">
        <v>1990</v>
      </c>
      <c r="D773" s="2" t="s">
        <v>1991</v>
      </c>
      <c r="E773" s="2" t="s">
        <v>1992</v>
      </c>
      <c r="F773" s="3">
        <v>0</v>
      </c>
      <c r="G773" s="3">
        <v>20000000</v>
      </c>
      <c r="H773" s="3">
        <v>0</v>
      </c>
      <c r="I773" s="3">
        <v>0</v>
      </c>
      <c r="J773" s="3">
        <v>0</v>
      </c>
      <c r="K773" s="3">
        <v>0</v>
      </c>
      <c r="L773" s="4">
        <v>0</v>
      </c>
      <c r="M773" s="4">
        <v>0</v>
      </c>
      <c r="N773" s="4">
        <v>0</v>
      </c>
      <c r="O773" s="4">
        <v>0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0</v>
      </c>
      <c r="V773" s="4">
        <v>50000000</v>
      </c>
      <c r="W773" s="4">
        <v>0</v>
      </c>
      <c r="X773" s="4">
        <v>50000000</v>
      </c>
      <c r="Y773" s="4">
        <v>0</v>
      </c>
    </row>
    <row r="774" spans="1:25" ht="19.5" customHeight="1" x14ac:dyDescent="0.25">
      <c r="A774" s="2" t="s">
        <v>1949</v>
      </c>
      <c r="B774" s="2" t="s">
        <v>16</v>
      </c>
      <c r="C774" s="2" t="s">
        <v>1993</v>
      </c>
      <c r="D774" s="2" t="s">
        <v>1994</v>
      </c>
      <c r="E774" s="2" t="s">
        <v>1995</v>
      </c>
      <c r="F774" s="3">
        <v>1175382.6599999999</v>
      </c>
      <c r="G774" s="3">
        <v>600000</v>
      </c>
      <c r="H774" s="3">
        <v>600000</v>
      </c>
      <c r="I774" s="3">
        <v>600000</v>
      </c>
      <c r="J774" s="3">
        <v>600000</v>
      </c>
      <c r="K774" s="3">
        <v>600000</v>
      </c>
      <c r="L774" s="4">
        <v>600000</v>
      </c>
      <c r="M774" s="4">
        <v>600000</v>
      </c>
      <c r="N774" s="4">
        <v>600000</v>
      </c>
      <c r="O774" s="4">
        <v>600000</v>
      </c>
      <c r="P774" s="4">
        <v>600000</v>
      </c>
      <c r="Q774" s="4">
        <v>600000</v>
      </c>
      <c r="R774" s="4">
        <v>600000</v>
      </c>
      <c r="S774" s="4">
        <v>600000</v>
      </c>
      <c r="T774" s="4">
        <v>600000</v>
      </c>
      <c r="U774" s="4">
        <v>600000</v>
      </c>
      <c r="V774" s="4">
        <v>600000</v>
      </c>
      <c r="W774" s="4">
        <v>600000</v>
      </c>
      <c r="X774" s="4">
        <v>600000</v>
      </c>
      <c r="Y774" s="4">
        <v>600000</v>
      </c>
    </row>
    <row r="775" spans="1:25" ht="19.5" customHeight="1" x14ac:dyDescent="0.25">
      <c r="A775" s="2" t="s">
        <v>1949</v>
      </c>
      <c r="B775" s="2" t="s">
        <v>44</v>
      </c>
      <c r="C775" s="2" t="s">
        <v>1996</v>
      </c>
      <c r="D775" s="2" t="s">
        <v>1997</v>
      </c>
      <c r="E775" s="2" t="s">
        <v>1998</v>
      </c>
      <c r="F775" s="3">
        <v>8985875.6500000004</v>
      </c>
      <c r="G775" s="3">
        <v>11897473</v>
      </c>
      <c r="H775" s="3">
        <v>12254397</v>
      </c>
      <c r="I775" s="3">
        <v>12611321</v>
      </c>
      <c r="J775" s="3">
        <v>12254397</v>
      </c>
      <c r="K775" s="3">
        <v>12611321</v>
      </c>
      <c r="L775" s="4">
        <v>12254397</v>
      </c>
      <c r="M775" s="4">
        <v>12611321</v>
      </c>
      <c r="N775" s="4">
        <v>12254397</v>
      </c>
      <c r="O775" s="4">
        <v>12611321</v>
      </c>
      <c r="P775" s="4">
        <v>12254397</v>
      </c>
      <c r="Q775" s="4">
        <v>12611321</v>
      </c>
      <c r="R775" s="4">
        <v>12254397</v>
      </c>
      <c r="S775" s="4">
        <v>12611321</v>
      </c>
      <c r="T775" s="4">
        <v>12254397</v>
      </c>
      <c r="U775" s="4">
        <v>12611321</v>
      </c>
      <c r="V775" s="4">
        <v>12254397</v>
      </c>
      <c r="W775" s="4">
        <v>12611321</v>
      </c>
      <c r="X775" s="4">
        <v>12254397</v>
      </c>
      <c r="Y775" s="4">
        <v>12611321</v>
      </c>
    </row>
    <row r="776" spans="1:25" ht="19.5" customHeight="1" x14ac:dyDescent="0.25">
      <c r="A776" s="2" t="s">
        <v>1949</v>
      </c>
      <c r="B776" s="2" t="s">
        <v>44</v>
      </c>
      <c r="C776" s="2" t="s">
        <v>1999</v>
      </c>
      <c r="D776" s="2" t="s">
        <v>2000</v>
      </c>
      <c r="E776" s="2" t="s">
        <v>2001</v>
      </c>
      <c r="F776" s="3">
        <v>1416626.7</v>
      </c>
      <c r="G776" s="3">
        <v>2000000</v>
      </c>
      <c r="H776" s="3">
        <v>2000000</v>
      </c>
      <c r="I776" s="3">
        <v>2000000</v>
      </c>
      <c r="J776" s="3">
        <v>2000000</v>
      </c>
      <c r="K776" s="3">
        <v>2000000</v>
      </c>
      <c r="L776" s="4">
        <v>2000000</v>
      </c>
      <c r="M776" s="4">
        <v>2000000</v>
      </c>
      <c r="N776" s="4">
        <v>2000000</v>
      </c>
      <c r="O776" s="4">
        <v>2000000</v>
      </c>
      <c r="P776" s="4">
        <v>2000000</v>
      </c>
      <c r="Q776" s="4">
        <v>2000000</v>
      </c>
      <c r="R776" s="4">
        <v>2000000</v>
      </c>
      <c r="S776" s="4">
        <v>2000000</v>
      </c>
      <c r="T776" s="4">
        <v>2000000</v>
      </c>
      <c r="U776" s="4">
        <v>2000000</v>
      </c>
      <c r="V776" s="4">
        <v>2000000</v>
      </c>
      <c r="W776" s="4">
        <v>2000000</v>
      </c>
      <c r="X776" s="4">
        <v>2000000</v>
      </c>
      <c r="Y776" s="4">
        <v>2000000</v>
      </c>
    </row>
    <row r="777" spans="1:25" ht="19.5" customHeight="1" x14ac:dyDescent="0.25">
      <c r="A777" s="2" t="s">
        <v>1949</v>
      </c>
      <c r="B777" s="2" t="s">
        <v>44</v>
      </c>
      <c r="C777" s="2" t="s">
        <v>2002</v>
      </c>
      <c r="D777" s="2" t="s">
        <v>2003</v>
      </c>
      <c r="E777" s="2" t="s">
        <v>2004</v>
      </c>
      <c r="F777" s="3">
        <v>93448.58</v>
      </c>
      <c r="G777" s="3">
        <v>295500</v>
      </c>
      <c r="H777" s="3">
        <v>295500</v>
      </c>
      <c r="I777" s="3">
        <v>295500</v>
      </c>
      <c r="J777" s="3">
        <v>295500</v>
      </c>
      <c r="K777" s="3">
        <v>295500</v>
      </c>
      <c r="L777" s="4">
        <v>295500</v>
      </c>
      <c r="M777" s="4">
        <v>295500</v>
      </c>
      <c r="N777" s="4">
        <v>295500</v>
      </c>
      <c r="O777" s="4">
        <v>295500</v>
      </c>
      <c r="P777" s="4">
        <v>295500</v>
      </c>
      <c r="Q777" s="4">
        <v>295500</v>
      </c>
      <c r="R777" s="4">
        <v>295500</v>
      </c>
      <c r="S777" s="4">
        <v>295500</v>
      </c>
      <c r="T777" s="4">
        <v>295500</v>
      </c>
      <c r="U777" s="4">
        <v>295500</v>
      </c>
      <c r="V777" s="4">
        <v>295500</v>
      </c>
      <c r="W777" s="4">
        <v>295500</v>
      </c>
      <c r="X777" s="4">
        <v>295500</v>
      </c>
      <c r="Y777" s="4">
        <v>295500</v>
      </c>
    </row>
    <row r="778" spans="1:25" ht="19.5" customHeight="1" x14ac:dyDescent="0.25">
      <c r="A778" s="2" t="s">
        <v>1949</v>
      </c>
      <c r="B778" s="2" t="s">
        <v>44</v>
      </c>
      <c r="C778" s="2" t="s">
        <v>2005</v>
      </c>
      <c r="D778" s="2" t="s">
        <v>2006</v>
      </c>
      <c r="E778" s="2" t="s">
        <v>2007</v>
      </c>
      <c r="F778" s="3">
        <v>11711873.470000001</v>
      </c>
      <c r="G778" s="3">
        <v>17000000</v>
      </c>
      <c r="H778" s="3">
        <v>17000000</v>
      </c>
      <c r="I778" s="3">
        <v>0</v>
      </c>
      <c r="J778" s="3">
        <v>17000000</v>
      </c>
      <c r="K778" s="3">
        <v>0</v>
      </c>
      <c r="L778" s="4">
        <v>17000000</v>
      </c>
      <c r="M778" s="4">
        <v>0</v>
      </c>
      <c r="N778" s="4">
        <v>17000000</v>
      </c>
      <c r="O778" s="4">
        <v>0</v>
      </c>
      <c r="P778" s="4">
        <v>17000000</v>
      </c>
      <c r="Q778" s="4">
        <v>0</v>
      </c>
      <c r="R778" s="4">
        <v>17000000</v>
      </c>
      <c r="S778" s="4">
        <v>0</v>
      </c>
      <c r="T778" s="4">
        <v>17000000</v>
      </c>
      <c r="U778" s="4">
        <v>0</v>
      </c>
      <c r="V778" s="4">
        <v>17000000</v>
      </c>
      <c r="W778" s="4">
        <v>0</v>
      </c>
      <c r="X778" s="4">
        <v>17000000</v>
      </c>
      <c r="Y778" s="4">
        <v>0</v>
      </c>
    </row>
    <row r="779" spans="1:25" ht="19.5" customHeight="1" x14ac:dyDescent="0.25">
      <c r="A779" s="2" t="s">
        <v>1949</v>
      </c>
      <c r="B779" s="2" t="s">
        <v>44</v>
      </c>
      <c r="C779" s="2" t="s">
        <v>2008</v>
      </c>
      <c r="D779" s="2" t="s">
        <v>2009</v>
      </c>
      <c r="E779" s="2" t="s">
        <v>2010</v>
      </c>
      <c r="F779" s="3">
        <v>13702139.75</v>
      </c>
      <c r="G779" s="3">
        <v>12555000</v>
      </c>
      <c r="H779" s="3">
        <v>14000000</v>
      </c>
      <c r="I779" s="3">
        <v>14000000</v>
      </c>
      <c r="J779" s="3">
        <v>14000000</v>
      </c>
      <c r="K779" s="3">
        <v>14000000</v>
      </c>
      <c r="L779" s="4">
        <v>14000000</v>
      </c>
      <c r="M779" s="4">
        <v>14000000</v>
      </c>
      <c r="N779" s="4">
        <v>14000000</v>
      </c>
      <c r="O779" s="4">
        <v>14000000</v>
      </c>
      <c r="P779" s="4">
        <v>14000000</v>
      </c>
      <c r="Q779" s="4">
        <v>14000000</v>
      </c>
      <c r="R779" s="4">
        <v>14000000</v>
      </c>
      <c r="S779" s="4">
        <v>14000000</v>
      </c>
      <c r="T779" s="4">
        <v>14000000</v>
      </c>
      <c r="U779" s="4">
        <v>14000000</v>
      </c>
      <c r="V779" s="4">
        <v>14000000</v>
      </c>
      <c r="W779" s="4">
        <v>14000000</v>
      </c>
      <c r="X779" s="4">
        <v>14000000</v>
      </c>
      <c r="Y779" s="4">
        <v>14000000</v>
      </c>
    </row>
    <row r="780" spans="1:25" ht="19.5" customHeight="1" x14ac:dyDescent="0.25">
      <c r="A780" s="2" t="s">
        <v>1949</v>
      </c>
      <c r="B780" s="2" t="s">
        <v>44</v>
      </c>
      <c r="C780" s="2" t="s">
        <v>2011</v>
      </c>
      <c r="D780" s="2" t="s">
        <v>2012</v>
      </c>
      <c r="E780" s="2" t="s">
        <v>2013</v>
      </c>
      <c r="F780" s="3">
        <v>1908328.8</v>
      </c>
      <c r="G780" s="4">
        <v>2700000</v>
      </c>
      <c r="H780" s="4">
        <v>2700000</v>
      </c>
      <c r="I780" s="4">
        <v>2700000</v>
      </c>
      <c r="J780" s="4">
        <v>2700000</v>
      </c>
      <c r="K780" s="4">
        <v>2700000</v>
      </c>
      <c r="L780" s="4">
        <v>2700000</v>
      </c>
      <c r="M780" s="4">
        <v>2700000</v>
      </c>
      <c r="N780" s="4">
        <v>2700000</v>
      </c>
      <c r="O780" s="4">
        <v>2700000</v>
      </c>
      <c r="P780" s="4">
        <v>2700000</v>
      </c>
      <c r="Q780" s="4">
        <v>2700000</v>
      </c>
      <c r="R780" s="4">
        <v>2700000</v>
      </c>
      <c r="S780" s="4">
        <v>2700000</v>
      </c>
      <c r="T780" s="4">
        <v>2700000</v>
      </c>
      <c r="U780" s="4">
        <v>2700000</v>
      </c>
      <c r="V780" s="4">
        <v>2700000</v>
      </c>
      <c r="W780" s="4">
        <v>2700000</v>
      </c>
      <c r="X780" s="4">
        <v>2700000</v>
      </c>
      <c r="Y780" s="4">
        <v>2700000</v>
      </c>
    </row>
    <row r="781" spans="1:25" ht="19.5" customHeight="1" x14ac:dyDescent="0.25">
      <c r="A781" s="2" t="s">
        <v>1949</v>
      </c>
      <c r="B781" s="2" t="s">
        <v>44</v>
      </c>
      <c r="C781" s="2" t="s">
        <v>2014</v>
      </c>
      <c r="D781" s="2" t="s">
        <v>2015</v>
      </c>
      <c r="E781" s="2" t="s">
        <v>2016</v>
      </c>
      <c r="F781" s="3">
        <v>3248043.85</v>
      </c>
      <c r="G781" s="3">
        <v>3300000</v>
      </c>
      <c r="H781" s="3">
        <v>3600000</v>
      </c>
      <c r="I781" s="3">
        <v>3600000</v>
      </c>
      <c r="J781" s="3">
        <v>3600000</v>
      </c>
      <c r="K781" s="3">
        <v>3600000</v>
      </c>
      <c r="L781" s="4">
        <v>3600000</v>
      </c>
      <c r="M781" s="4">
        <v>3600000</v>
      </c>
      <c r="N781" s="4">
        <v>3600000</v>
      </c>
      <c r="O781" s="4">
        <v>3600000</v>
      </c>
      <c r="P781" s="4">
        <v>3600000</v>
      </c>
      <c r="Q781" s="4">
        <v>3600000</v>
      </c>
      <c r="R781" s="4">
        <v>3600000</v>
      </c>
      <c r="S781" s="4">
        <v>3600000</v>
      </c>
      <c r="T781" s="4">
        <v>3600000</v>
      </c>
      <c r="U781" s="4">
        <v>3600000</v>
      </c>
      <c r="V781" s="4">
        <v>3600000</v>
      </c>
      <c r="W781" s="4">
        <v>3600000</v>
      </c>
      <c r="X781" s="4">
        <v>3600000</v>
      </c>
      <c r="Y781" s="4">
        <v>3600000</v>
      </c>
    </row>
    <row r="782" spans="1:25" ht="19.5" customHeight="1" x14ac:dyDescent="0.25">
      <c r="A782" s="2" t="s">
        <v>1949</v>
      </c>
      <c r="B782" s="2" t="s">
        <v>44</v>
      </c>
      <c r="C782" s="2" t="s">
        <v>2017</v>
      </c>
      <c r="D782" s="2" t="s">
        <v>2018</v>
      </c>
      <c r="E782" s="2" t="s">
        <v>2019</v>
      </c>
      <c r="F782" s="3">
        <v>13004728.560000001</v>
      </c>
      <c r="G782" s="3">
        <v>12511000</v>
      </c>
      <c r="H782" s="3">
        <v>2000000</v>
      </c>
      <c r="I782" s="3">
        <v>0</v>
      </c>
      <c r="J782" s="3">
        <v>2000000</v>
      </c>
      <c r="K782" s="3">
        <v>0</v>
      </c>
      <c r="L782" s="4">
        <v>2000000</v>
      </c>
      <c r="M782" s="4">
        <v>0</v>
      </c>
      <c r="N782" s="4">
        <v>2000000</v>
      </c>
      <c r="O782" s="4">
        <v>0</v>
      </c>
      <c r="P782" s="4">
        <v>2000000</v>
      </c>
      <c r="Q782" s="4">
        <v>0</v>
      </c>
      <c r="R782" s="4">
        <v>2000000</v>
      </c>
      <c r="S782" s="4">
        <v>0</v>
      </c>
      <c r="T782" s="4">
        <v>2000000</v>
      </c>
      <c r="U782" s="4">
        <v>0</v>
      </c>
      <c r="V782" s="4">
        <v>2000000</v>
      </c>
      <c r="W782" s="4">
        <v>0</v>
      </c>
      <c r="X782" s="4">
        <v>2000000</v>
      </c>
      <c r="Y782" s="4">
        <v>0</v>
      </c>
    </row>
    <row r="783" spans="1:25" ht="19.5" customHeight="1" x14ac:dyDescent="0.25">
      <c r="A783" s="2" t="s">
        <v>1949</v>
      </c>
      <c r="B783" s="2" t="s">
        <v>44</v>
      </c>
      <c r="C783" s="2" t="s">
        <v>2020</v>
      </c>
      <c r="D783" s="2" t="s">
        <v>2021</v>
      </c>
      <c r="E783" s="2" t="s">
        <v>2022</v>
      </c>
      <c r="F783" s="3">
        <v>32565919.620000001</v>
      </c>
      <c r="G783" s="3">
        <v>196342299</v>
      </c>
      <c r="H783" s="3">
        <v>60000000</v>
      </c>
      <c r="I783" s="3">
        <v>30000000</v>
      </c>
      <c r="J783" s="3">
        <v>60000000</v>
      </c>
      <c r="K783" s="3">
        <v>30000000</v>
      </c>
      <c r="L783" s="4">
        <v>60000000</v>
      </c>
      <c r="M783" s="4">
        <v>30000000</v>
      </c>
      <c r="N783" s="4">
        <v>60000000</v>
      </c>
      <c r="O783" s="4">
        <v>30000000</v>
      </c>
      <c r="P783" s="4">
        <v>60000000</v>
      </c>
      <c r="Q783" s="4">
        <v>30000000</v>
      </c>
      <c r="R783" s="4">
        <v>60000000</v>
      </c>
      <c r="S783" s="4">
        <v>30000000</v>
      </c>
      <c r="T783" s="4">
        <v>60000000</v>
      </c>
      <c r="U783" s="4">
        <v>30000000</v>
      </c>
      <c r="V783" s="4">
        <v>60000000</v>
      </c>
      <c r="W783" s="4">
        <v>30000000</v>
      </c>
      <c r="X783" s="4">
        <v>60000000</v>
      </c>
      <c r="Y783" s="4">
        <v>30000000</v>
      </c>
    </row>
    <row r="784" spans="1:25" ht="19.5" customHeight="1" x14ac:dyDescent="0.25">
      <c r="A784" s="2" t="s">
        <v>1949</v>
      </c>
      <c r="B784" s="2" t="s">
        <v>44</v>
      </c>
      <c r="C784" s="2" t="s">
        <v>2023</v>
      </c>
      <c r="D784" s="2" t="s">
        <v>2024</v>
      </c>
      <c r="E784" s="2" t="s">
        <v>2025</v>
      </c>
      <c r="F784" s="3">
        <v>3636217.29</v>
      </c>
      <c r="G784" s="3">
        <v>5145074</v>
      </c>
      <c r="H784" s="3">
        <v>5145074</v>
      </c>
      <c r="I784" s="3">
        <v>5145074</v>
      </c>
      <c r="J784" s="3">
        <v>5145074</v>
      </c>
      <c r="K784" s="3">
        <v>5145074</v>
      </c>
      <c r="L784" s="4">
        <v>5145074</v>
      </c>
      <c r="M784" s="4">
        <v>5145074</v>
      </c>
      <c r="N784" s="4">
        <v>5145074</v>
      </c>
      <c r="O784" s="4">
        <v>5145074</v>
      </c>
      <c r="P784" s="4">
        <v>5145074</v>
      </c>
      <c r="Q784" s="4">
        <v>5145074</v>
      </c>
      <c r="R784" s="4">
        <v>5145074</v>
      </c>
      <c r="S784" s="4">
        <v>5145074</v>
      </c>
      <c r="T784" s="4">
        <v>5145074</v>
      </c>
      <c r="U784" s="4">
        <v>5145074</v>
      </c>
      <c r="V784" s="4">
        <v>5145074</v>
      </c>
      <c r="W784" s="4">
        <v>5145074</v>
      </c>
      <c r="X784" s="4">
        <v>5145074</v>
      </c>
      <c r="Y784" s="4">
        <v>5145074</v>
      </c>
    </row>
    <row r="785" spans="1:25" ht="19.5" customHeight="1" x14ac:dyDescent="0.25">
      <c r="A785" s="2" t="s">
        <v>1949</v>
      </c>
      <c r="B785" s="2" t="s">
        <v>44</v>
      </c>
      <c r="C785" s="2" t="s">
        <v>2026</v>
      </c>
      <c r="D785" s="2" t="s">
        <v>2027</v>
      </c>
      <c r="E785" s="2" t="s">
        <v>2028</v>
      </c>
      <c r="F785" s="3">
        <v>2550019.56</v>
      </c>
      <c r="G785" s="3">
        <v>7056327</v>
      </c>
      <c r="H785" s="3">
        <v>7056327</v>
      </c>
      <c r="I785" s="3">
        <v>7056327</v>
      </c>
      <c r="J785" s="3">
        <v>7056327</v>
      </c>
      <c r="K785" s="3">
        <v>7056327</v>
      </c>
      <c r="L785" s="4">
        <v>7056327</v>
      </c>
      <c r="M785" s="4">
        <v>7056327</v>
      </c>
      <c r="N785" s="4">
        <v>7056327</v>
      </c>
      <c r="O785" s="4">
        <v>7056327</v>
      </c>
      <c r="P785" s="4">
        <v>7056327</v>
      </c>
      <c r="Q785" s="4">
        <v>7056327</v>
      </c>
      <c r="R785" s="4">
        <v>7056327</v>
      </c>
      <c r="S785" s="4">
        <v>7056327</v>
      </c>
      <c r="T785" s="4">
        <v>7056327</v>
      </c>
      <c r="U785" s="4">
        <v>7056327</v>
      </c>
      <c r="V785" s="4">
        <v>7056327</v>
      </c>
      <c r="W785" s="4">
        <v>7056327</v>
      </c>
      <c r="X785" s="4">
        <v>7056327</v>
      </c>
      <c r="Y785" s="4">
        <v>7056327</v>
      </c>
    </row>
    <row r="786" spans="1:25" ht="19.5" customHeight="1" x14ac:dyDescent="0.25">
      <c r="A786" s="2" t="s">
        <v>1949</v>
      </c>
      <c r="B786" s="2" t="s">
        <v>44</v>
      </c>
      <c r="C786" s="2" t="s">
        <v>2029</v>
      </c>
      <c r="D786" s="2" t="s">
        <v>2030</v>
      </c>
      <c r="E786" s="2" t="s">
        <v>2031</v>
      </c>
      <c r="F786" s="3">
        <v>33590714.979999997</v>
      </c>
      <c r="G786" s="3">
        <v>40042720</v>
      </c>
      <c r="H786" s="3">
        <v>40042720</v>
      </c>
      <c r="I786" s="3">
        <v>40042720</v>
      </c>
      <c r="J786" s="3">
        <v>40042720</v>
      </c>
      <c r="K786" s="3">
        <v>40042720</v>
      </c>
      <c r="L786" s="4">
        <v>40042720</v>
      </c>
      <c r="M786" s="4">
        <v>40042720</v>
      </c>
      <c r="N786" s="4">
        <v>40042720</v>
      </c>
      <c r="O786" s="4">
        <v>40042720</v>
      </c>
      <c r="P786" s="4">
        <v>40042720</v>
      </c>
      <c r="Q786" s="4">
        <v>40042720</v>
      </c>
      <c r="R786" s="4">
        <v>40042720</v>
      </c>
      <c r="S786" s="4">
        <v>40042720</v>
      </c>
      <c r="T786" s="4">
        <v>40042720</v>
      </c>
      <c r="U786" s="4">
        <v>40042720</v>
      </c>
      <c r="V786" s="4">
        <v>40042720</v>
      </c>
      <c r="W786" s="4">
        <v>40042720</v>
      </c>
      <c r="X786" s="4">
        <v>40042720</v>
      </c>
      <c r="Y786" s="4">
        <v>40042720</v>
      </c>
    </row>
    <row r="787" spans="1:25" ht="19.5" customHeight="1" x14ac:dyDescent="0.25">
      <c r="A787" s="2" t="s">
        <v>1949</v>
      </c>
      <c r="B787" s="2" t="s">
        <v>44</v>
      </c>
      <c r="C787" s="2" t="s">
        <v>2032</v>
      </c>
      <c r="D787" s="2" t="s">
        <v>2033</v>
      </c>
      <c r="E787" s="2" t="s">
        <v>2034</v>
      </c>
      <c r="F787" s="3">
        <v>0</v>
      </c>
      <c r="G787" s="3">
        <v>14630000</v>
      </c>
      <c r="H787" s="3">
        <v>14630000</v>
      </c>
      <c r="I787" s="3">
        <v>14630000</v>
      </c>
      <c r="J787" s="3">
        <v>14630000</v>
      </c>
      <c r="K787" s="3">
        <v>14630000</v>
      </c>
      <c r="L787" s="4">
        <v>14630000</v>
      </c>
      <c r="M787" s="4">
        <v>14630000</v>
      </c>
      <c r="N787" s="4">
        <v>14630000</v>
      </c>
      <c r="O787" s="4">
        <v>14630000</v>
      </c>
      <c r="P787" s="4">
        <v>14630000</v>
      </c>
      <c r="Q787" s="4">
        <v>14630000</v>
      </c>
      <c r="R787" s="4">
        <v>14630000</v>
      </c>
      <c r="S787" s="4">
        <v>14630000</v>
      </c>
      <c r="T787" s="4">
        <v>14630000</v>
      </c>
      <c r="U787" s="4">
        <v>14630000</v>
      </c>
      <c r="V787" s="4">
        <v>14630000</v>
      </c>
      <c r="W787" s="4">
        <v>14630000</v>
      </c>
      <c r="X787" s="4">
        <v>14630000</v>
      </c>
      <c r="Y787" s="4">
        <v>14630000</v>
      </c>
    </row>
    <row r="788" spans="1:25" ht="19.5" customHeight="1" x14ac:dyDescent="0.25">
      <c r="A788" s="2" t="s">
        <v>1949</v>
      </c>
      <c r="B788" s="2" t="s">
        <v>44</v>
      </c>
      <c r="C788" s="2" t="s">
        <v>550</v>
      </c>
      <c r="D788" s="2" t="s">
        <v>2035</v>
      </c>
      <c r="E788" s="2" t="s">
        <v>2036</v>
      </c>
      <c r="F788" s="4">
        <v>0</v>
      </c>
      <c r="G788" s="3">
        <v>6000000</v>
      </c>
      <c r="H788" s="3">
        <v>0</v>
      </c>
      <c r="I788" s="3">
        <v>0</v>
      </c>
      <c r="J788" s="3">
        <v>0</v>
      </c>
      <c r="K788" s="3">
        <v>0</v>
      </c>
      <c r="L788" s="4">
        <v>0</v>
      </c>
      <c r="M788" s="4">
        <v>0</v>
      </c>
      <c r="N788" s="4">
        <v>0</v>
      </c>
      <c r="O788" s="4">
        <v>0</v>
      </c>
      <c r="P788" s="4">
        <v>0</v>
      </c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</row>
    <row r="789" spans="1:25" ht="19.5" customHeight="1" x14ac:dyDescent="0.25">
      <c r="A789" s="2" t="s">
        <v>1949</v>
      </c>
      <c r="B789" s="2" t="s">
        <v>44</v>
      </c>
      <c r="C789" s="2" t="s">
        <v>550</v>
      </c>
      <c r="D789" s="2" t="s">
        <v>2037</v>
      </c>
      <c r="E789" s="2" t="s">
        <v>2038</v>
      </c>
      <c r="F789" s="3">
        <v>0</v>
      </c>
      <c r="G789" s="3">
        <v>53385025</v>
      </c>
      <c r="H789" s="3">
        <v>30104684</v>
      </c>
      <c r="I789" s="3">
        <v>0</v>
      </c>
      <c r="J789" s="3">
        <v>30104684</v>
      </c>
      <c r="K789" s="3">
        <v>0</v>
      </c>
      <c r="L789" s="4">
        <v>30104684</v>
      </c>
      <c r="M789" s="4">
        <v>0</v>
      </c>
      <c r="N789" s="4">
        <v>30104684</v>
      </c>
      <c r="O789" s="4">
        <v>0</v>
      </c>
      <c r="P789" s="4">
        <v>0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</row>
    <row r="790" spans="1:25" ht="19.5" customHeight="1" x14ac:dyDescent="0.25">
      <c r="A790" s="2" t="s">
        <v>1949</v>
      </c>
      <c r="B790" s="2" t="s">
        <v>44</v>
      </c>
      <c r="C790" s="2" t="s">
        <v>550</v>
      </c>
      <c r="D790" s="2" t="s">
        <v>2039</v>
      </c>
      <c r="E790" s="2" t="s">
        <v>2040</v>
      </c>
      <c r="F790" s="4">
        <v>0</v>
      </c>
      <c r="G790" s="3">
        <v>154896274</v>
      </c>
      <c r="H790" s="3">
        <v>0</v>
      </c>
      <c r="I790" s="3">
        <v>0</v>
      </c>
      <c r="J790" s="3">
        <v>0</v>
      </c>
      <c r="K790" s="3">
        <v>0</v>
      </c>
      <c r="L790" s="4">
        <v>0</v>
      </c>
      <c r="M790" s="4">
        <v>0</v>
      </c>
      <c r="N790" s="4">
        <v>0</v>
      </c>
      <c r="O790" s="4">
        <v>0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</row>
    <row r="791" spans="1:25" ht="19.5" customHeight="1" x14ac:dyDescent="0.25">
      <c r="A791" s="2" t="s">
        <v>1949</v>
      </c>
      <c r="B791" s="2" t="s">
        <v>44</v>
      </c>
      <c r="C791" s="2" t="s">
        <v>2041</v>
      </c>
      <c r="D791" s="2" t="s">
        <v>2042</v>
      </c>
      <c r="E791" s="2" t="s">
        <v>2043</v>
      </c>
      <c r="F791" s="3">
        <v>16843899.48</v>
      </c>
      <c r="G791" s="3">
        <v>863156100</v>
      </c>
      <c r="H791" s="3">
        <v>1200000000</v>
      </c>
      <c r="I791" s="3">
        <v>1200000000</v>
      </c>
      <c r="J791" s="3">
        <v>1200000000</v>
      </c>
      <c r="K791" s="3">
        <v>1200000000</v>
      </c>
      <c r="L791" s="4">
        <v>1200000000</v>
      </c>
      <c r="M791" s="4">
        <v>1200000000</v>
      </c>
      <c r="N791" s="4">
        <v>1200000000</v>
      </c>
      <c r="O791" s="4">
        <v>1200000000</v>
      </c>
      <c r="P791" s="4">
        <v>0</v>
      </c>
      <c r="Q791" s="4">
        <v>0</v>
      </c>
      <c r="R791" s="4">
        <v>50000000</v>
      </c>
      <c r="S791" s="4">
        <v>75000000</v>
      </c>
      <c r="T791" s="4">
        <v>50000000</v>
      </c>
      <c r="U791" s="4">
        <v>75000000</v>
      </c>
      <c r="V791" s="4">
        <v>57250000</v>
      </c>
      <c r="W791" s="4">
        <v>75250000</v>
      </c>
      <c r="X791" s="4">
        <v>57250000</v>
      </c>
      <c r="Y791" s="4">
        <v>75250000</v>
      </c>
    </row>
    <row r="792" spans="1:25" ht="19.5" customHeight="1" x14ac:dyDescent="0.25">
      <c r="A792" s="2" t="s">
        <v>1949</v>
      </c>
      <c r="B792" s="2" t="s">
        <v>44</v>
      </c>
      <c r="C792" s="2" t="s">
        <v>2044</v>
      </c>
      <c r="D792" s="2" t="s">
        <v>2045</v>
      </c>
      <c r="E792" s="2" t="s">
        <v>2046</v>
      </c>
      <c r="F792" s="3">
        <v>320468968.14999998</v>
      </c>
      <c r="G792" s="3">
        <v>430837000</v>
      </c>
      <c r="H792" s="3">
        <v>430837000</v>
      </c>
      <c r="I792" s="3">
        <v>430837000</v>
      </c>
      <c r="J792" s="3">
        <v>430837000</v>
      </c>
      <c r="K792" s="3">
        <v>430837000</v>
      </c>
      <c r="L792" s="4">
        <v>430837000</v>
      </c>
      <c r="M792" s="4">
        <v>430837000</v>
      </c>
      <c r="N792" s="4">
        <v>430837000</v>
      </c>
      <c r="O792" s="4">
        <v>430837000</v>
      </c>
      <c r="P792" s="4">
        <v>430837000</v>
      </c>
      <c r="Q792" s="4">
        <v>430837000</v>
      </c>
      <c r="R792" s="4">
        <v>430837000</v>
      </c>
      <c r="S792" s="4">
        <v>430837000</v>
      </c>
      <c r="T792" s="4">
        <v>430837000</v>
      </c>
      <c r="U792" s="4">
        <v>430837000</v>
      </c>
      <c r="V792" s="4">
        <v>430837000</v>
      </c>
      <c r="W792" s="4">
        <v>430837000</v>
      </c>
      <c r="X792" s="4">
        <v>430837000</v>
      </c>
      <c r="Y792" s="4">
        <v>430837000</v>
      </c>
    </row>
    <row r="793" spans="1:25" ht="19.5" customHeight="1" x14ac:dyDescent="0.25">
      <c r="A793" s="2" t="s">
        <v>1949</v>
      </c>
      <c r="B793" s="2" t="s">
        <v>44</v>
      </c>
      <c r="C793" s="2" t="s">
        <v>2047</v>
      </c>
      <c r="D793" s="2" t="s">
        <v>2048</v>
      </c>
      <c r="E793" s="2" t="s">
        <v>2049</v>
      </c>
      <c r="F793" s="3">
        <v>120667124.09</v>
      </c>
      <c r="G793" s="3">
        <v>163350081</v>
      </c>
      <c r="H793" s="3">
        <v>163350081</v>
      </c>
      <c r="I793" s="3">
        <v>163350081</v>
      </c>
      <c r="J793" s="3">
        <v>163350081</v>
      </c>
      <c r="K793" s="3">
        <v>163350081</v>
      </c>
      <c r="L793" s="4">
        <v>163350081</v>
      </c>
      <c r="M793" s="4">
        <v>163350081</v>
      </c>
      <c r="N793" s="4">
        <v>163350081</v>
      </c>
      <c r="O793" s="4">
        <v>163350081</v>
      </c>
      <c r="P793" s="4">
        <v>163350081</v>
      </c>
      <c r="Q793" s="4">
        <v>163350081</v>
      </c>
      <c r="R793" s="4">
        <v>163350081</v>
      </c>
      <c r="S793" s="4">
        <v>163350081</v>
      </c>
      <c r="T793" s="4">
        <v>163350081</v>
      </c>
      <c r="U793" s="4">
        <v>163350081</v>
      </c>
      <c r="V793" s="4">
        <v>163350081</v>
      </c>
      <c r="W793" s="4">
        <v>163350081</v>
      </c>
      <c r="X793" s="4">
        <v>163350081</v>
      </c>
      <c r="Y793" s="4">
        <v>163350081</v>
      </c>
    </row>
    <row r="794" spans="1:25" ht="19.5" customHeight="1" x14ac:dyDescent="0.25">
      <c r="A794" s="2" t="s">
        <v>1949</v>
      </c>
      <c r="B794" s="2" t="s">
        <v>44</v>
      </c>
      <c r="C794" s="2" t="s">
        <v>2050</v>
      </c>
      <c r="D794" s="2" t="s">
        <v>2051</v>
      </c>
      <c r="E794" s="2" t="s">
        <v>2052</v>
      </c>
      <c r="F794" s="3">
        <v>89947311.090000004</v>
      </c>
      <c r="G794" s="3">
        <v>113328580</v>
      </c>
      <c r="H794" s="3">
        <v>113328580</v>
      </c>
      <c r="I794" s="3">
        <v>113328580</v>
      </c>
      <c r="J794" s="3">
        <v>113328580</v>
      </c>
      <c r="K794" s="3">
        <v>113328580</v>
      </c>
      <c r="L794" s="4">
        <v>113328580</v>
      </c>
      <c r="M794" s="4">
        <v>113328580</v>
      </c>
      <c r="N794" s="4">
        <v>113328580</v>
      </c>
      <c r="O794" s="4">
        <v>113328580</v>
      </c>
      <c r="P794" s="4">
        <v>113328580</v>
      </c>
      <c r="Q794" s="4">
        <v>113328580</v>
      </c>
      <c r="R794" s="4">
        <v>113328580</v>
      </c>
      <c r="S794" s="4">
        <v>113328580</v>
      </c>
      <c r="T794" s="4">
        <v>113328580</v>
      </c>
      <c r="U794" s="4">
        <v>113328580</v>
      </c>
      <c r="V794" s="4">
        <v>113328580</v>
      </c>
      <c r="W794" s="4">
        <v>113328580</v>
      </c>
      <c r="X794" s="4">
        <v>113328580</v>
      </c>
      <c r="Y794" s="4">
        <v>113328580</v>
      </c>
    </row>
    <row r="795" spans="1:25" ht="19.5" customHeight="1" x14ac:dyDescent="0.25">
      <c r="A795" s="2" t="s">
        <v>1949</v>
      </c>
      <c r="B795" s="2" t="s">
        <v>44</v>
      </c>
      <c r="C795" s="2" t="s">
        <v>2053</v>
      </c>
      <c r="D795" s="2" t="s">
        <v>2054</v>
      </c>
      <c r="E795" s="2" t="s">
        <v>2055</v>
      </c>
      <c r="F795" s="3">
        <v>42698847.520000003</v>
      </c>
      <c r="G795" s="4">
        <v>46000000</v>
      </c>
      <c r="H795" s="4">
        <v>46000000</v>
      </c>
      <c r="I795" s="4">
        <v>46000000</v>
      </c>
      <c r="J795" s="4">
        <v>46000000</v>
      </c>
      <c r="K795" s="4">
        <v>46000000</v>
      </c>
      <c r="L795" s="4">
        <v>46000000</v>
      </c>
      <c r="M795" s="4">
        <v>46000000</v>
      </c>
      <c r="N795" s="4">
        <v>46000000</v>
      </c>
      <c r="O795" s="4">
        <v>46000000</v>
      </c>
      <c r="P795" s="4">
        <v>46000000</v>
      </c>
      <c r="Q795" s="4">
        <v>46000000</v>
      </c>
      <c r="R795" s="4">
        <v>46000000</v>
      </c>
      <c r="S795" s="4">
        <v>46000000</v>
      </c>
      <c r="T795" s="4">
        <v>46000000</v>
      </c>
      <c r="U795" s="4">
        <v>46000000</v>
      </c>
      <c r="V795" s="4">
        <v>46000000</v>
      </c>
      <c r="W795" s="4">
        <v>46000000</v>
      </c>
      <c r="X795" s="4">
        <v>46000000</v>
      </c>
      <c r="Y795" s="4">
        <v>46000000</v>
      </c>
    </row>
    <row r="796" spans="1:25" ht="19.5" customHeight="1" x14ac:dyDescent="0.25">
      <c r="A796" s="2" t="s">
        <v>1949</v>
      </c>
      <c r="B796" s="2" t="s">
        <v>44</v>
      </c>
      <c r="C796" s="2" t="s">
        <v>2056</v>
      </c>
      <c r="D796" s="2" t="s">
        <v>2057</v>
      </c>
      <c r="E796" s="2" t="s">
        <v>2058</v>
      </c>
      <c r="F796" s="3">
        <v>558595818.71000004</v>
      </c>
      <c r="G796" s="3">
        <v>600000000</v>
      </c>
      <c r="H796" s="3">
        <v>600000000</v>
      </c>
      <c r="I796" s="3">
        <v>600000000</v>
      </c>
      <c r="J796" s="3">
        <v>600000000</v>
      </c>
      <c r="K796" s="3">
        <v>600000000</v>
      </c>
      <c r="L796" s="4">
        <v>600000000</v>
      </c>
      <c r="M796" s="4">
        <v>600000000</v>
      </c>
      <c r="N796" s="4">
        <v>600000000</v>
      </c>
      <c r="O796" s="4">
        <v>600000000</v>
      </c>
      <c r="P796" s="4">
        <v>600000000</v>
      </c>
      <c r="Q796" s="4">
        <v>600000000</v>
      </c>
      <c r="R796" s="4">
        <v>600000000</v>
      </c>
      <c r="S796" s="4">
        <v>600000000</v>
      </c>
      <c r="T796" s="4">
        <v>600000000</v>
      </c>
      <c r="U796" s="4">
        <v>600000000</v>
      </c>
      <c r="V796" s="4">
        <v>600000000</v>
      </c>
      <c r="W796" s="4">
        <v>600000000</v>
      </c>
      <c r="X796" s="4">
        <v>600000000</v>
      </c>
      <c r="Y796" s="4">
        <v>600000000</v>
      </c>
    </row>
    <row r="797" spans="1:25" ht="19.5" customHeight="1" x14ac:dyDescent="0.25">
      <c r="A797" s="2" t="s">
        <v>1949</v>
      </c>
      <c r="B797" s="2" t="s">
        <v>44</v>
      </c>
      <c r="C797" s="2" t="s">
        <v>2059</v>
      </c>
      <c r="D797" s="2" t="s">
        <v>2060</v>
      </c>
      <c r="E797" s="2" t="s">
        <v>2061</v>
      </c>
      <c r="F797" s="3">
        <v>472087005.63999999</v>
      </c>
      <c r="G797" s="3">
        <v>481000000</v>
      </c>
      <c r="H797" s="3">
        <v>490000000</v>
      </c>
      <c r="I797" s="3">
        <v>500000000</v>
      </c>
      <c r="J797" s="3">
        <v>490000000</v>
      </c>
      <c r="K797" s="3">
        <v>500000000</v>
      </c>
      <c r="L797" s="4">
        <v>490000000</v>
      </c>
      <c r="M797" s="4">
        <v>500000000</v>
      </c>
      <c r="N797" s="4">
        <v>490000000</v>
      </c>
      <c r="O797" s="4">
        <v>500000000</v>
      </c>
      <c r="P797" s="4">
        <v>490000000</v>
      </c>
      <c r="Q797" s="4">
        <v>500000000</v>
      </c>
      <c r="R797" s="4">
        <v>490000000</v>
      </c>
      <c r="S797" s="4">
        <v>500000000</v>
      </c>
      <c r="T797" s="4">
        <v>490000000</v>
      </c>
      <c r="U797" s="4">
        <v>500000000</v>
      </c>
      <c r="V797" s="4">
        <v>490000000</v>
      </c>
      <c r="W797" s="4">
        <v>500000000</v>
      </c>
      <c r="X797" s="4">
        <v>490000000</v>
      </c>
      <c r="Y797" s="4">
        <v>500000000</v>
      </c>
    </row>
    <row r="798" spans="1:25" ht="19.5" customHeight="1" x14ac:dyDescent="0.25">
      <c r="A798" s="2" t="s">
        <v>1949</v>
      </c>
      <c r="B798" s="2" t="s">
        <v>44</v>
      </c>
      <c r="C798" s="2" t="s">
        <v>2062</v>
      </c>
      <c r="D798" s="2" t="s">
        <v>2063</v>
      </c>
      <c r="E798" s="2" t="s">
        <v>2064</v>
      </c>
      <c r="F798" s="4">
        <v>1405935.52</v>
      </c>
      <c r="G798" s="3">
        <v>7000000</v>
      </c>
      <c r="H798" s="3">
        <v>4500000</v>
      </c>
      <c r="I798" s="3">
        <v>4500000</v>
      </c>
      <c r="J798" s="3">
        <v>4500000</v>
      </c>
      <c r="K798" s="3">
        <v>4500000</v>
      </c>
      <c r="L798" s="4">
        <v>4500000</v>
      </c>
      <c r="M798" s="4">
        <v>4500000</v>
      </c>
      <c r="N798" s="4">
        <v>4500000</v>
      </c>
      <c r="O798" s="4">
        <v>4500000</v>
      </c>
      <c r="P798" s="4">
        <v>4500000</v>
      </c>
      <c r="Q798" s="4">
        <v>4500000</v>
      </c>
      <c r="R798" s="4">
        <v>4500000</v>
      </c>
      <c r="S798" s="4">
        <v>4500000</v>
      </c>
      <c r="T798" s="4">
        <v>4500000</v>
      </c>
      <c r="U798" s="4">
        <v>4500000</v>
      </c>
      <c r="V798" s="4">
        <v>4500000</v>
      </c>
      <c r="W798" s="4">
        <v>4500000</v>
      </c>
      <c r="X798" s="4">
        <v>4500000</v>
      </c>
      <c r="Y798" s="4">
        <v>4500000</v>
      </c>
    </row>
    <row r="799" spans="1:25" ht="19.5" customHeight="1" x14ac:dyDescent="0.25">
      <c r="A799" s="2" t="s">
        <v>1949</v>
      </c>
      <c r="B799" s="2" t="s">
        <v>44</v>
      </c>
      <c r="C799" s="2" t="s">
        <v>2065</v>
      </c>
      <c r="D799" s="2" t="s">
        <v>2066</v>
      </c>
      <c r="E799" s="2" t="s">
        <v>2067</v>
      </c>
      <c r="F799" s="3">
        <v>38655550.689999998</v>
      </c>
      <c r="G799" s="3">
        <v>47500000</v>
      </c>
      <c r="H799" s="3">
        <v>43000000</v>
      </c>
      <c r="I799" s="3">
        <v>43000000</v>
      </c>
      <c r="J799" s="3">
        <v>43000000</v>
      </c>
      <c r="K799" s="3">
        <v>43000000</v>
      </c>
      <c r="L799" s="4">
        <v>43000000</v>
      </c>
      <c r="M799" s="4">
        <v>43000000</v>
      </c>
      <c r="N799" s="4">
        <v>43000000</v>
      </c>
      <c r="O799" s="4">
        <v>43000000</v>
      </c>
      <c r="P799" s="4">
        <v>43000000</v>
      </c>
      <c r="Q799" s="4">
        <v>43000000</v>
      </c>
      <c r="R799" s="4">
        <v>43000000</v>
      </c>
      <c r="S799" s="4">
        <v>43000000</v>
      </c>
      <c r="T799" s="4">
        <v>43000000</v>
      </c>
      <c r="U799" s="4">
        <v>43000000</v>
      </c>
      <c r="V799" s="4">
        <v>43000000</v>
      </c>
      <c r="W799" s="4">
        <v>43000000</v>
      </c>
      <c r="X799" s="4">
        <v>43000000</v>
      </c>
      <c r="Y799" s="4">
        <v>43000000</v>
      </c>
    </row>
    <row r="800" spans="1:25" ht="19.5" customHeight="1" x14ac:dyDescent="0.25">
      <c r="A800" s="2" t="s">
        <v>1949</v>
      </c>
      <c r="B800" s="2" t="s">
        <v>44</v>
      </c>
      <c r="C800" s="2" t="s">
        <v>2068</v>
      </c>
      <c r="D800" s="2" t="s">
        <v>2069</v>
      </c>
      <c r="E800" s="2" t="s">
        <v>2070</v>
      </c>
      <c r="F800" s="3">
        <v>69880483.129999995</v>
      </c>
      <c r="G800" s="3">
        <v>85000000</v>
      </c>
      <c r="H800" s="3">
        <v>77000000</v>
      </c>
      <c r="I800" s="3">
        <v>77000000</v>
      </c>
      <c r="J800" s="3">
        <v>77000000</v>
      </c>
      <c r="K800" s="3">
        <v>77000000</v>
      </c>
      <c r="L800" s="4">
        <v>77000000</v>
      </c>
      <c r="M800" s="4">
        <v>77000000</v>
      </c>
      <c r="N800" s="4">
        <v>77000000</v>
      </c>
      <c r="O800" s="4">
        <v>77000000</v>
      </c>
      <c r="P800" s="4">
        <v>77000000</v>
      </c>
      <c r="Q800" s="4">
        <v>77000000</v>
      </c>
      <c r="R800" s="4">
        <v>77000000</v>
      </c>
      <c r="S800" s="4">
        <v>77000000</v>
      </c>
      <c r="T800" s="4">
        <v>77000000</v>
      </c>
      <c r="U800" s="4">
        <v>77000000</v>
      </c>
      <c r="V800" s="4">
        <v>77000000</v>
      </c>
      <c r="W800" s="4">
        <v>77000000</v>
      </c>
      <c r="X800" s="4">
        <v>77000000</v>
      </c>
      <c r="Y800" s="4">
        <v>77000000</v>
      </c>
    </row>
    <row r="801" spans="1:25" ht="19.5" customHeight="1" x14ac:dyDescent="0.25">
      <c r="A801" s="2" t="s">
        <v>1949</v>
      </c>
      <c r="B801" s="2" t="s">
        <v>44</v>
      </c>
      <c r="C801" s="2" t="s">
        <v>2071</v>
      </c>
      <c r="D801" s="2" t="s">
        <v>2072</v>
      </c>
      <c r="E801" s="2" t="s">
        <v>2073</v>
      </c>
      <c r="F801" s="3">
        <v>9648759.5600000005</v>
      </c>
      <c r="G801" s="3">
        <v>10500000</v>
      </c>
      <c r="H801" s="3">
        <v>11000000</v>
      </c>
      <c r="I801" s="3">
        <v>11000000</v>
      </c>
      <c r="J801" s="3">
        <v>11000000</v>
      </c>
      <c r="K801" s="3">
        <v>11000000</v>
      </c>
      <c r="L801" s="4">
        <v>11000000</v>
      </c>
      <c r="M801" s="4">
        <v>11000000</v>
      </c>
      <c r="N801" s="4">
        <v>11000000</v>
      </c>
      <c r="O801" s="4">
        <v>11000000</v>
      </c>
      <c r="P801" s="4">
        <v>11000000</v>
      </c>
      <c r="Q801" s="4">
        <v>11000000</v>
      </c>
      <c r="R801" s="4">
        <v>11000000</v>
      </c>
      <c r="S801" s="4">
        <v>11000000</v>
      </c>
      <c r="T801" s="4">
        <v>11000000</v>
      </c>
      <c r="U801" s="4">
        <v>11000000</v>
      </c>
      <c r="V801" s="4">
        <v>11000000</v>
      </c>
      <c r="W801" s="4">
        <v>11000000</v>
      </c>
      <c r="X801" s="4">
        <v>11000000</v>
      </c>
      <c r="Y801" s="4">
        <v>11000000</v>
      </c>
    </row>
    <row r="802" spans="1:25" ht="19.5" customHeight="1" x14ac:dyDescent="0.25">
      <c r="A802" s="2" t="s">
        <v>1949</v>
      </c>
      <c r="B802" s="2" t="s">
        <v>44</v>
      </c>
      <c r="C802" s="2" t="s">
        <v>2074</v>
      </c>
      <c r="D802" s="2" t="s">
        <v>2075</v>
      </c>
      <c r="E802" s="2" t="s">
        <v>2076</v>
      </c>
      <c r="F802" s="3">
        <v>2404276.77</v>
      </c>
      <c r="G802" s="3">
        <v>3600000</v>
      </c>
      <c r="H802" s="3">
        <v>3600000</v>
      </c>
      <c r="I802" s="3">
        <v>3600000</v>
      </c>
      <c r="J802" s="3">
        <v>3600000</v>
      </c>
      <c r="K802" s="3">
        <v>3600000</v>
      </c>
      <c r="L802" s="4">
        <v>3600000</v>
      </c>
      <c r="M802" s="4">
        <v>3600000</v>
      </c>
      <c r="N802" s="4">
        <v>3600000</v>
      </c>
      <c r="O802" s="4">
        <v>3600000</v>
      </c>
      <c r="P802" s="4">
        <v>3600000</v>
      </c>
      <c r="Q802" s="4">
        <v>3600000</v>
      </c>
      <c r="R802" s="4">
        <v>3600000</v>
      </c>
      <c r="S802" s="4">
        <v>3600000</v>
      </c>
      <c r="T802" s="4">
        <v>3600000</v>
      </c>
      <c r="U802" s="4">
        <v>3600000</v>
      </c>
      <c r="V802" s="4">
        <v>3600000</v>
      </c>
      <c r="W802" s="4">
        <v>3600000</v>
      </c>
      <c r="X802" s="4">
        <v>3600000</v>
      </c>
      <c r="Y802" s="4">
        <v>3600000</v>
      </c>
    </row>
    <row r="803" spans="1:25" ht="19.5" customHeight="1" x14ac:dyDescent="0.25">
      <c r="A803" s="2" t="s">
        <v>1949</v>
      </c>
      <c r="B803" s="2" t="s">
        <v>44</v>
      </c>
      <c r="C803" s="2" t="s">
        <v>2077</v>
      </c>
      <c r="D803" s="2" t="s">
        <v>2078</v>
      </c>
      <c r="E803" s="2" t="s">
        <v>2079</v>
      </c>
      <c r="F803" s="3">
        <v>11138932.470000001</v>
      </c>
      <c r="G803" s="3">
        <v>12000000</v>
      </c>
      <c r="H803" s="3">
        <v>12000000</v>
      </c>
      <c r="I803" s="3">
        <v>12000000</v>
      </c>
      <c r="J803" s="3">
        <v>12000000</v>
      </c>
      <c r="K803" s="3">
        <v>12000000</v>
      </c>
      <c r="L803" s="4">
        <v>12000000</v>
      </c>
      <c r="M803" s="4">
        <v>12000000</v>
      </c>
      <c r="N803" s="4">
        <v>12000000</v>
      </c>
      <c r="O803" s="4">
        <v>12000000</v>
      </c>
      <c r="P803" s="4">
        <v>12000000</v>
      </c>
      <c r="Q803" s="4">
        <v>12000000</v>
      </c>
      <c r="R803" s="4">
        <v>12000000</v>
      </c>
      <c r="S803" s="4">
        <v>12000000</v>
      </c>
      <c r="T803" s="4">
        <v>12000000</v>
      </c>
      <c r="U803" s="4">
        <v>12000000</v>
      </c>
      <c r="V803" s="4">
        <v>12000000</v>
      </c>
      <c r="W803" s="4">
        <v>12000000</v>
      </c>
      <c r="X803" s="4">
        <v>12000000</v>
      </c>
      <c r="Y803" s="4">
        <v>12000000</v>
      </c>
    </row>
    <row r="804" spans="1:25" ht="19.5" customHeight="1" x14ac:dyDescent="0.25">
      <c r="A804" s="2" t="s">
        <v>1949</v>
      </c>
      <c r="B804" s="2" t="s">
        <v>44</v>
      </c>
      <c r="C804" s="2" t="s">
        <v>2080</v>
      </c>
      <c r="D804" s="2" t="s">
        <v>2081</v>
      </c>
      <c r="E804" s="2" t="s">
        <v>2082</v>
      </c>
      <c r="F804" s="3">
        <v>7829552.9800000004</v>
      </c>
      <c r="G804" s="3">
        <v>10900000</v>
      </c>
      <c r="H804" s="3">
        <v>10900000</v>
      </c>
      <c r="I804" s="3">
        <v>10900000</v>
      </c>
      <c r="J804" s="3">
        <v>10900000</v>
      </c>
      <c r="K804" s="3">
        <v>10900000</v>
      </c>
      <c r="L804" s="4">
        <v>10900000</v>
      </c>
      <c r="M804" s="4">
        <v>10900000</v>
      </c>
      <c r="N804" s="4">
        <v>10900000</v>
      </c>
      <c r="O804" s="4">
        <v>10900000</v>
      </c>
      <c r="P804" s="4">
        <v>10900000</v>
      </c>
      <c r="Q804" s="4">
        <v>10900000</v>
      </c>
      <c r="R804" s="4">
        <v>10900000</v>
      </c>
      <c r="S804" s="4">
        <v>10900000</v>
      </c>
      <c r="T804" s="4">
        <v>10900000</v>
      </c>
      <c r="U804" s="4">
        <v>10900000</v>
      </c>
      <c r="V804" s="4">
        <v>10900000</v>
      </c>
      <c r="W804" s="4">
        <v>10900000</v>
      </c>
      <c r="X804" s="4">
        <v>10900000</v>
      </c>
      <c r="Y804" s="4">
        <v>10900000</v>
      </c>
    </row>
    <row r="805" spans="1:25" ht="19.5" customHeight="1" x14ac:dyDescent="0.25">
      <c r="A805" s="2" t="s">
        <v>1949</v>
      </c>
      <c r="B805" s="2" t="s">
        <v>54</v>
      </c>
      <c r="C805" s="2" t="s">
        <v>54</v>
      </c>
      <c r="D805" s="2" t="s">
        <v>2083</v>
      </c>
      <c r="E805" s="2" t="s">
        <v>22</v>
      </c>
      <c r="F805" s="3">
        <v>14417846.109999999</v>
      </c>
      <c r="G805" s="3">
        <v>15440623</v>
      </c>
      <c r="H805" s="3">
        <v>15140623</v>
      </c>
      <c r="I805" s="3">
        <v>15140623</v>
      </c>
      <c r="J805" s="3">
        <v>15140623</v>
      </c>
      <c r="K805" s="3">
        <v>15140623</v>
      </c>
      <c r="L805" s="4">
        <v>15140623</v>
      </c>
      <c r="M805" s="4">
        <v>15140623</v>
      </c>
      <c r="N805" s="4">
        <v>15140623</v>
      </c>
      <c r="O805" s="4">
        <v>15140623</v>
      </c>
      <c r="P805" s="4">
        <v>15140623</v>
      </c>
      <c r="Q805" s="4">
        <v>15140623</v>
      </c>
      <c r="R805" s="4">
        <v>14383592</v>
      </c>
      <c r="S805" s="4">
        <v>14686404</v>
      </c>
      <c r="T805" s="4">
        <v>14383592</v>
      </c>
      <c r="U805" s="4">
        <v>14686404</v>
      </c>
      <c r="V805" s="4">
        <v>14383592</v>
      </c>
      <c r="W805" s="4">
        <v>14686404</v>
      </c>
      <c r="X805" s="4">
        <v>14383592</v>
      </c>
      <c r="Y805" s="4">
        <v>14686404</v>
      </c>
    </row>
    <row r="806" spans="1:25" ht="19.5" customHeight="1" x14ac:dyDescent="0.25">
      <c r="A806" s="2" t="s">
        <v>1949</v>
      </c>
      <c r="B806" s="2" t="s">
        <v>54</v>
      </c>
      <c r="C806" s="2" t="s">
        <v>54</v>
      </c>
      <c r="D806" s="2" t="s">
        <v>2084</v>
      </c>
      <c r="E806" s="2" t="s">
        <v>2010</v>
      </c>
      <c r="F806" s="3">
        <v>64246811.520000003</v>
      </c>
      <c r="G806" s="4">
        <v>68116789</v>
      </c>
      <c r="H806" s="4">
        <v>68116789</v>
      </c>
      <c r="I806" s="4">
        <v>68116789</v>
      </c>
      <c r="J806" s="4">
        <v>68116789</v>
      </c>
      <c r="K806" s="4">
        <v>68116789</v>
      </c>
      <c r="L806" s="4">
        <v>68116789</v>
      </c>
      <c r="M806" s="4">
        <v>68116789</v>
      </c>
      <c r="N806" s="4">
        <v>68116789</v>
      </c>
      <c r="O806" s="4">
        <v>68116789</v>
      </c>
      <c r="P806" s="4">
        <v>68116789</v>
      </c>
      <c r="Q806" s="4">
        <v>68116789</v>
      </c>
      <c r="R806" s="4">
        <v>68116789</v>
      </c>
      <c r="S806" s="4">
        <v>68116789</v>
      </c>
      <c r="T806" s="4">
        <v>68116789</v>
      </c>
      <c r="U806" s="4">
        <v>68116789</v>
      </c>
      <c r="V806" s="4">
        <v>68116789</v>
      </c>
      <c r="W806" s="4">
        <v>68116789</v>
      </c>
      <c r="X806" s="4">
        <v>68116789</v>
      </c>
      <c r="Y806" s="4">
        <v>68116789</v>
      </c>
    </row>
    <row r="807" spans="1:25" ht="19.5" customHeight="1" x14ac:dyDescent="0.25">
      <c r="A807" s="2" t="s">
        <v>1949</v>
      </c>
      <c r="B807" s="2" t="s">
        <v>54</v>
      </c>
      <c r="C807" s="2" t="s">
        <v>54</v>
      </c>
      <c r="D807" s="2" t="s">
        <v>2085</v>
      </c>
      <c r="E807" s="2" t="s">
        <v>2086</v>
      </c>
      <c r="F807" s="3">
        <v>3880138.17</v>
      </c>
      <c r="G807" s="3">
        <v>3909499</v>
      </c>
      <c r="H807" s="3">
        <v>3680482</v>
      </c>
      <c r="I807" s="3">
        <v>3680482</v>
      </c>
      <c r="J807" s="3">
        <v>3680482</v>
      </c>
      <c r="K807" s="3">
        <v>3680482</v>
      </c>
      <c r="L807" s="4">
        <v>3680482</v>
      </c>
      <c r="M807" s="4">
        <v>3680482</v>
      </c>
      <c r="N807" s="4">
        <v>3680482</v>
      </c>
      <c r="O807" s="4">
        <v>3680482</v>
      </c>
      <c r="P807" s="4">
        <v>3680482</v>
      </c>
      <c r="Q807" s="4">
        <v>3680482</v>
      </c>
      <c r="R807" s="4">
        <v>3680482</v>
      </c>
      <c r="S807" s="4">
        <v>3680482</v>
      </c>
      <c r="T807" s="4">
        <v>3680482</v>
      </c>
      <c r="U807" s="4">
        <v>3680482</v>
      </c>
      <c r="V807" s="4">
        <v>3680482</v>
      </c>
      <c r="W807" s="4">
        <v>3680482</v>
      </c>
      <c r="X807" s="4">
        <v>3680482</v>
      </c>
      <c r="Y807" s="4">
        <v>3680482</v>
      </c>
    </row>
    <row r="808" spans="1:25" ht="19.5" customHeight="1" x14ac:dyDescent="0.25">
      <c r="A808" s="2" t="s">
        <v>1949</v>
      </c>
      <c r="B808" s="2" t="s">
        <v>54</v>
      </c>
      <c r="C808" s="2" t="s">
        <v>54</v>
      </c>
      <c r="D808" s="2" t="s">
        <v>2087</v>
      </c>
      <c r="E808" s="2" t="s">
        <v>2088</v>
      </c>
      <c r="F808" s="3">
        <v>2220911.35</v>
      </c>
      <c r="G808" s="3">
        <v>2337711</v>
      </c>
      <c r="H808" s="3">
        <v>2337711</v>
      </c>
      <c r="I808" s="3">
        <v>2337711</v>
      </c>
      <c r="J808" s="3">
        <v>2337711</v>
      </c>
      <c r="K808" s="3">
        <v>2337711</v>
      </c>
      <c r="L808" s="4">
        <v>2337711</v>
      </c>
      <c r="M808" s="4">
        <v>2337711</v>
      </c>
      <c r="N808" s="4">
        <v>2337711</v>
      </c>
      <c r="O808" s="4">
        <v>2337711</v>
      </c>
      <c r="P808" s="4">
        <v>2337711</v>
      </c>
      <c r="Q808" s="4">
        <v>2337711</v>
      </c>
      <c r="R808" s="4">
        <v>2337711</v>
      </c>
      <c r="S808" s="4">
        <v>2337711</v>
      </c>
      <c r="T808" s="4">
        <v>2337711</v>
      </c>
      <c r="U808" s="4">
        <v>2337711</v>
      </c>
      <c r="V808" s="4">
        <v>2337711</v>
      </c>
      <c r="W808" s="4">
        <v>2337711</v>
      </c>
      <c r="X808" s="4">
        <v>2337711</v>
      </c>
      <c r="Y808" s="4">
        <v>2337711</v>
      </c>
    </row>
    <row r="809" spans="1:25" ht="19.5" customHeight="1" x14ac:dyDescent="0.25">
      <c r="A809" s="2" t="s">
        <v>1949</v>
      </c>
      <c r="B809" s="2" t="s">
        <v>54</v>
      </c>
      <c r="C809" s="2" t="s">
        <v>54</v>
      </c>
      <c r="D809" s="2" t="s">
        <v>2089</v>
      </c>
      <c r="E809" s="2" t="s">
        <v>2090</v>
      </c>
      <c r="F809" s="3">
        <v>446002.64</v>
      </c>
      <c r="G809" s="3">
        <v>450950</v>
      </c>
      <c r="H809" s="3">
        <v>450950</v>
      </c>
      <c r="I809" s="3">
        <v>450950</v>
      </c>
      <c r="J809" s="3">
        <v>450950</v>
      </c>
      <c r="K809" s="3">
        <v>450950</v>
      </c>
      <c r="L809" s="4">
        <v>450950</v>
      </c>
      <c r="M809" s="4">
        <v>450950</v>
      </c>
      <c r="N809" s="4">
        <v>450950</v>
      </c>
      <c r="O809" s="4">
        <v>450950</v>
      </c>
      <c r="P809" s="4">
        <v>450950</v>
      </c>
      <c r="Q809" s="4">
        <v>450950</v>
      </c>
      <c r="R809" s="4">
        <v>450950</v>
      </c>
      <c r="S809" s="4">
        <v>450950</v>
      </c>
      <c r="T809" s="4">
        <v>450950</v>
      </c>
      <c r="U809" s="4">
        <v>450950</v>
      </c>
      <c r="V809" s="4">
        <v>450950</v>
      </c>
      <c r="W809" s="4">
        <v>450950</v>
      </c>
      <c r="X809" s="4">
        <v>450950</v>
      </c>
      <c r="Y809" s="4">
        <v>450950</v>
      </c>
    </row>
    <row r="810" spans="1:25" ht="19.5" customHeight="1" x14ac:dyDescent="0.25">
      <c r="A810" s="2" t="s">
        <v>1949</v>
      </c>
      <c r="B810" s="2" t="s">
        <v>54</v>
      </c>
      <c r="C810" s="2" t="s">
        <v>54</v>
      </c>
      <c r="D810" s="2" t="s">
        <v>2091</v>
      </c>
      <c r="E810" s="2" t="s">
        <v>2092</v>
      </c>
      <c r="F810" s="3">
        <v>15311956.880000001</v>
      </c>
      <c r="G810" s="3">
        <v>15107422</v>
      </c>
      <c r="H810" s="3">
        <v>15107422</v>
      </c>
      <c r="I810" s="3">
        <v>15107422</v>
      </c>
      <c r="J810" s="3">
        <v>15107422</v>
      </c>
      <c r="K810" s="3">
        <v>15107422</v>
      </c>
      <c r="L810" s="4">
        <v>15107422</v>
      </c>
      <c r="M810" s="4">
        <v>15107422</v>
      </c>
      <c r="N810" s="4">
        <v>15107422</v>
      </c>
      <c r="O810" s="4">
        <v>15107422</v>
      </c>
      <c r="P810" s="4">
        <v>15107422</v>
      </c>
      <c r="Q810" s="4">
        <v>15107422</v>
      </c>
      <c r="R810" s="4">
        <v>15107422</v>
      </c>
      <c r="S810" s="4">
        <v>15107422</v>
      </c>
      <c r="T810" s="4">
        <v>15107422</v>
      </c>
      <c r="U810" s="4">
        <v>15107422</v>
      </c>
      <c r="V810" s="4">
        <v>15107422</v>
      </c>
      <c r="W810" s="4">
        <v>15107422</v>
      </c>
      <c r="X810" s="4">
        <v>15107422</v>
      </c>
      <c r="Y810" s="4">
        <v>15107422</v>
      </c>
    </row>
    <row r="811" spans="1:25" ht="19.5" customHeight="1" x14ac:dyDescent="0.25">
      <c r="A811" s="2" t="s">
        <v>1949</v>
      </c>
      <c r="B811" s="2" t="s">
        <v>54</v>
      </c>
      <c r="C811" s="2" t="s">
        <v>54</v>
      </c>
      <c r="D811" s="2" t="s">
        <v>2093</v>
      </c>
      <c r="E811" s="2" t="s">
        <v>2094</v>
      </c>
      <c r="F811" s="3">
        <v>3762858.43</v>
      </c>
      <c r="G811" s="3">
        <v>3883525</v>
      </c>
      <c r="H811" s="3">
        <v>3883525</v>
      </c>
      <c r="I811" s="3">
        <v>3883525</v>
      </c>
      <c r="J811" s="3">
        <v>3883525</v>
      </c>
      <c r="K811" s="3">
        <v>3883525</v>
      </c>
      <c r="L811" s="4">
        <v>3883525</v>
      </c>
      <c r="M811" s="4">
        <v>3883525</v>
      </c>
      <c r="N811" s="4">
        <v>3883525</v>
      </c>
      <c r="O811" s="4">
        <v>3883525</v>
      </c>
      <c r="P811" s="4">
        <v>3883525</v>
      </c>
      <c r="Q811" s="4">
        <v>3883525</v>
      </c>
      <c r="R811" s="4">
        <v>3883525</v>
      </c>
      <c r="S811" s="4">
        <v>3883525</v>
      </c>
      <c r="T811" s="4">
        <v>3883525</v>
      </c>
      <c r="U811" s="4">
        <v>3883525</v>
      </c>
      <c r="V811" s="4">
        <v>3883525</v>
      </c>
      <c r="W811" s="4">
        <v>3883525</v>
      </c>
      <c r="X811" s="4">
        <v>3883525</v>
      </c>
      <c r="Y811" s="4">
        <v>3883525</v>
      </c>
    </row>
    <row r="812" spans="1:25" ht="19.5" customHeight="1" x14ac:dyDescent="0.25">
      <c r="A812" s="2" t="s">
        <v>1949</v>
      </c>
      <c r="B812" s="2" t="s">
        <v>54</v>
      </c>
      <c r="C812" s="2" t="s">
        <v>54</v>
      </c>
      <c r="D812" s="2" t="s">
        <v>2095</v>
      </c>
      <c r="E812" s="2" t="s">
        <v>2096</v>
      </c>
      <c r="F812" s="3">
        <v>53174048.280000001</v>
      </c>
      <c r="G812" s="3">
        <v>51848365</v>
      </c>
      <c r="H812" s="3">
        <v>56282168</v>
      </c>
      <c r="I812" s="3">
        <v>56282168</v>
      </c>
      <c r="J812" s="3">
        <v>56282168</v>
      </c>
      <c r="K812" s="3">
        <v>56282168</v>
      </c>
      <c r="L812" s="4">
        <v>56282168</v>
      </c>
      <c r="M812" s="4">
        <v>56282168</v>
      </c>
      <c r="N812" s="4">
        <v>56282168</v>
      </c>
      <c r="O812" s="4">
        <v>56282168</v>
      </c>
      <c r="P812" s="4">
        <v>56282168</v>
      </c>
      <c r="Q812" s="4">
        <v>56282168</v>
      </c>
      <c r="R812" s="4">
        <v>56282168</v>
      </c>
      <c r="S812" s="4">
        <v>56282168</v>
      </c>
      <c r="T812" s="4">
        <v>56282168</v>
      </c>
      <c r="U812" s="4">
        <v>56282168</v>
      </c>
      <c r="V812" s="4">
        <v>56282168</v>
      </c>
      <c r="W812" s="4">
        <v>56282168</v>
      </c>
      <c r="X812" s="4">
        <v>56282168</v>
      </c>
      <c r="Y812" s="4">
        <v>56282168</v>
      </c>
    </row>
    <row r="813" spans="1:25" ht="19.5" customHeight="1" x14ac:dyDescent="0.25">
      <c r="A813" s="2" t="s">
        <v>1949</v>
      </c>
      <c r="B813" s="2" t="s">
        <v>54</v>
      </c>
      <c r="C813" s="2" t="s">
        <v>54</v>
      </c>
      <c r="D813" s="2" t="s">
        <v>2097</v>
      </c>
      <c r="E813" s="2" t="s">
        <v>1986</v>
      </c>
      <c r="F813" s="4">
        <v>6006714.7599999998</v>
      </c>
      <c r="G813" s="3">
        <v>5815320</v>
      </c>
      <c r="H813" s="3">
        <v>7168977</v>
      </c>
      <c r="I813" s="3">
        <v>7197050</v>
      </c>
      <c r="J813" s="3">
        <v>7168977</v>
      </c>
      <c r="K813" s="3">
        <v>7197050</v>
      </c>
      <c r="L813" s="4">
        <v>7168977</v>
      </c>
      <c r="M813" s="4">
        <v>7197050</v>
      </c>
      <c r="N813" s="4">
        <v>7168977</v>
      </c>
      <c r="O813" s="4">
        <v>7197050</v>
      </c>
      <c r="P813" s="4">
        <v>7168977</v>
      </c>
      <c r="Q813" s="4">
        <v>7197050</v>
      </c>
      <c r="R813" s="4">
        <v>7168977</v>
      </c>
      <c r="S813" s="4">
        <v>7197050</v>
      </c>
      <c r="T813" s="4">
        <v>7168977</v>
      </c>
      <c r="U813" s="4">
        <v>7197050</v>
      </c>
      <c r="V813" s="4">
        <v>7168977</v>
      </c>
      <c r="W813" s="4">
        <v>7197050</v>
      </c>
      <c r="X813" s="4">
        <v>7168977</v>
      </c>
      <c r="Y813" s="4">
        <v>7197050</v>
      </c>
    </row>
    <row r="814" spans="1:25" ht="19.5" customHeight="1" x14ac:dyDescent="0.25">
      <c r="A814" s="2" t="s">
        <v>1949</v>
      </c>
      <c r="B814" s="2" t="s">
        <v>54</v>
      </c>
      <c r="C814" s="2" t="s">
        <v>54</v>
      </c>
      <c r="D814" s="2" t="s">
        <v>2098</v>
      </c>
      <c r="E814" s="2" t="s">
        <v>2099</v>
      </c>
      <c r="F814" s="3">
        <v>1957299.26</v>
      </c>
      <c r="G814" s="3">
        <v>2127153</v>
      </c>
      <c r="H814" s="3">
        <v>2127153</v>
      </c>
      <c r="I814" s="3">
        <v>2127153</v>
      </c>
      <c r="J814" s="3">
        <v>2127153</v>
      </c>
      <c r="K814" s="3">
        <v>2127153</v>
      </c>
      <c r="L814" s="4">
        <v>2127153</v>
      </c>
      <c r="M814" s="4">
        <v>2127153</v>
      </c>
      <c r="N814" s="4">
        <v>2127153</v>
      </c>
      <c r="O814" s="4">
        <v>2127153</v>
      </c>
      <c r="P814" s="4">
        <v>2127153</v>
      </c>
      <c r="Q814" s="4">
        <v>2127153</v>
      </c>
      <c r="R814" s="4">
        <v>2127153</v>
      </c>
      <c r="S814" s="4">
        <v>2127153</v>
      </c>
      <c r="T814" s="4">
        <v>2127153</v>
      </c>
      <c r="U814" s="4">
        <v>2127153</v>
      </c>
      <c r="V814" s="4">
        <v>2127153</v>
      </c>
      <c r="W814" s="4">
        <v>2127153</v>
      </c>
      <c r="X814" s="4">
        <v>2127153</v>
      </c>
      <c r="Y814" s="4">
        <v>2127153</v>
      </c>
    </row>
    <row r="815" spans="1:25" ht="19.5" customHeight="1" x14ac:dyDescent="0.25">
      <c r="A815" s="2" t="s">
        <v>1949</v>
      </c>
      <c r="B815" s="2" t="s">
        <v>54</v>
      </c>
      <c r="C815" s="2" t="s">
        <v>54</v>
      </c>
      <c r="D815" s="2" t="s">
        <v>2100</v>
      </c>
      <c r="E815" s="2" t="s">
        <v>2101</v>
      </c>
      <c r="F815" s="4">
        <v>7969216.2999999998</v>
      </c>
      <c r="G815" s="3">
        <v>8174415</v>
      </c>
      <c r="H815" s="3">
        <v>8174415</v>
      </c>
      <c r="I815" s="3">
        <v>8174415</v>
      </c>
      <c r="J815" s="3">
        <v>8174415</v>
      </c>
      <c r="K815" s="3">
        <v>8174415</v>
      </c>
      <c r="L815" s="4">
        <v>8174415</v>
      </c>
      <c r="M815" s="4">
        <v>8174415</v>
      </c>
      <c r="N815" s="4">
        <v>8174415</v>
      </c>
      <c r="O815" s="4">
        <v>8174415</v>
      </c>
      <c r="P815" s="4">
        <v>8174415</v>
      </c>
      <c r="Q815" s="4">
        <v>8174415</v>
      </c>
      <c r="R815" s="4">
        <v>8174415</v>
      </c>
      <c r="S815" s="4">
        <v>8174415</v>
      </c>
      <c r="T815" s="4">
        <v>8174415</v>
      </c>
      <c r="U815" s="4">
        <v>8174415</v>
      </c>
      <c r="V815" s="4">
        <v>8174415</v>
      </c>
      <c r="W815" s="4">
        <v>8174415</v>
      </c>
      <c r="X815" s="4">
        <v>8174415</v>
      </c>
      <c r="Y815" s="4">
        <v>8174415</v>
      </c>
    </row>
    <row r="816" spans="1:25" ht="19.5" customHeight="1" x14ac:dyDescent="0.25">
      <c r="A816" s="2" t="s">
        <v>1949</v>
      </c>
      <c r="B816" s="2" t="s">
        <v>54</v>
      </c>
      <c r="C816" s="2" t="s">
        <v>54</v>
      </c>
      <c r="D816" s="2" t="s">
        <v>2102</v>
      </c>
      <c r="E816" s="2" t="s">
        <v>2103</v>
      </c>
      <c r="F816" s="3">
        <v>5797579.3799999999</v>
      </c>
      <c r="G816" s="3">
        <v>9473208</v>
      </c>
      <c r="H816" s="3">
        <v>6224384</v>
      </c>
      <c r="I816" s="3">
        <v>6224384</v>
      </c>
      <c r="J816" s="3">
        <v>6574384</v>
      </c>
      <c r="K816" s="3">
        <v>6574384</v>
      </c>
      <c r="L816" s="4">
        <v>6574384</v>
      </c>
      <c r="M816" s="4">
        <v>6574384</v>
      </c>
      <c r="N816" s="4">
        <v>6574384</v>
      </c>
      <c r="O816" s="4">
        <v>6574384</v>
      </c>
      <c r="P816" s="4">
        <v>2207740</v>
      </c>
      <c r="Q816" s="4">
        <v>2207740</v>
      </c>
      <c r="R816" s="4">
        <v>3207740</v>
      </c>
      <c r="S816" s="4">
        <v>3207740</v>
      </c>
      <c r="T816" s="4">
        <v>3207740</v>
      </c>
      <c r="U816" s="4">
        <v>3207740</v>
      </c>
      <c r="V816" s="4">
        <v>3457740</v>
      </c>
      <c r="W816" s="4">
        <v>3457740</v>
      </c>
      <c r="X816" s="4">
        <v>3457740</v>
      </c>
      <c r="Y816" s="4">
        <v>3457740</v>
      </c>
    </row>
    <row r="817" spans="1:25" ht="19.5" customHeight="1" x14ac:dyDescent="0.25">
      <c r="A817" s="2" t="s">
        <v>1949</v>
      </c>
      <c r="B817" s="2" t="s">
        <v>54</v>
      </c>
      <c r="C817" s="2" t="s">
        <v>54</v>
      </c>
      <c r="D817" s="2" t="s">
        <v>2104</v>
      </c>
      <c r="E817" s="2" t="s">
        <v>2105</v>
      </c>
      <c r="F817" s="3">
        <v>4135135.67</v>
      </c>
      <c r="G817" s="3">
        <v>4412546</v>
      </c>
      <c r="H817" s="3">
        <v>4412546</v>
      </c>
      <c r="I817" s="3">
        <v>4412546</v>
      </c>
      <c r="J817" s="3">
        <v>4412546</v>
      </c>
      <c r="K817" s="3">
        <v>4412546</v>
      </c>
      <c r="L817" s="4">
        <v>4412546</v>
      </c>
      <c r="M817" s="4">
        <v>4412546</v>
      </c>
      <c r="N817" s="4">
        <v>4412546</v>
      </c>
      <c r="O817" s="4">
        <v>4412546</v>
      </c>
      <c r="P817" s="4">
        <v>4412546</v>
      </c>
      <c r="Q817" s="4">
        <v>4412546</v>
      </c>
      <c r="R817" s="4">
        <v>3412546</v>
      </c>
      <c r="S817" s="4">
        <v>3412546</v>
      </c>
      <c r="T817" s="4">
        <v>3412546</v>
      </c>
      <c r="U817" s="4">
        <v>3412546</v>
      </c>
      <c r="V817" s="4">
        <v>3412546</v>
      </c>
      <c r="W817" s="4">
        <v>3412546</v>
      </c>
      <c r="X817" s="4">
        <v>3412546</v>
      </c>
      <c r="Y817" s="4">
        <v>3412546</v>
      </c>
    </row>
    <row r="818" spans="1:25" ht="19.5" customHeight="1" x14ac:dyDescent="0.25">
      <c r="A818" s="6" t="s">
        <v>1949</v>
      </c>
      <c r="B818" s="6" t="s">
        <v>54</v>
      </c>
      <c r="C818" s="6" t="s">
        <v>54</v>
      </c>
      <c r="D818" s="7" t="s">
        <v>2106</v>
      </c>
      <c r="E818" s="6" t="s">
        <v>2107</v>
      </c>
      <c r="F818" s="4">
        <v>0</v>
      </c>
      <c r="G818" s="4">
        <v>0</v>
      </c>
      <c r="H818" s="4">
        <v>0</v>
      </c>
      <c r="I818" s="4">
        <v>0</v>
      </c>
      <c r="J818" s="4">
        <v>320000</v>
      </c>
      <c r="K818" s="4">
        <v>0</v>
      </c>
      <c r="L818" s="4">
        <v>320000</v>
      </c>
      <c r="M818" s="4">
        <v>0</v>
      </c>
      <c r="N818" s="4">
        <v>320000</v>
      </c>
      <c r="O818" s="4">
        <v>0</v>
      </c>
      <c r="P818" s="4">
        <v>320000</v>
      </c>
      <c r="Q818" s="4">
        <v>0</v>
      </c>
      <c r="R818" s="4">
        <v>320000</v>
      </c>
      <c r="S818" s="4">
        <v>0</v>
      </c>
      <c r="T818" s="4">
        <v>320000</v>
      </c>
      <c r="U818" s="4">
        <v>0</v>
      </c>
      <c r="V818" s="4">
        <v>320000</v>
      </c>
      <c r="W818" s="4">
        <v>0</v>
      </c>
      <c r="X818" s="4">
        <v>320000</v>
      </c>
      <c r="Y818" s="4">
        <v>0</v>
      </c>
    </row>
    <row r="819" spans="1:25" ht="19.5" customHeight="1" x14ac:dyDescent="0.25">
      <c r="A819" s="2" t="s">
        <v>1949</v>
      </c>
      <c r="B819" s="2" t="s">
        <v>54</v>
      </c>
      <c r="C819" s="2" t="s">
        <v>54</v>
      </c>
      <c r="D819" s="2" t="s">
        <v>2108</v>
      </c>
      <c r="E819" s="2" t="s">
        <v>2109</v>
      </c>
      <c r="F819" s="3">
        <v>4875255.41</v>
      </c>
      <c r="G819" s="4">
        <v>4881854</v>
      </c>
      <c r="H819" s="4">
        <v>4881854</v>
      </c>
      <c r="I819" s="4">
        <v>4881854</v>
      </c>
      <c r="J819" s="4">
        <v>4881854</v>
      </c>
      <c r="K819" s="4">
        <v>4881854</v>
      </c>
      <c r="L819" s="4">
        <v>4881854</v>
      </c>
      <c r="M819" s="4">
        <v>4881854</v>
      </c>
      <c r="N819" s="4">
        <v>4881854</v>
      </c>
      <c r="O819" s="4">
        <v>4881854</v>
      </c>
      <c r="P819" s="4">
        <v>4881854</v>
      </c>
      <c r="Q819" s="4">
        <v>4881854</v>
      </c>
      <c r="R819" s="4">
        <v>4881854</v>
      </c>
      <c r="S819" s="4">
        <v>4881854</v>
      </c>
      <c r="T819" s="4">
        <v>4881854</v>
      </c>
      <c r="U819" s="4">
        <v>4881854</v>
      </c>
      <c r="V819" s="4">
        <v>4881854</v>
      </c>
      <c r="W819" s="4">
        <v>4881854</v>
      </c>
      <c r="X819" s="4">
        <v>4881854</v>
      </c>
      <c r="Y819" s="4">
        <v>4881854</v>
      </c>
    </row>
    <row r="820" spans="1:25" ht="19.5" customHeight="1" x14ac:dyDescent="0.25">
      <c r="A820" s="2" t="s">
        <v>1949</v>
      </c>
      <c r="B820" s="2" t="s">
        <v>54</v>
      </c>
      <c r="C820" s="2" t="s">
        <v>54</v>
      </c>
      <c r="D820" s="2" t="s">
        <v>2110</v>
      </c>
      <c r="E820" s="2" t="s">
        <v>2111</v>
      </c>
      <c r="F820" s="3">
        <v>0</v>
      </c>
      <c r="G820" s="3">
        <v>4000000</v>
      </c>
      <c r="H820" s="3">
        <v>20500000</v>
      </c>
      <c r="I820" s="3">
        <v>20500000</v>
      </c>
      <c r="J820" s="3">
        <v>20500000</v>
      </c>
      <c r="K820" s="3">
        <v>20500000</v>
      </c>
      <c r="L820" s="4">
        <v>20500000</v>
      </c>
      <c r="M820" s="4">
        <v>20500000</v>
      </c>
      <c r="N820" s="4">
        <v>20500000</v>
      </c>
      <c r="O820" s="4">
        <v>20500000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20500000</v>
      </c>
      <c r="W820" s="4">
        <v>20500000</v>
      </c>
      <c r="X820" s="4">
        <v>20500000</v>
      </c>
      <c r="Y820" s="4">
        <v>20500000</v>
      </c>
    </row>
    <row r="821" spans="1:25" ht="19.5" customHeight="1" x14ac:dyDescent="0.25">
      <c r="A821" s="2" t="s">
        <v>1949</v>
      </c>
      <c r="B821" s="2" t="s">
        <v>54</v>
      </c>
      <c r="C821" s="2" t="s">
        <v>54</v>
      </c>
      <c r="D821" s="2" t="s">
        <v>2112</v>
      </c>
      <c r="E821" s="2" t="s">
        <v>2113</v>
      </c>
      <c r="F821" s="3">
        <v>504259659.94</v>
      </c>
      <c r="G821" s="3">
        <v>518959661</v>
      </c>
      <c r="H821" s="3">
        <v>527129809</v>
      </c>
      <c r="I821" s="3">
        <v>527129809</v>
      </c>
      <c r="J821" s="3">
        <v>656379809</v>
      </c>
      <c r="K821" s="3">
        <v>680379809</v>
      </c>
      <c r="L821" s="4">
        <v>656379809</v>
      </c>
      <c r="M821" s="4">
        <v>680379809</v>
      </c>
      <c r="N821" s="4">
        <v>656379809</v>
      </c>
      <c r="O821" s="4">
        <v>680379809</v>
      </c>
      <c r="P821" s="4">
        <v>536660589</v>
      </c>
      <c r="Q821" s="4">
        <v>541660589</v>
      </c>
      <c r="R821" s="4">
        <v>536660589</v>
      </c>
      <c r="S821" s="4">
        <v>541660589</v>
      </c>
      <c r="T821" s="4">
        <v>536660589</v>
      </c>
      <c r="U821" s="4">
        <v>541660589</v>
      </c>
      <c r="V821" s="4">
        <v>656379809</v>
      </c>
      <c r="W821" s="4">
        <v>680379809</v>
      </c>
      <c r="X821" s="4">
        <v>656379809</v>
      </c>
      <c r="Y821" s="4">
        <v>680379809</v>
      </c>
    </row>
    <row r="822" spans="1:25" ht="19.5" customHeight="1" x14ac:dyDescent="0.25">
      <c r="A822" s="6" t="s">
        <v>1949</v>
      </c>
      <c r="B822" s="6" t="s">
        <v>54</v>
      </c>
      <c r="C822" s="6" t="s">
        <v>54</v>
      </c>
      <c r="D822" s="7" t="s">
        <v>2114</v>
      </c>
      <c r="E822" s="6" t="s">
        <v>2115</v>
      </c>
      <c r="F822" s="4">
        <v>0</v>
      </c>
      <c r="G822" s="4">
        <v>0</v>
      </c>
      <c r="H822" s="4">
        <v>0</v>
      </c>
      <c r="I822" s="4">
        <v>0</v>
      </c>
      <c r="J822" s="4">
        <v>45000000</v>
      </c>
      <c r="K822" s="4">
        <v>45000000</v>
      </c>
      <c r="L822" s="4">
        <v>45000000</v>
      </c>
      <c r="M822" s="4">
        <v>45000000</v>
      </c>
      <c r="N822" s="4">
        <v>45000000</v>
      </c>
      <c r="O822" s="4">
        <v>45000000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</row>
    <row r="823" spans="1:25" ht="19.5" customHeight="1" x14ac:dyDescent="0.25">
      <c r="A823" s="2" t="s">
        <v>1949</v>
      </c>
      <c r="B823" s="2" t="s">
        <v>54</v>
      </c>
      <c r="C823" s="2" t="s">
        <v>54</v>
      </c>
      <c r="D823" s="2" t="s">
        <v>2116</v>
      </c>
      <c r="E823" s="2" t="s">
        <v>2117</v>
      </c>
      <c r="F823" s="3">
        <v>8963500</v>
      </c>
      <c r="G823" s="4">
        <v>8963500</v>
      </c>
      <c r="H823" s="4">
        <v>8963500</v>
      </c>
      <c r="I823" s="4">
        <v>8963500</v>
      </c>
      <c r="J823" s="4">
        <v>8963500</v>
      </c>
      <c r="K823" s="4">
        <v>8963500</v>
      </c>
      <c r="L823" s="4">
        <v>8963500</v>
      </c>
      <c r="M823" s="4">
        <v>8963500</v>
      </c>
      <c r="N823" s="4">
        <v>8963500</v>
      </c>
      <c r="O823" s="4">
        <v>8963500</v>
      </c>
      <c r="P823" s="4">
        <v>8963500</v>
      </c>
      <c r="Q823" s="4">
        <v>8963500</v>
      </c>
      <c r="R823" s="4">
        <v>8963500</v>
      </c>
      <c r="S823" s="4">
        <v>8963500</v>
      </c>
      <c r="T823" s="4">
        <v>8963500</v>
      </c>
      <c r="U823" s="4">
        <v>8963500</v>
      </c>
      <c r="V823" s="4">
        <v>8963500</v>
      </c>
      <c r="W823" s="4">
        <v>8963500</v>
      </c>
      <c r="X823" s="4">
        <v>8963500</v>
      </c>
      <c r="Y823" s="4">
        <v>8963500</v>
      </c>
    </row>
    <row r="824" spans="1:25" ht="19.5" customHeight="1" x14ac:dyDescent="0.25">
      <c r="A824" s="2" t="s">
        <v>1949</v>
      </c>
      <c r="B824" s="2" t="s">
        <v>54</v>
      </c>
      <c r="C824" s="2" t="s">
        <v>54</v>
      </c>
      <c r="D824" s="2" t="s">
        <v>2118</v>
      </c>
      <c r="E824" s="2" t="s">
        <v>2119</v>
      </c>
      <c r="F824" s="3">
        <v>154097443.72999999</v>
      </c>
      <c r="G824" s="3">
        <v>152537577</v>
      </c>
      <c r="H824" s="3">
        <v>154939134</v>
      </c>
      <c r="I824" s="3">
        <v>154939134</v>
      </c>
      <c r="J824" s="3">
        <v>154939134</v>
      </c>
      <c r="K824" s="3">
        <v>154939134</v>
      </c>
      <c r="L824" s="4">
        <v>156744175</v>
      </c>
      <c r="M824" s="4">
        <v>158591274</v>
      </c>
      <c r="N824" s="4">
        <v>156744175</v>
      </c>
      <c r="O824" s="4">
        <v>158591274</v>
      </c>
      <c r="P824" s="4">
        <v>156744175</v>
      </c>
      <c r="Q824" s="4">
        <v>158591274</v>
      </c>
      <c r="R824" s="4">
        <v>156744175</v>
      </c>
      <c r="S824" s="4">
        <v>158591274</v>
      </c>
      <c r="T824" s="4">
        <v>156744175</v>
      </c>
      <c r="U824" s="4">
        <v>158591274</v>
      </c>
      <c r="V824" s="4">
        <v>156744175</v>
      </c>
      <c r="W824" s="4">
        <v>158591274</v>
      </c>
      <c r="X824" s="4">
        <v>156744175</v>
      </c>
      <c r="Y824" s="4">
        <v>158591274</v>
      </c>
    </row>
    <row r="825" spans="1:25" ht="19.5" customHeight="1" x14ac:dyDescent="0.25">
      <c r="A825" s="2" t="s">
        <v>1949</v>
      </c>
      <c r="B825" s="2" t="s">
        <v>54</v>
      </c>
      <c r="C825" s="2" t="s">
        <v>54</v>
      </c>
      <c r="D825" s="2" t="s">
        <v>2120</v>
      </c>
      <c r="E825" s="2" t="s">
        <v>2121</v>
      </c>
      <c r="F825" s="3">
        <v>62223627.649999999</v>
      </c>
      <c r="G825" s="4">
        <v>68912770</v>
      </c>
      <c r="H825" s="4">
        <v>69997735</v>
      </c>
      <c r="I825" s="4">
        <v>69997735</v>
      </c>
      <c r="J825" s="4">
        <v>69997735</v>
      </c>
      <c r="K825" s="4">
        <v>69997735</v>
      </c>
      <c r="L825" s="4">
        <v>70813735</v>
      </c>
      <c r="M825" s="4">
        <v>71647683</v>
      </c>
      <c r="N825" s="4">
        <v>70813735</v>
      </c>
      <c r="O825" s="4">
        <v>71647683</v>
      </c>
      <c r="P825" s="4">
        <v>70813735</v>
      </c>
      <c r="Q825" s="4">
        <v>71647683</v>
      </c>
      <c r="R825" s="4">
        <v>70813735</v>
      </c>
      <c r="S825" s="4">
        <v>71647683</v>
      </c>
      <c r="T825" s="4">
        <v>70813735</v>
      </c>
      <c r="U825" s="4">
        <v>71647683</v>
      </c>
      <c r="V825" s="4">
        <v>70813735</v>
      </c>
      <c r="W825" s="4">
        <v>71647683</v>
      </c>
      <c r="X825" s="4">
        <v>70813735</v>
      </c>
      <c r="Y825" s="4">
        <v>71647683</v>
      </c>
    </row>
    <row r="826" spans="1:25" ht="19.5" customHeight="1" x14ac:dyDescent="0.25">
      <c r="A826" s="2" t="s">
        <v>1949</v>
      </c>
      <c r="B826" s="2" t="s">
        <v>54</v>
      </c>
      <c r="C826" s="2" t="s">
        <v>54</v>
      </c>
      <c r="D826" s="2" t="s">
        <v>2122</v>
      </c>
      <c r="E826" s="2" t="s">
        <v>2123</v>
      </c>
      <c r="F826" s="3">
        <v>151855257.84999999</v>
      </c>
      <c r="G826" s="3">
        <v>152850000</v>
      </c>
      <c r="H826" s="3">
        <v>152850000</v>
      </c>
      <c r="I826" s="3">
        <v>152850000</v>
      </c>
      <c r="J826" s="3">
        <v>180850000</v>
      </c>
      <c r="K826" s="3">
        <v>185850000</v>
      </c>
      <c r="L826" s="4">
        <v>180850000</v>
      </c>
      <c r="M826" s="4">
        <v>185850000</v>
      </c>
      <c r="N826" s="4">
        <v>180850000</v>
      </c>
      <c r="O826" s="4">
        <v>185850000</v>
      </c>
      <c r="P826" s="4">
        <v>180850000</v>
      </c>
      <c r="Q826" s="4">
        <v>185850000</v>
      </c>
      <c r="R826" s="4">
        <v>180850000</v>
      </c>
      <c r="S826" s="4">
        <v>185850000</v>
      </c>
      <c r="T826" s="4">
        <v>180850000</v>
      </c>
      <c r="U826" s="4">
        <v>185850000</v>
      </c>
      <c r="V826" s="4">
        <v>180850000</v>
      </c>
      <c r="W826" s="4">
        <v>185850000</v>
      </c>
      <c r="X826" s="4">
        <v>180850000</v>
      </c>
      <c r="Y826" s="4">
        <v>185850000</v>
      </c>
    </row>
    <row r="827" spans="1:25" ht="19.5" customHeight="1" x14ac:dyDescent="0.25">
      <c r="A827" s="2" t="s">
        <v>1949</v>
      </c>
      <c r="B827" s="2" t="s">
        <v>54</v>
      </c>
      <c r="C827" s="2" t="s">
        <v>54</v>
      </c>
      <c r="D827" s="2" t="s">
        <v>2124</v>
      </c>
      <c r="E827" s="2" t="s">
        <v>2125</v>
      </c>
      <c r="F827" s="3">
        <v>9367733.7400000002</v>
      </c>
      <c r="G827" s="3">
        <v>9680892</v>
      </c>
      <c r="H827" s="3">
        <v>10000892</v>
      </c>
      <c r="I827" s="3">
        <v>10000892</v>
      </c>
      <c r="J827" s="3">
        <v>14300892</v>
      </c>
      <c r="K827" s="3">
        <v>18500892</v>
      </c>
      <c r="L827" s="4">
        <v>14300892</v>
      </c>
      <c r="M827" s="4">
        <v>18500892</v>
      </c>
      <c r="N827" s="4">
        <v>14300892</v>
      </c>
      <c r="O827" s="4">
        <v>18500892</v>
      </c>
      <c r="P827" s="4">
        <v>9650892</v>
      </c>
      <c r="Q827" s="4">
        <v>9650892</v>
      </c>
      <c r="R827" s="4">
        <v>9890892</v>
      </c>
      <c r="S827" s="4">
        <v>9890892</v>
      </c>
      <c r="T827" s="4">
        <v>9890892</v>
      </c>
      <c r="U827" s="4">
        <v>9890892</v>
      </c>
      <c r="V827" s="4">
        <v>14090892</v>
      </c>
      <c r="W827" s="4">
        <v>18290892</v>
      </c>
      <c r="X827" s="4">
        <v>14090892</v>
      </c>
      <c r="Y827" s="4">
        <v>18290892</v>
      </c>
    </row>
    <row r="828" spans="1:25" ht="19.5" customHeight="1" x14ac:dyDescent="0.25">
      <c r="A828" s="2" t="s">
        <v>1949</v>
      </c>
      <c r="B828" s="2" t="s">
        <v>54</v>
      </c>
      <c r="C828" s="2" t="s">
        <v>54</v>
      </c>
      <c r="D828" s="2" t="s">
        <v>2126</v>
      </c>
      <c r="E828" s="6" t="s">
        <v>1989</v>
      </c>
      <c r="F828" s="3">
        <v>6687924225.4399996</v>
      </c>
      <c r="G828" s="3">
        <v>6671702177</v>
      </c>
      <c r="H828" s="3">
        <v>6835618845</v>
      </c>
      <c r="I828" s="3">
        <v>6806618845</v>
      </c>
      <c r="J828" s="3">
        <v>6681118845</v>
      </c>
      <c r="K828" s="3">
        <v>6769118845</v>
      </c>
      <c r="L828" s="4">
        <v>6681118845</v>
      </c>
      <c r="M828" s="4">
        <v>6769118845</v>
      </c>
      <c r="N828" s="4">
        <v>6681118845</v>
      </c>
      <c r="O828" s="4">
        <v>6769118845</v>
      </c>
      <c r="P828" s="4">
        <v>6948998712</v>
      </c>
      <c r="Q828" s="4">
        <v>7090348712</v>
      </c>
      <c r="R828" s="4">
        <v>6961998712</v>
      </c>
      <c r="S828" s="4">
        <v>7106098712</v>
      </c>
      <c r="T828" s="4">
        <v>6961998712</v>
      </c>
      <c r="U828" s="4">
        <v>7106098712</v>
      </c>
      <c r="V828" s="4">
        <v>6937998712</v>
      </c>
      <c r="W828" s="4">
        <v>7079848712</v>
      </c>
      <c r="X828" s="4">
        <v>6937998712</v>
      </c>
      <c r="Y828" s="4">
        <v>7079848712</v>
      </c>
    </row>
    <row r="829" spans="1:25" ht="19.5" customHeight="1" x14ac:dyDescent="0.25">
      <c r="A829" s="2" t="s">
        <v>1949</v>
      </c>
      <c r="B829" s="2" t="s">
        <v>54</v>
      </c>
      <c r="C829" s="2" t="s">
        <v>54</v>
      </c>
      <c r="D829" s="2" t="s">
        <v>2127</v>
      </c>
      <c r="E829" s="2" t="s">
        <v>2128</v>
      </c>
      <c r="F829" s="3">
        <v>1337707.92</v>
      </c>
      <c r="G829" s="3">
        <v>1132172</v>
      </c>
      <c r="H829" s="3">
        <v>1052172</v>
      </c>
      <c r="I829" s="3">
        <v>1052172</v>
      </c>
      <c r="J829" s="3">
        <v>1052172</v>
      </c>
      <c r="K829" s="3">
        <v>1052172</v>
      </c>
      <c r="L829" s="4">
        <v>1052172</v>
      </c>
      <c r="M829" s="4">
        <v>1052172</v>
      </c>
      <c r="N829" s="4">
        <v>1052172</v>
      </c>
      <c r="O829" s="4">
        <v>1052172</v>
      </c>
      <c r="P829" s="4">
        <v>1052172</v>
      </c>
      <c r="Q829" s="4">
        <v>1052172</v>
      </c>
      <c r="R829" s="4">
        <v>1552172</v>
      </c>
      <c r="S829" s="4">
        <v>1552172</v>
      </c>
      <c r="T829" s="4">
        <v>1552172</v>
      </c>
      <c r="U829" s="4">
        <v>1552172</v>
      </c>
      <c r="V829" s="4">
        <v>1552172</v>
      </c>
      <c r="W829" s="4">
        <v>1552172</v>
      </c>
      <c r="X829" s="4">
        <v>1552172</v>
      </c>
      <c r="Y829" s="4">
        <v>1552172</v>
      </c>
    </row>
    <row r="830" spans="1:25" ht="19.5" customHeight="1" x14ac:dyDescent="0.25">
      <c r="A830" s="2" t="s">
        <v>1949</v>
      </c>
      <c r="B830" s="2" t="s">
        <v>54</v>
      </c>
      <c r="C830" s="2" t="s">
        <v>54</v>
      </c>
      <c r="D830" s="2" t="s">
        <v>2129</v>
      </c>
      <c r="E830" s="2" t="s">
        <v>2130</v>
      </c>
      <c r="F830" s="3">
        <v>8123300.1100000003</v>
      </c>
      <c r="G830" s="3">
        <v>9652210</v>
      </c>
      <c r="H830" s="3">
        <v>9152210</v>
      </c>
      <c r="I830" s="3">
        <v>9152210</v>
      </c>
      <c r="J830" s="3">
        <v>9152210</v>
      </c>
      <c r="K830" s="3">
        <v>9152210</v>
      </c>
      <c r="L830" s="4">
        <v>9152210</v>
      </c>
      <c r="M830" s="4">
        <v>9152210</v>
      </c>
      <c r="N830" s="4">
        <v>9152210</v>
      </c>
      <c r="O830" s="4">
        <v>9152210</v>
      </c>
      <c r="P830" s="4">
        <v>9752210</v>
      </c>
      <c r="Q830" s="4">
        <v>9752210</v>
      </c>
      <c r="R830" s="4">
        <v>9752210</v>
      </c>
      <c r="S830" s="4">
        <v>9752210</v>
      </c>
      <c r="T830" s="4">
        <v>9752210</v>
      </c>
      <c r="U830" s="4">
        <v>9752210</v>
      </c>
      <c r="V830" s="4">
        <v>9752210</v>
      </c>
      <c r="W830" s="4">
        <v>9752210</v>
      </c>
      <c r="X830" s="4">
        <v>9752210</v>
      </c>
      <c r="Y830" s="4">
        <v>9752210</v>
      </c>
    </row>
    <row r="831" spans="1:25" ht="19.5" customHeight="1" x14ac:dyDescent="0.25">
      <c r="A831" s="2" t="s">
        <v>1949</v>
      </c>
      <c r="B831" s="2" t="s">
        <v>54</v>
      </c>
      <c r="C831" s="2" t="s">
        <v>54</v>
      </c>
      <c r="D831" s="2" t="s">
        <v>2131</v>
      </c>
      <c r="E831" s="2" t="s">
        <v>2132</v>
      </c>
      <c r="F831" s="3">
        <v>50908627.289999999</v>
      </c>
      <c r="G831" s="3">
        <v>85000000</v>
      </c>
      <c r="H831" s="3">
        <v>92179867</v>
      </c>
      <c r="I831" s="3">
        <v>92179867</v>
      </c>
      <c r="J831" s="3">
        <v>92179867</v>
      </c>
      <c r="K831" s="3">
        <v>92179867</v>
      </c>
      <c r="L831" s="4">
        <v>92179867</v>
      </c>
      <c r="M831" s="4">
        <v>92179867</v>
      </c>
      <c r="N831" s="4">
        <v>92179867</v>
      </c>
      <c r="O831" s="4">
        <v>92179867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</row>
    <row r="832" spans="1:25" ht="19.5" customHeight="1" x14ac:dyDescent="0.25">
      <c r="A832" s="2" t="s">
        <v>1949</v>
      </c>
      <c r="B832" s="2" t="s">
        <v>54</v>
      </c>
      <c r="C832" s="2" t="s">
        <v>54</v>
      </c>
      <c r="D832" s="2" t="s">
        <v>2133</v>
      </c>
      <c r="E832" s="2" t="s">
        <v>2134</v>
      </c>
      <c r="F832" s="3">
        <v>18148016</v>
      </c>
      <c r="G832" s="3">
        <v>18128526</v>
      </c>
      <c r="H832" s="3">
        <v>17464102</v>
      </c>
      <c r="I832" s="3">
        <v>15238834</v>
      </c>
      <c r="J832" s="3">
        <v>17464102</v>
      </c>
      <c r="K832" s="3">
        <v>15238834</v>
      </c>
      <c r="L832" s="4">
        <v>17464102</v>
      </c>
      <c r="M832" s="4">
        <v>15238834</v>
      </c>
      <c r="N832" s="4">
        <v>17464102</v>
      </c>
      <c r="O832" s="4">
        <v>15238834</v>
      </c>
      <c r="P832" s="4">
        <v>17464102</v>
      </c>
      <c r="Q832" s="4">
        <v>15238834</v>
      </c>
      <c r="R832" s="4">
        <v>17464102</v>
      </c>
      <c r="S832" s="4">
        <v>15238834</v>
      </c>
      <c r="T832" s="4">
        <v>17464102</v>
      </c>
      <c r="U832" s="4">
        <v>15238834</v>
      </c>
      <c r="V832" s="4">
        <v>17464102</v>
      </c>
      <c r="W832" s="4">
        <v>15238834</v>
      </c>
      <c r="X832" s="4">
        <v>17464102</v>
      </c>
      <c r="Y832" s="4">
        <v>15238834</v>
      </c>
    </row>
    <row r="833" spans="1:25" ht="19.5" customHeight="1" x14ac:dyDescent="0.25">
      <c r="A833" s="2" t="s">
        <v>1949</v>
      </c>
      <c r="B833" s="2" t="s">
        <v>54</v>
      </c>
      <c r="C833" s="2" t="s">
        <v>54</v>
      </c>
      <c r="D833" s="2" t="s">
        <v>2135</v>
      </c>
      <c r="E833" s="2" t="s">
        <v>2136</v>
      </c>
      <c r="F833" s="3">
        <v>240700</v>
      </c>
      <c r="G833" s="3">
        <v>200000</v>
      </c>
      <c r="H833" s="3">
        <v>0</v>
      </c>
      <c r="I833" s="3">
        <v>0</v>
      </c>
      <c r="J833" s="3">
        <v>250000</v>
      </c>
      <c r="K833" s="3">
        <v>250000</v>
      </c>
      <c r="L833" s="4">
        <v>250000</v>
      </c>
      <c r="M833" s="4">
        <v>250000</v>
      </c>
      <c r="N833" s="4">
        <v>250000</v>
      </c>
      <c r="O833" s="4">
        <v>250000</v>
      </c>
      <c r="P833" s="4">
        <v>250000</v>
      </c>
      <c r="Q833" s="4">
        <v>250000</v>
      </c>
      <c r="R833" s="4">
        <v>250000</v>
      </c>
      <c r="S833" s="4">
        <v>250000</v>
      </c>
      <c r="T833" s="4">
        <v>250000</v>
      </c>
      <c r="U833" s="4">
        <v>250000</v>
      </c>
      <c r="V833" s="4">
        <v>250000</v>
      </c>
      <c r="W833" s="4">
        <v>250000</v>
      </c>
      <c r="X833" s="4">
        <v>250000</v>
      </c>
      <c r="Y833" s="4">
        <v>250000</v>
      </c>
    </row>
    <row r="834" spans="1:25" ht="19.5" customHeight="1" x14ac:dyDescent="0.25">
      <c r="A834" s="2" t="s">
        <v>1949</v>
      </c>
      <c r="B834" s="2" t="s">
        <v>54</v>
      </c>
      <c r="C834" s="2" t="s">
        <v>54</v>
      </c>
      <c r="D834" s="2" t="s">
        <v>2137</v>
      </c>
      <c r="E834" s="2" t="s">
        <v>2138</v>
      </c>
      <c r="F834" s="3">
        <v>138109.74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</row>
    <row r="835" spans="1:25" ht="19.5" customHeight="1" x14ac:dyDescent="0.25">
      <c r="A835" s="2" t="s">
        <v>1949</v>
      </c>
      <c r="B835" s="2" t="s">
        <v>54</v>
      </c>
      <c r="C835" s="2" t="s">
        <v>54</v>
      </c>
      <c r="D835" s="2" t="s">
        <v>2139</v>
      </c>
      <c r="E835" s="2" t="s">
        <v>2140</v>
      </c>
      <c r="F835" s="3">
        <v>0</v>
      </c>
      <c r="G835" s="4">
        <v>0</v>
      </c>
      <c r="H835" s="4">
        <v>54000000</v>
      </c>
      <c r="I835" s="4">
        <v>54000000</v>
      </c>
      <c r="J835" s="4">
        <v>0</v>
      </c>
      <c r="K835" s="4">
        <v>0</v>
      </c>
      <c r="L835" s="4">
        <v>0</v>
      </c>
      <c r="M835" s="4">
        <v>0</v>
      </c>
      <c r="N835" s="4">
        <v>0</v>
      </c>
      <c r="O835" s="4">
        <v>0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</row>
    <row r="836" spans="1:25" ht="19.5" customHeight="1" x14ac:dyDescent="0.25">
      <c r="A836" s="2" t="s">
        <v>1949</v>
      </c>
      <c r="B836" s="2" t="s">
        <v>54</v>
      </c>
      <c r="C836" s="2" t="s">
        <v>54</v>
      </c>
      <c r="D836" s="2" t="s">
        <v>2141</v>
      </c>
      <c r="E836" s="2" t="s">
        <v>612</v>
      </c>
      <c r="F836" s="3">
        <v>1083150</v>
      </c>
      <c r="G836" s="3">
        <v>500000</v>
      </c>
      <c r="H836" s="3">
        <v>0</v>
      </c>
      <c r="I836" s="3">
        <v>0</v>
      </c>
      <c r="J836" s="3">
        <v>1188000</v>
      </c>
      <c r="K836" s="3">
        <v>1188000</v>
      </c>
      <c r="L836" s="4">
        <v>1188000</v>
      </c>
      <c r="M836" s="4">
        <v>1188000</v>
      </c>
      <c r="N836" s="4">
        <v>1188000</v>
      </c>
      <c r="O836" s="4">
        <v>1188000</v>
      </c>
      <c r="P836" s="4">
        <v>3800000</v>
      </c>
      <c r="Q836" s="4">
        <v>3800000</v>
      </c>
      <c r="R836" s="4">
        <v>3800000</v>
      </c>
      <c r="S836" s="4">
        <v>3800000</v>
      </c>
      <c r="T836" s="4">
        <v>3800000</v>
      </c>
      <c r="U836" s="4">
        <v>3800000</v>
      </c>
      <c r="V836" s="4">
        <v>3800000</v>
      </c>
      <c r="W836" s="4">
        <v>3800000</v>
      </c>
      <c r="X836" s="4">
        <v>3800000</v>
      </c>
      <c r="Y836" s="4">
        <v>3800000</v>
      </c>
    </row>
    <row r="837" spans="1:25" ht="19.5" customHeight="1" x14ac:dyDescent="0.25">
      <c r="A837" s="2" t="s">
        <v>1949</v>
      </c>
      <c r="B837" s="2" t="s">
        <v>54</v>
      </c>
      <c r="C837" s="2" t="s">
        <v>54</v>
      </c>
      <c r="D837" s="2" t="s">
        <v>2142</v>
      </c>
      <c r="E837" s="2" t="s">
        <v>2143</v>
      </c>
      <c r="F837" s="3">
        <v>273967.8</v>
      </c>
      <c r="G837" s="3">
        <v>297978</v>
      </c>
      <c r="H837" s="3">
        <v>297978</v>
      </c>
      <c r="I837" s="3">
        <v>297978</v>
      </c>
      <c r="J837" s="3">
        <v>297978</v>
      </c>
      <c r="K837" s="3">
        <v>297978</v>
      </c>
      <c r="L837" s="4">
        <v>297978</v>
      </c>
      <c r="M837" s="4">
        <v>297978</v>
      </c>
      <c r="N837" s="4">
        <v>297978</v>
      </c>
      <c r="O837" s="4">
        <v>297978</v>
      </c>
      <c r="P837" s="4">
        <v>297978</v>
      </c>
      <c r="Q837" s="4">
        <v>297978</v>
      </c>
      <c r="R837" s="4">
        <v>297978</v>
      </c>
      <c r="S837" s="4">
        <v>297978</v>
      </c>
      <c r="T837" s="4">
        <v>297978</v>
      </c>
      <c r="U837" s="4">
        <v>297978</v>
      </c>
      <c r="V837" s="4">
        <v>297978</v>
      </c>
      <c r="W837" s="4">
        <v>297978</v>
      </c>
      <c r="X837" s="4">
        <v>297978</v>
      </c>
      <c r="Y837" s="4">
        <v>297978</v>
      </c>
    </row>
    <row r="838" spans="1:25" ht="19.5" customHeight="1" x14ac:dyDescent="0.25">
      <c r="A838" s="2" t="s">
        <v>1949</v>
      </c>
      <c r="B838" s="2" t="s">
        <v>243</v>
      </c>
      <c r="C838" s="2" t="s">
        <v>2144</v>
      </c>
      <c r="D838" s="2" t="s">
        <v>2145</v>
      </c>
      <c r="E838" s="2" t="s">
        <v>2086</v>
      </c>
      <c r="F838" s="3">
        <v>6903932.3399999999</v>
      </c>
      <c r="G838" s="3">
        <v>8047645</v>
      </c>
      <c r="H838" s="3">
        <v>8289074</v>
      </c>
      <c r="I838" s="3">
        <v>8537746</v>
      </c>
      <c r="J838" s="3">
        <v>8289074</v>
      </c>
      <c r="K838" s="3">
        <v>8537746</v>
      </c>
      <c r="L838" s="4">
        <v>8289074</v>
      </c>
      <c r="M838" s="4">
        <v>8537746</v>
      </c>
      <c r="N838" s="4">
        <v>8289074</v>
      </c>
      <c r="O838" s="4">
        <v>8537746</v>
      </c>
      <c r="P838" s="4">
        <v>8289074</v>
      </c>
      <c r="Q838" s="4">
        <v>8537746</v>
      </c>
      <c r="R838" s="4">
        <v>8289074</v>
      </c>
      <c r="S838" s="4">
        <v>8537746</v>
      </c>
      <c r="T838" s="4">
        <v>8289074</v>
      </c>
      <c r="U838" s="4">
        <v>8537746</v>
      </c>
      <c r="V838" s="4">
        <v>8289074</v>
      </c>
      <c r="W838" s="4">
        <v>8537746</v>
      </c>
      <c r="X838" s="4">
        <v>8289074</v>
      </c>
      <c r="Y838" s="4">
        <v>8537746</v>
      </c>
    </row>
    <row r="839" spans="1:25" ht="19.5" customHeight="1" x14ac:dyDescent="0.25">
      <c r="A839" s="2" t="s">
        <v>1949</v>
      </c>
      <c r="B839" s="2" t="s">
        <v>243</v>
      </c>
      <c r="C839" s="2" t="s">
        <v>2146</v>
      </c>
      <c r="D839" s="2" t="s">
        <v>2147</v>
      </c>
      <c r="E839" s="2" t="s">
        <v>2148</v>
      </c>
      <c r="F839" s="3">
        <v>7580358.9100000001</v>
      </c>
      <c r="G839" s="3">
        <v>7856766</v>
      </c>
      <c r="H839" s="3">
        <v>7856766</v>
      </c>
      <c r="I839" s="3">
        <v>7856766</v>
      </c>
      <c r="J839" s="3">
        <v>7856766</v>
      </c>
      <c r="K839" s="3">
        <v>7856766</v>
      </c>
      <c r="L839" s="4">
        <v>7856766</v>
      </c>
      <c r="M839" s="4">
        <v>7856766</v>
      </c>
      <c r="N839" s="4">
        <v>7856766</v>
      </c>
      <c r="O839" s="4">
        <v>7856766</v>
      </c>
      <c r="P839" s="4">
        <v>7856766</v>
      </c>
      <c r="Q839" s="4">
        <v>7856766</v>
      </c>
      <c r="R839" s="4">
        <v>7856766</v>
      </c>
      <c r="S839" s="4">
        <v>7856766</v>
      </c>
      <c r="T839" s="4">
        <v>7856766</v>
      </c>
      <c r="U839" s="4">
        <v>7856766</v>
      </c>
      <c r="V839" s="4">
        <v>7856766</v>
      </c>
      <c r="W839" s="4">
        <v>7856766</v>
      </c>
      <c r="X839" s="4">
        <v>7856766</v>
      </c>
      <c r="Y839" s="4">
        <v>7856766</v>
      </c>
    </row>
    <row r="840" spans="1:25" ht="19.5" customHeight="1" x14ac:dyDescent="0.25">
      <c r="A840" s="2" t="s">
        <v>1949</v>
      </c>
      <c r="B840" s="2" t="s">
        <v>243</v>
      </c>
      <c r="C840" s="2" t="s">
        <v>2149</v>
      </c>
      <c r="D840" s="2" t="s">
        <v>2150</v>
      </c>
      <c r="E840" s="2" t="s">
        <v>2151</v>
      </c>
      <c r="F840" s="3">
        <v>4380013.8600000003</v>
      </c>
      <c r="G840" s="3">
        <v>5500000</v>
      </c>
      <c r="H840" s="3">
        <v>5000000</v>
      </c>
      <c r="I840" s="3">
        <v>5000000</v>
      </c>
      <c r="J840" s="3">
        <v>5000000</v>
      </c>
      <c r="K840" s="3">
        <v>5000000</v>
      </c>
      <c r="L840" s="4">
        <v>5000000</v>
      </c>
      <c r="M840" s="4">
        <v>5000000</v>
      </c>
      <c r="N840" s="4">
        <v>5000000</v>
      </c>
      <c r="O840" s="4">
        <v>5000000</v>
      </c>
      <c r="P840" s="4">
        <v>5000000</v>
      </c>
      <c r="Q840" s="4">
        <v>5000000</v>
      </c>
      <c r="R840" s="4">
        <v>5000000</v>
      </c>
      <c r="S840" s="4">
        <v>5000000</v>
      </c>
      <c r="T840" s="4">
        <v>5000000</v>
      </c>
      <c r="U840" s="4">
        <v>5000000</v>
      </c>
      <c r="V840" s="4">
        <v>5000000</v>
      </c>
      <c r="W840" s="4">
        <v>5000000</v>
      </c>
      <c r="X840" s="4">
        <v>5000000</v>
      </c>
      <c r="Y840" s="4">
        <v>5000000</v>
      </c>
    </row>
    <row r="841" spans="1:25" ht="19.5" customHeight="1" x14ac:dyDescent="0.25">
      <c r="A841" s="2" t="s">
        <v>1949</v>
      </c>
      <c r="B841" s="2" t="s">
        <v>2152</v>
      </c>
      <c r="C841" s="2" t="s">
        <v>2153</v>
      </c>
      <c r="D841" s="2" t="s">
        <v>2154</v>
      </c>
      <c r="E841" s="2" t="s">
        <v>2155</v>
      </c>
      <c r="F841" s="3">
        <v>863894.8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4">
        <v>0</v>
      </c>
      <c r="M841" s="4">
        <v>0</v>
      </c>
      <c r="N841" s="4">
        <v>0</v>
      </c>
      <c r="O841" s="4">
        <v>0</v>
      </c>
      <c r="P841" s="4">
        <v>0</v>
      </c>
      <c r="Q841" s="4">
        <v>0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</row>
    <row r="842" spans="1:25" ht="19.5" customHeight="1" x14ac:dyDescent="0.25">
      <c r="A842" s="2" t="s">
        <v>1949</v>
      </c>
      <c r="B842" s="2" t="s">
        <v>2152</v>
      </c>
      <c r="C842" s="2" t="s">
        <v>2153</v>
      </c>
      <c r="D842" s="2" t="s">
        <v>2156</v>
      </c>
      <c r="E842" s="2" t="s">
        <v>2157</v>
      </c>
      <c r="F842" s="3">
        <v>0</v>
      </c>
      <c r="G842" s="3">
        <v>3000000</v>
      </c>
      <c r="H842" s="3">
        <v>0</v>
      </c>
      <c r="I842" s="3">
        <v>0</v>
      </c>
      <c r="J842" s="3">
        <v>0</v>
      </c>
      <c r="K842" s="3">
        <v>0</v>
      </c>
      <c r="L842" s="4">
        <v>0</v>
      </c>
      <c r="M842" s="4">
        <v>0</v>
      </c>
      <c r="N842" s="4">
        <v>0</v>
      </c>
      <c r="O842" s="4">
        <v>0</v>
      </c>
      <c r="P842" s="4">
        <v>0</v>
      </c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</row>
    <row r="843" spans="1:25" ht="19.5" customHeight="1" x14ac:dyDescent="0.25">
      <c r="A843" s="2" t="s">
        <v>1949</v>
      </c>
      <c r="B843" s="2" t="s">
        <v>2152</v>
      </c>
      <c r="C843" s="2" t="s">
        <v>2153</v>
      </c>
      <c r="D843" s="2" t="s">
        <v>2158</v>
      </c>
      <c r="E843" s="6" t="s">
        <v>1989</v>
      </c>
      <c r="F843" s="3">
        <v>1081399999.98</v>
      </c>
      <c r="G843" s="3">
        <v>1249900000</v>
      </c>
      <c r="H843" s="3">
        <v>1190400000</v>
      </c>
      <c r="I843" s="3">
        <v>1219400000</v>
      </c>
      <c r="J843" s="3">
        <v>1213400000</v>
      </c>
      <c r="K843" s="3">
        <v>1242400000</v>
      </c>
      <c r="L843" s="4">
        <v>1283400000</v>
      </c>
      <c r="M843" s="4">
        <v>1287400000</v>
      </c>
      <c r="N843" s="4">
        <v>1283400000</v>
      </c>
      <c r="O843" s="4">
        <v>1287400000</v>
      </c>
      <c r="P843" s="4">
        <v>1243200000</v>
      </c>
      <c r="Q843" s="4">
        <v>1221500000</v>
      </c>
      <c r="R843" s="4">
        <v>1243700000</v>
      </c>
      <c r="S843" s="4">
        <v>1222000000</v>
      </c>
      <c r="T843" s="4">
        <v>1243700000</v>
      </c>
      <c r="U843" s="4">
        <v>1222000000</v>
      </c>
      <c r="V843" s="4">
        <v>1264200000</v>
      </c>
      <c r="W843" s="4">
        <v>1242500000</v>
      </c>
      <c r="X843" s="4">
        <v>1264200000</v>
      </c>
      <c r="Y843" s="4">
        <v>1242500000</v>
      </c>
    </row>
    <row r="844" spans="1:25" ht="19.5" customHeight="1" x14ac:dyDescent="0.25">
      <c r="A844" s="2" t="s">
        <v>1949</v>
      </c>
      <c r="B844" s="2" t="s">
        <v>2152</v>
      </c>
      <c r="C844" s="2" t="s">
        <v>2153</v>
      </c>
      <c r="D844" s="2" t="s">
        <v>2159</v>
      </c>
      <c r="E844" s="2" t="s">
        <v>2160</v>
      </c>
      <c r="F844" s="3">
        <v>1444200</v>
      </c>
      <c r="G844" s="3">
        <v>1200000</v>
      </c>
      <c r="H844" s="3">
        <v>0</v>
      </c>
      <c r="I844" s="3">
        <v>0</v>
      </c>
      <c r="J844" s="3">
        <v>1500000</v>
      </c>
      <c r="K844" s="3">
        <v>1500000</v>
      </c>
      <c r="L844" s="4">
        <v>1500000</v>
      </c>
      <c r="M844" s="4">
        <v>1500000</v>
      </c>
      <c r="N844" s="4">
        <v>1500000</v>
      </c>
      <c r="O844" s="4">
        <v>1500000</v>
      </c>
      <c r="P844" s="4">
        <v>1500000</v>
      </c>
      <c r="Q844" s="4">
        <v>1500000</v>
      </c>
      <c r="R844" s="4">
        <v>1500000</v>
      </c>
      <c r="S844" s="4">
        <v>1500000</v>
      </c>
      <c r="T844" s="4">
        <v>1500000</v>
      </c>
      <c r="U844" s="4">
        <v>1500000</v>
      </c>
      <c r="V844" s="4">
        <v>1500000</v>
      </c>
      <c r="W844" s="4">
        <v>1500000</v>
      </c>
      <c r="X844" s="4">
        <v>1500000</v>
      </c>
      <c r="Y844" s="4">
        <v>1500000</v>
      </c>
    </row>
    <row r="845" spans="1:25" ht="19.5" customHeight="1" x14ac:dyDescent="0.25">
      <c r="A845" s="6" t="s">
        <v>1949</v>
      </c>
      <c r="B845" s="6" t="s">
        <v>2152</v>
      </c>
      <c r="C845" s="6" t="s">
        <v>2153</v>
      </c>
      <c r="D845" s="7" t="s">
        <v>2161</v>
      </c>
      <c r="E845" s="6" t="s">
        <v>2128</v>
      </c>
      <c r="F845" s="4">
        <v>0</v>
      </c>
      <c r="G845" s="4">
        <v>0</v>
      </c>
      <c r="H845" s="4">
        <v>0</v>
      </c>
      <c r="I845" s="4">
        <v>0</v>
      </c>
      <c r="J845" s="4">
        <v>500000</v>
      </c>
      <c r="K845" s="4">
        <v>500000</v>
      </c>
      <c r="L845" s="4">
        <v>500000</v>
      </c>
      <c r="M845" s="4">
        <v>500000</v>
      </c>
      <c r="N845" s="4">
        <v>500000</v>
      </c>
      <c r="O845" s="4">
        <v>500000</v>
      </c>
      <c r="P845" s="4">
        <v>500000</v>
      </c>
      <c r="Q845" s="4">
        <v>500000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</row>
    <row r="846" spans="1:25" ht="19.5" customHeight="1" x14ac:dyDescent="0.25">
      <c r="A846" s="2" t="s">
        <v>1949</v>
      </c>
      <c r="B846" s="2" t="s">
        <v>2152</v>
      </c>
      <c r="C846" s="2" t="s">
        <v>2153</v>
      </c>
      <c r="D846" s="2" t="s">
        <v>2162</v>
      </c>
      <c r="E846" s="2" t="s">
        <v>2163</v>
      </c>
      <c r="F846" s="3">
        <v>1499267.48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4">
        <v>0</v>
      </c>
      <c r="M846" s="4">
        <v>0</v>
      </c>
      <c r="N846" s="4">
        <v>0</v>
      </c>
      <c r="O846" s="4">
        <v>0</v>
      </c>
      <c r="P846" s="4">
        <v>0</v>
      </c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</row>
    <row r="847" spans="1:25" ht="19.5" customHeight="1" x14ac:dyDescent="0.25">
      <c r="A847" s="2" t="s">
        <v>1949</v>
      </c>
      <c r="B847" s="2" t="s">
        <v>2152</v>
      </c>
      <c r="C847" s="2" t="s">
        <v>2153</v>
      </c>
      <c r="D847" s="2" t="s">
        <v>2164</v>
      </c>
      <c r="E847" s="2" t="s">
        <v>2140</v>
      </c>
      <c r="F847" s="4">
        <v>30000000</v>
      </c>
      <c r="G847" s="3">
        <v>30000000</v>
      </c>
      <c r="H847" s="3">
        <v>0</v>
      </c>
      <c r="I847" s="3">
        <v>0</v>
      </c>
      <c r="J847" s="3">
        <v>30000000</v>
      </c>
      <c r="K847" s="3">
        <v>30000000</v>
      </c>
      <c r="L847" s="4">
        <v>30000000</v>
      </c>
      <c r="M847" s="4">
        <v>30000000</v>
      </c>
      <c r="N847" s="4">
        <v>30000000</v>
      </c>
      <c r="O847" s="4">
        <v>30000000</v>
      </c>
      <c r="P847" s="4">
        <v>54000000</v>
      </c>
      <c r="Q847" s="4">
        <v>54000000</v>
      </c>
      <c r="R847" s="4">
        <v>54000000</v>
      </c>
      <c r="S847" s="4">
        <v>54000000</v>
      </c>
      <c r="T847" s="4">
        <v>54000000</v>
      </c>
      <c r="U847" s="4">
        <v>54000000</v>
      </c>
      <c r="V847" s="4">
        <v>54000000</v>
      </c>
      <c r="W847" s="4">
        <v>54000000</v>
      </c>
      <c r="X847" s="4">
        <v>54000000</v>
      </c>
      <c r="Y847" s="4">
        <v>54000000</v>
      </c>
    </row>
    <row r="848" spans="1:25" ht="19.5" customHeight="1" x14ac:dyDescent="0.25">
      <c r="A848" s="2" t="s">
        <v>1949</v>
      </c>
      <c r="B848" s="2" t="s">
        <v>2152</v>
      </c>
      <c r="C848" s="2" t="s">
        <v>2153</v>
      </c>
      <c r="D848" s="2" t="s">
        <v>2165</v>
      </c>
      <c r="E848" s="2" t="s">
        <v>2166</v>
      </c>
      <c r="F848" s="4">
        <v>15500000</v>
      </c>
      <c r="G848" s="3">
        <v>23000000</v>
      </c>
      <c r="H848" s="3">
        <v>23000000</v>
      </c>
      <c r="I848" s="3">
        <v>23000000</v>
      </c>
      <c r="J848" s="3">
        <v>0</v>
      </c>
      <c r="K848" s="3">
        <v>0</v>
      </c>
      <c r="L848" s="4">
        <v>0</v>
      </c>
      <c r="M848" s="4">
        <v>0</v>
      </c>
      <c r="N848" s="4">
        <v>0</v>
      </c>
      <c r="O848" s="4">
        <v>0</v>
      </c>
      <c r="P848" s="4">
        <v>0</v>
      </c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</row>
    <row r="849" spans="1:25" ht="19.5" customHeight="1" x14ac:dyDescent="0.25">
      <c r="A849" s="2" t="s">
        <v>1949</v>
      </c>
      <c r="B849" s="2" t="s">
        <v>2152</v>
      </c>
      <c r="C849" s="2" t="s">
        <v>2153</v>
      </c>
      <c r="D849" s="2" t="s">
        <v>2167</v>
      </c>
      <c r="E849" s="2" t="s">
        <v>2168</v>
      </c>
      <c r="F849" s="3">
        <v>20595619.649999999</v>
      </c>
      <c r="G849" s="3">
        <v>20600000</v>
      </c>
      <c r="H849" s="3">
        <v>20600000</v>
      </c>
      <c r="I849" s="3">
        <v>20600000</v>
      </c>
      <c r="J849" s="3">
        <v>20600000</v>
      </c>
      <c r="K849" s="3">
        <v>20600000</v>
      </c>
      <c r="L849" s="4">
        <v>20600000</v>
      </c>
      <c r="M849" s="4">
        <v>20600000</v>
      </c>
      <c r="N849" s="4">
        <v>20600000</v>
      </c>
      <c r="O849" s="4">
        <v>20600000</v>
      </c>
      <c r="P849" s="4">
        <v>62500000</v>
      </c>
      <c r="Q849" s="4">
        <v>62500000</v>
      </c>
      <c r="R849" s="4">
        <v>62500000</v>
      </c>
      <c r="S849" s="4">
        <v>62500000</v>
      </c>
      <c r="T849" s="4">
        <v>62500000</v>
      </c>
      <c r="U849" s="4">
        <v>62500000</v>
      </c>
      <c r="V849" s="4">
        <v>42000000</v>
      </c>
      <c r="W849" s="4">
        <v>42000000</v>
      </c>
      <c r="X849" s="4">
        <v>42000000</v>
      </c>
      <c r="Y849" s="4">
        <v>42000000</v>
      </c>
    </row>
    <row r="850" spans="1:25" ht="19.5" customHeight="1" x14ac:dyDescent="0.25">
      <c r="A850" s="2" t="s">
        <v>2169</v>
      </c>
      <c r="B850" s="2" t="s">
        <v>16</v>
      </c>
      <c r="C850" s="2" t="s">
        <v>2170</v>
      </c>
      <c r="D850" s="2" t="s">
        <v>2171</v>
      </c>
      <c r="E850" s="2" t="s">
        <v>2172</v>
      </c>
      <c r="F850" s="3">
        <v>145315.63</v>
      </c>
      <c r="G850" s="3">
        <v>199460</v>
      </c>
      <c r="H850" s="3">
        <v>207460</v>
      </c>
      <c r="I850" s="3">
        <v>207460</v>
      </c>
      <c r="J850" s="3">
        <v>207460</v>
      </c>
      <c r="K850" s="3">
        <v>207460</v>
      </c>
      <c r="L850" s="4">
        <v>207460</v>
      </c>
      <c r="M850" s="4">
        <v>207460</v>
      </c>
      <c r="N850" s="4">
        <v>207460</v>
      </c>
      <c r="O850" s="4">
        <v>207460</v>
      </c>
      <c r="P850" s="4">
        <v>207460</v>
      </c>
      <c r="Q850" s="4">
        <v>207460</v>
      </c>
      <c r="R850" s="4">
        <v>207460</v>
      </c>
      <c r="S850" s="4">
        <v>207460</v>
      </c>
      <c r="T850" s="4">
        <v>207460</v>
      </c>
      <c r="U850" s="4">
        <v>207460</v>
      </c>
      <c r="V850" s="4">
        <v>207460</v>
      </c>
      <c r="W850" s="4">
        <v>207460</v>
      </c>
      <c r="X850" s="4">
        <v>207460</v>
      </c>
      <c r="Y850" s="4">
        <v>207460</v>
      </c>
    </row>
    <row r="851" spans="1:25" ht="19.5" customHeight="1" x14ac:dyDescent="0.25">
      <c r="A851" s="2" t="s">
        <v>2169</v>
      </c>
      <c r="B851" s="2" t="s">
        <v>54</v>
      </c>
      <c r="C851" s="2" t="s">
        <v>54</v>
      </c>
      <c r="D851" s="2" t="s">
        <v>2173</v>
      </c>
      <c r="E851" s="2" t="s">
        <v>22</v>
      </c>
      <c r="F851" s="3">
        <v>436419.51</v>
      </c>
      <c r="G851" s="3">
        <v>404765</v>
      </c>
      <c r="H851" s="3">
        <v>394765</v>
      </c>
      <c r="I851" s="3">
        <v>394765</v>
      </c>
      <c r="J851" s="3">
        <v>394765</v>
      </c>
      <c r="K851" s="3">
        <v>394765</v>
      </c>
      <c r="L851" s="4">
        <v>394765</v>
      </c>
      <c r="M851" s="4">
        <v>394765</v>
      </c>
      <c r="N851" s="4">
        <v>394765</v>
      </c>
      <c r="O851" s="4">
        <v>394765</v>
      </c>
      <c r="P851" s="4">
        <v>394765</v>
      </c>
      <c r="Q851" s="4">
        <v>394765</v>
      </c>
      <c r="R851" s="4">
        <v>394765</v>
      </c>
      <c r="S851" s="4">
        <v>394765</v>
      </c>
      <c r="T851" s="4">
        <v>394765</v>
      </c>
      <c r="U851" s="4">
        <v>394765</v>
      </c>
      <c r="V851" s="4">
        <v>394765</v>
      </c>
      <c r="W851" s="4">
        <v>394765</v>
      </c>
      <c r="X851" s="4">
        <v>394765</v>
      </c>
      <c r="Y851" s="4">
        <v>394765</v>
      </c>
    </row>
    <row r="852" spans="1:25" ht="19.5" customHeight="1" x14ac:dyDescent="0.25">
      <c r="A852" s="2" t="s">
        <v>2174</v>
      </c>
      <c r="B852" s="2" t="s">
        <v>16</v>
      </c>
      <c r="C852" s="2" t="s">
        <v>20</v>
      </c>
      <c r="D852" s="2" t="s">
        <v>2175</v>
      </c>
      <c r="E852" s="2" t="s">
        <v>22</v>
      </c>
      <c r="F852" s="3">
        <v>1049946.24</v>
      </c>
      <c r="G852" s="3">
        <v>1312259</v>
      </c>
      <c r="H852" s="3">
        <v>1312259</v>
      </c>
      <c r="I852" s="3">
        <v>1312259</v>
      </c>
      <c r="J852" s="3">
        <v>1312259</v>
      </c>
      <c r="K852" s="3">
        <v>1312259</v>
      </c>
      <c r="L852" s="4">
        <v>1312259</v>
      </c>
      <c r="M852" s="4">
        <v>1312259</v>
      </c>
      <c r="N852" s="4">
        <v>1312259</v>
      </c>
      <c r="O852" s="4">
        <v>1312259</v>
      </c>
      <c r="P852" s="4">
        <v>1312259</v>
      </c>
      <c r="Q852" s="4">
        <v>1312259</v>
      </c>
      <c r="R852" s="4">
        <v>1312259</v>
      </c>
      <c r="S852" s="4">
        <v>1312259</v>
      </c>
      <c r="T852" s="4">
        <v>1312259</v>
      </c>
      <c r="U852" s="4">
        <v>1312259</v>
      </c>
      <c r="V852" s="4">
        <v>1312259</v>
      </c>
      <c r="W852" s="4">
        <v>1312259</v>
      </c>
      <c r="X852" s="4">
        <v>1312259</v>
      </c>
      <c r="Y852" s="4">
        <v>1312259</v>
      </c>
    </row>
    <row r="853" spans="1:25" ht="19.5" customHeight="1" x14ac:dyDescent="0.25">
      <c r="A853" s="2" t="s">
        <v>2176</v>
      </c>
      <c r="B853" s="2" t="s">
        <v>248</v>
      </c>
      <c r="C853" s="2" t="s">
        <v>2177</v>
      </c>
      <c r="D853" s="2" t="s">
        <v>2178</v>
      </c>
      <c r="E853" s="2" t="s">
        <v>2179</v>
      </c>
      <c r="F853" s="3">
        <v>140.46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4">
        <v>0</v>
      </c>
      <c r="M853" s="4">
        <v>0</v>
      </c>
      <c r="N853" s="4">
        <v>0</v>
      </c>
      <c r="O853" s="4">
        <v>0</v>
      </c>
      <c r="P853" s="4">
        <v>0</v>
      </c>
      <c r="Q853" s="4">
        <v>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</row>
    <row r="854" spans="1:25" ht="19.5" customHeight="1" x14ac:dyDescent="0.25">
      <c r="A854" s="2" t="s">
        <v>2176</v>
      </c>
      <c r="B854" s="2" t="s">
        <v>16</v>
      </c>
      <c r="C854" s="2" t="s">
        <v>2180</v>
      </c>
      <c r="D854" s="2" t="s">
        <v>2181</v>
      </c>
      <c r="E854" s="2" t="s">
        <v>2182</v>
      </c>
      <c r="F854" s="3">
        <v>1556.14</v>
      </c>
      <c r="G854" s="3">
        <v>25000</v>
      </c>
      <c r="H854" s="3">
        <v>50000</v>
      </c>
      <c r="I854" s="3">
        <v>50000</v>
      </c>
      <c r="J854" s="3">
        <v>50000</v>
      </c>
      <c r="K854" s="3">
        <v>50000</v>
      </c>
      <c r="L854" s="4">
        <v>50000</v>
      </c>
      <c r="M854" s="4">
        <v>50000</v>
      </c>
      <c r="N854" s="4">
        <v>50000</v>
      </c>
      <c r="O854" s="4">
        <v>50000</v>
      </c>
      <c r="P854" s="4">
        <v>50000</v>
      </c>
      <c r="Q854" s="4">
        <v>50000</v>
      </c>
      <c r="R854" s="4">
        <v>50000</v>
      </c>
      <c r="S854" s="4">
        <v>50000</v>
      </c>
      <c r="T854" s="4">
        <v>50000</v>
      </c>
      <c r="U854" s="4">
        <v>50000</v>
      </c>
      <c r="V854" s="4">
        <v>50000</v>
      </c>
      <c r="W854" s="4">
        <v>50000</v>
      </c>
      <c r="X854" s="4">
        <v>50000</v>
      </c>
      <c r="Y854" s="4">
        <v>50000</v>
      </c>
    </row>
    <row r="855" spans="1:25" ht="19.5" customHeight="1" x14ac:dyDescent="0.25">
      <c r="A855" s="2" t="s">
        <v>2176</v>
      </c>
      <c r="B855" s="2" t="s">
        <v>16</v>
      </c>
      <c r="C855" s="2" t="s">
        <v>2183</v>
      </c>
      <c r="D855" s="2" t="s">
        <v>2184</v>
      </c>
      <c r="E855" s="2" t="s">
        <v>2185</v>
      </c>
      <c r="F855" s="3">
        <v>356420.37</v>
      </c>
      <c r="G855" s="3">
        <v>429000</v>
      </c>
      <c r="H855" s="3">
        <v>456891</v>
      </c>
      <c r="I855" s="3">
        <v>464794</v>
      </c>
      <c r="J855" s="3">
        <v>456891</v>
      </c>
      <c r="K855" s="3">
        <v>464794</v>
      </c>
      <c r="L855" s="4">
        <v>456891</v>
      </c>
      <c r="M855" s="4">
        <v>464794</v>
      </c>
      <c r="N855" s="4">
        <v>456891</v>
      </c>
      <c r="O855" s="4">
        <v>464794</v>
      </c>
      <c r="P855" s="4">
        <v>456891</v>
      </c>
      <c r="Q855" s="4">
        <v>464794</v>
      </c>
      <c r="R855" s="4">
        <v>456891</v>
      </c>
      <c r="S855" s="4">
        <v>464794</v>
      </c>
      <c r="T855" s="4">
        <v>456891</v>
      </c>
      <c r="U855" s="4">
        <v>464794</v>
      </c>
      <c r="V855" s="4">
        <v>456891</v>
      </c>
      <c r="W855" s="4">
        <v>464794</v>
      </c>
      <c r="X855" s="4">
        <v>456891</v>
      </c>
      <c r="Y855" s="4">
        <v>464794</v>
      </c>
    </row>
    <row r="856" spans="1:25" ht="19.5" customHeight="1" x14ac:dyDescent="0.25">
      <c r="A856" s="2" t="s">
        <v>2176</v>
      </c>
      <c r="B856" s="2" t="s">
        <v>16</v>
      </c>
      <c r="C856" s="2" t="s">
        <v>2186</v>
      </c>
      <c r="D856" s="2" t="s">
        <v>2187</v>
      </c>
      <c r="E856" s="2" t="s">
        <v>2188</v>
      </c>
      <c r="F856" s="3">
        <v>6657556.3700000001</v>
      </c>
      <c r="G856" s="3">
        <v>4767344</v>
      </c>
      <c r="H856" s="3">
        <v>5317000</v>
      </c>
      <c r="I856" s="3">
        <v>5317000</v>
      </c>
      <c r="J856" s="3">
        <v>5317000</v>
      </c>
      <c r="K856" s="3">
        <v>5317000</v>
      </c>
      <c r="L856" s="4">
        <v>5317000</v>
      </c>
      <c r="M856" s="4">
        <v>5317000</v>
      </c>
      <c r="N856" s="4">
        <v>5317000</v>
      </c>
      <c r="O856" s="4">
        <v>5317000</v>
      </c>
      <c r="P856" s="4">
        <v>5317000</v>
      </c>
      <c r="Q856" s="4">
        <v>5317000</v>
      </c>
      <c r="R856" s="4">
        <v>5317000</v>
      </c>
      <c r="S856" s="4">
        <v>5317000</v>
      </c>
      <c r="T856" s="4">
        <v>5317000</v>
      </c>
      <c r="U856" s="4">
        <v>5317000</v>
      </c>
      <c r="V856" s="4">
        <v>5317000</v>
      </c>
      <c r="W856" s="4">
        <v>5317000</v>
      </c>
      <c r="X856" s="4">
        <v>5317000</v>
      </c>
      <c r="Y856" s="4">
        <v>5317000</v>
      </c>
    </row>
    <row r="857" spans="1:25" ht="19.5" customHeight="1" x14ac:dyDescent="0.25">
      <c r="A857" s="2" t="s">
        <v>2176</v>
      </c>
      <c r="B857" s="2" t="s">
        <v>16</v>
      </c>
      <c r="C857" s="2" t="s">
        <v>2189</v>
      </c>
      <c r="D857" s="2" t="s">
        <v>2190</v>
      </c>
      <c r="E857" s="2" t="s">
        <v>2191</v>
      </c>
      <c r="F857" s="3">
        <v>13718527.23</v>
      </c>
      <c r="G857" s="3">
        <v>14190934</v>
      </c>
      <c r="H857" s="3">
        <v>15604074</v>
      </c>
      <c r="I857" s="3">
        <v>16603928</v>
      </c>
      <c r="J857" s="3">
        <v>15604074</v>
      </c>
      <c r="K857" s="3">
        <v>16603928</v>
      </c>
      <c r="L857" s="4">
        <v>15604074</v>
      </c>
      <c r="M857" s="4">
        <v>16603928</v>
      </c>
      <c r="N857" s="4">
        <v>15604074</v>
      </c>
      <c r="O857" s="4">
        <v>16603928</v>
      </c>
      <c r="P857" s="4">
        <v>15604074</v>
      </c>
      <c r="Q857" s="4">
        <v>16603928</v>
      </c>
      <c r="R857" s="4">
        <v>15604074</v>
      </c>
      <c r="S857" s="4">
        <v>16603928</v>
      </c>
      <c r="T857" s="4">
        <v>15604074</v>
      </c>
      <c r="U857" s="4">
        <v>16603928</v>
      </c>
      <c r="V857" s="4">
        <v>15604074</v>
      </c>
      <c r="W857" s="4">
        <v>16603928</v>
      </c>
      <c r="X857" s="4">
        <v>15604074</v>
      </c>
      <c r="Y857" s="4">
        <v>16603928</v>
      </c>
    </row>
    <row r="858" spans="1:25" ht="19.5" customHeight="1" x14ac:dyDescent="0.25">
      <c r="A858" s="2" t="s">
        <v>2176</v>
      </c>
      <c r="B858" s="2" t="s">
        <v>16</v>
      </c>
      <c r="C858" s="2" t="s">
        <v>2192</v>
      </c>
      <c r="D858" s="2" t="s">
        <v>2193</v>
      </c>
      <c r="E858" s="2" t="s">
        <v>2194</v>
      </c>
      <c r="F858" s="3">
        <v>7467195.0999999996</v>
      </c>
      <c r="G858" s="3">
        <v>8653830</v>
      </c>
      <c r="H858" s="3">
        <v>11375000</v>
      </c>
      <c r="I858" s="3">
        <v>11565000</v>
      </c>
      <c r="J858" s="3">
        <v>11375000</v>
      </c>
      <c r="K858" s="3">
        <v>11565000</v>
      </c>
      <c r="L858" s="4">
        <v>11375000</v>
      </c>
      <c r="M858" s="4">
        <v>11565000</v>
      </c>
      <c r="N858" s="4">
        <v>11375000</v>
      </c>
      <c r="O858" s="4">
        <v>11565000</v>
      </c>
      <c r="P858" s="4">
        <v>11375000</v>
      </c>
      <c r="Q858" s="4">
        <v>11565000</v>
      </c>
      <c r="R858" s="4">
        <v>11375000</v>
      </c>
      <c r="S858" s="4">
        <v>11565000</v>
      </c>
      <c r="T858" s="4">
        <v>11375000</v>
      </c>
      <c r="U858" s="4">
        <v>11565000</v>
      </c>
      <c r="V858" s="4">
        <v>11375000</v>
      </c>
      <c r="W858" s="4">
        <v>11565000</v>
      </c>
      <c r="X858" s="4">
        <v>11375000</v>
      </c>
      <c r="Y858" s="4">
        <v>11565000</v>
      </c>
    </row>
    <row r="859" spans="1:25" ht="19.5" customHeight="1" x14ac:dyDescent="0.25">
      <c r="A859" s="2" t="s">
        <v>2176</v>
      </c>
      <c r="B859" s="2" t="s">
        <v>16</v>
      </c>
      <c r="C859" s="2" t="s">
        <v>2195</v>
      </c>
      <c r="D859" s="2" t="s">
        <v>2196</v>
      </c>
      <c r="E859" s="2" t="s">
        <v>2197</v>
      </c>
      <c r="F859" s="3">
        <v>6989985.46</v>
      </c>
      <c r="G859" s="4">
        <v>7520000</v>
      </c>
      <c r="H859" s="4">
        <v>7751598</v>
      </c>
      <c r="I859" s="4">
        <v>8429640</v>
      </c>
      <c r="J859" s="4">
        <v>7751598</v>
      </c>
      <c r="K859" s="4">
        <v>8429640</v>
      </c>
      <c r="L859" s="4">
        <v>7751598</v>
      </c>
      <c r="M859" s="4">
        <v>8429640</v>
      </c>
      <c r="N859" s="4">
        <v>7751598</v>
      </c>
      <c r="O859" s="4">
        <v>8429640</v>
      </c>
      <c r="P859" s="4">
        <v>7751598</v>
      </c>
      <c r="Q859" s="4">
        <v>8429640</v>
      </c>
      <c r="R859" s="4">
        <v>7751598</v>
      </c>
      <c r="S859" s="4">
        <v>8429640</v>
      </c>
      <c r="T859" s="4">
        <v>7751598</v>
      </c>
      <c r="U859" s="4">
        <v>8429640</v>
      </c>
      <c r="V859" s="4">
        <v>7751598</v>
      </c>
      <c r="W859" s="4">
        <v>8429640</v>
      </c>
      <c r="X859" s="4">
        <v>7751598</v>
      </c>
      <c r="Y859" s="4">
        <v>8429640</v>
      </c>
    </row>
    <row r="860" spans="1:25" ht="19.5" customHeight="1" x14ac:dyDescent="0.25">
      <c r="A860" s="2" t="s">
        <v>2176</v>
      </c>
      <c r="B860" s="2" t="s">
        <v>16</v>
      </c>
      <c r="C860" s="2" t="s">
        <v>2198</v>
      </c>
      <c r="D860" s="2" t="s">
        <v>2199</v>
      </c>
      <c r="E860" s="2" t="s">
        <v>2200</v>
      </c>
      <c r="F860" s="3">
        <v>4479.2700000000004</v>
      </c>
      <c r="G860" s="3">
        <v>10000</v>
      </c>
      <c r="H860" s="3">
        <v>10000</v>
      </c>
      <c r="I860" s="3">
        <v>10000</v>
      </c>
      <c r="J860" s="3">
        <v>10000</v>
      </c>
      <c r="K860" s="3">
        <v>10000</v>
      </c>
      <c r="L860" s="4">
        <v>10000</v>
      </c>
      <c r="M860" s="4">
        <v>10000</v>
      </c>
      <c r="N860" s="4">
        <v>10000</v>
      </c>
      <c r="O860" s="4">
        <v>10000</v>
      </c>
      <c r="P860" s="4">
        <v>10000</v>
      </c>
      <c r="Q860" s="4">
        <v>10000</v>
      </c>
      <c r="R860" s="4">
        <v>10000</v>
      </c>
      <c r="S860" s="4">
        <v>10000</v>
      </c>
      <c r="T860" s="4">
        <v>10000</v>
      </c>
      <c r="U860" s="4">
        <v>10000</v>
      </c>
      <c r="V860" s="4">
        <v>10000</v>
      </c>
      <c r="W860" s="4">
        <v>10000</v>
      </c>
      <c r="X860" s="4">
        <v>10000</v>
      </c>
      <c r="Y860" s="4">
        <v>10000</v>
      </c>
    </row>
    <row r="861" spans="1:25" ht="19.5" customHeight="1" x14ac:dyDescent="0.25">
      <c r="A861" s="2" t="s">
        <v>2176</v>
      </c>
      <c r="B861" s="2" t="s">
        <v>16</v>
      </c>
      <c r="C861" s="2" t="s">
        <v>2201</v>
      </c>
      <c r="D861" s="2" t="s">
        <v>2202</v>
      </c>
      <c r="E861" s="2" t="s">
        <v>2203</v>
      </c>
      <c r="F861" s="3">
        <v>2324898.81</v>
      </c>
      <c r="G861" s="3">
        <v>3133913</v>
      </c>
      <c r="H861" s="3">
        <v>3410366</v>
      </c>
      <c r="I861" s="3">
        <v>3570259</v>
      </c>
      <c r="J861" s="3">
        <v>3410366</v>
      </c>
      <c r="K861" s="3">
        <v>3570259</v>
      </c>
      <c r="L861" s="4">
        <v>3410366</v>
      </c>
      <c r="M861" s="4">
        <v>3570259</v>
      </c>
      <c r="N861" s="4">
        <v>3410366</v>
      </c>
      <c r="O861" s="4">
        <v>3570259</v>
      </c>
      <c r="P861" s="4">
        <v>3410366</v>
      </c>
      <c r="Q861" s="4">
        <v>3570259</v>
      </c>
      <c r="R861" s="4">
        <v>3410366</v>
      </c>
      <c r="S861" s="4">
        <v>3570259</v>
      </c>
      <c r="T861" s="4">
        <v>3410366</v>
      </c>
      <c r="U861" s="4">
        <v>3570259</v>
      </c>
      <c r="V861" s="4">
        <v>3410366</v>
      </c>
      <c r="W861" s="4">
        <v>3570259</v>
      </c>
      <c r="X861" s="4">
        <v>3410366</v>
      </c>
      <c r="Y861" s="4">
        <v>3570259</v>
      </c>
    </row>
    <row r="862" spans="1:25" ht="19.5" customHeight="1" x14ac:dyDescent="0.25">
      <c r="A862" s="2" t="s">
        <v>2176</v>
      </c>
      <c r="B862" s="2" t="s">
        <v>16</v>
      </c>
      <c r="C862" s="2" t="s">
        <v>2204</v>
      </c>
      <c r="D862" s="2" t="s">
        <v>2205</v>
      </c>
      <c r="E862" s="2" t="s">
        <v>2206</v>
      </c>
      <c r="F862" s="3">
        <v>738007.21</v>
      </c>
      <c r="G862" s="3">
        <v>1094800</v>
      </c>
      <c r="H862" s="3">
        <v>1074027</v>
      </c>
      <c r="I862" s="3">
        <v>1089245</v>
      </c>
      <c r="J862" s="3">
        <v>1074027</v>
      </c>
      <c r="K862" s="3">
        <v>1089245</v>
      </c>
      <c r="L862" s="4">
        <v>1074027</v>
      </c>
      <c r="M862" s="4">
        <v>1089245</v>
      </c>
      <c r="N862" s="4">
        <v>1074027</v>
      </c>
      <c r="O862" s="4">
        <v>1089245</v>
      </c>
      <c r="P862" s="4">
        <v>1074027</v>
      </c>
      <c r="Q862" s="4">
        <v>1089245</v>
      </c>
      <c r="R862" s="4">
        <v>1074027</v>
      </c>
      <c r="S862" s="4">
        <v>1089245</v>
      </c>
      <c r="T862" s="4">
        <v>1074027</v>
      </c>
      <c r="U862" s="4">
        <v>1089245</v>
      </c>
      <c r="V862" s="4">
        <v>1074027</v>
      </c>
      <c r="W862" s="4">
        <v>1089245</v>
      </c>
      <c r="X862" s="4">
        <v>1074027</v>
      </c>
      <c r="Y862" s="4">
        <v>1089245</v>
      </c>
    </row>
    <row r="863" spans="1:25" ht="19.5" customHeight="1" x14ac:dyDescent="0.25">
      <c r="A863" s="2" t="s">
        <v>2176</v>
      </c>
      <c r="B863" s="2" t="s">
        <v>16</v>
      </c>
      <c r="C863" s="2" t="s">
        <v>2207</v>
      </c>
      <c r="D863" s="2" t="s">
        <v>2208</v>
      </c>
      <c r="E863" s="2" t="s">
        <v>2209</v>
      </c>
      <c r="F863" s="3">
        <v>9857487.1600000001</v>
      </c>
      <c r="G863" s="3">
        <v>9694000</v>
      </c>
      <c r="H863" s="3">
        <v>10274000</v>
      </c>
      <c r="I863" s="3">
        <v>10284000</v>
      </c>
      <c r="J863" s="3">
        <v>10274000</v>
      </c>
      <c r="K863" s="3">
        <v>10284000</v>
      </c>
      <c r="L863" s="4">
        <v>10274000</v>
      </c>
      <c r="M863" s="4">
        <v>10284000</v>
      </c>
      <c r="N863" s="4">
        <v>10274000</v>
      </c>
      <c r="O863" s="4">
        <v>10284000</v>
      </c>
      <c r="P863" s="4">
        <v>10274000</v>
      </c>
      <c r="Q863" s="4">
        <v>10284000</v>
      </c>
      <c r="R863" s="4">
        <v>10274000</v>
      </c>
      <c r="S863" s="4">
        <v>10284000</v>
      </c>
      <c r="T863" s="4">
        <v>10274000</v>
      </c>
      <c r="U863" s="4">
        <v>10284000</v>
      </c>
      <c r="V863" s="4">
        <v>10274000</v>
      </c>
      <c r="W863" s="4">
        <v>10284000</v>
      </c>
      <c r="X863" s="4">
        <v>10274000</v>
      </c>
      <c r="Y863" s="4">
        <v>10284000</v>
      </c>
    </row>
    <row r="864" spans="1:25" ht="19.5" customHeight="1" x14ac:dyDescent="0.25">
      <c r="A864" s="2" t="s">
        <v>2176</v>
      </c>
      <c r="B864" s="2" t="s">
        <v>16</v>
      </c>
      <c r="C864" s="2" t="s">
        <v>2210</v>
      </c>
      <c r="D864" s="2" t="s">
        <v>2211</v>
      </c>
      <c r="E864" s="2" t="s">
        <v>2212</v>
      </c>
      <c r="F864" s="3">
        <v>733929.74</v>
      </c>
      <c r="G864" s="3">
        <v>722000</v>
      </c>
      <c r="H864" s="3">
        <v>722000</v>
      </c>
      <c r="I864" s="3">
        <v>722000</v>
      </c>
      <c r="J864" s="3">
        <v>722000</v>
      </c>
      <c r="K864" s="3">
        <v>722000</v>
      </c>
      <c r="L864" s="4">
        <v>722000</v>
      </c>
      <c r="M864" s="4">
        <v>722000</v>
      </c>
      <c r="N864" s="4">
        <v>722000</v>
      </c>
      <c r="O864" s="4">
        <v>722000</v>
      </c>
      <c r="P864" s="4">
        <v>722000</v>
      </c>
      <c r="Q864" s="4">
        <v>722000</v>
      </c>
      <c r="R864" s="4">
        <v>722000</v>
      </c>
      <c r="S864" s="4">
        <v>722000</v>
      </c>
      <c r="T864" s="4">
        <v>722000</v>
      </c>
      <c r="U864" s="4">
        <v>722000</v>
      </c>
      <c r="V864" s="4">
        <v>722000</v>
      </c>
      <c r="W864" s="4">
        <v>722000</v>
      </c>
      <c r="X864" s="4">
        <v>722000</v>
      </c>
      <c r="Y864" s="4">
        <v>722000</v>
      </c>
    </row>
    <row r="865" spans="1:25" ht="19.5" customHeight="1" x14ac:dyDescent="0.25">
      <c r="A865" s="2" t="s">
        <v>2176</v>
      </c>
      <c r="B865" s="2" t="s">
        <v>16</v>
      </c>
      <c r="C865" s="2" t="s">
        <v>2213</v>
      </c>
      <c r="D865" s="2" t="s">
        <v>2214</v>
      </c>
      <c r="E865" s="2" t="s">
        <v>2215</v>
      </c>
      <c r="F865" s="3">
        <v>4146205.47</v>
      </c>
      <c r="G865" s="3">
        <v>3839700</v>
      </c>
      <c r="H865" s="3">
        <v>4755552</v>
      </c>
      <c r="I865" s="3">
        <v>5125120</v>
      </c>
      <c r="J865" s="3">
        <v>4755552</v>
      </c>
      <c r="K865" s="3">
        <v>5125120</v>
      </c>
      <c r="L865" s="4">
        <v>4755552</v>
      </c>
      <c r="M865" s="4">
        <v>5125120</v>
      </c>
      <c r="N865" s="4">
        <v>4755552</v>
      </c>
      <c r="O865" s="4">
        <v>5125120</v>
      </c>
      <c r="P865" s="4">
        <v>4755552</v>
      </c>
      <c r="Q865" s="4">
        <v>5125120</v>
      </c>
      <c r="R865" s="4">
        <v>4755552</v>
      </c>
      <c r="S865" s="4">
        <v>5125120</v>
      </c>
      <c r="T865" s="4">
        <v>4755552</v>
      </c>
      <c r="U865" s="4">
        <v>5125120</v>
      </c>
      <c r="V865" s="4">
        <v>4755552</v>
      </c>
      <c r="W865" s="4">
        <v>5125120</v>
      </c>
      <c r="X865" s="4">
        <v>4755552</v>
      </c>
      <c r="Y865" s="4">
        <v>5125120</v>
      </c>
    </row>
    <row r="866" spans="1:25" ht="19.5" customHeight="1" x14ac:dyDescent="0.25">
      <c r="A866" s="2" t="s">
        <v>2176</v>
      </c>
      <c r="B866" s="2" t="s">
        <v>16</v>
      </c>
      <c r="C866" s="2" t="s">
        <v>2216</v>
      </c>
      <c r="D866" s="2" t="s">
        <v>2217</v>
      </c>
      <c r="E866" s="2" t="s">
        <v>2218</v>
      </c>
      <c r="F866" s="3">
        <v>9050839.5299999993</v>
      </c>
      <c r="G866" s="3">
        <v>8414700</v>
      </c>
      <c r="H866" s="3">
        <v>10557535</v>
      </c>
      <c r="I866" s="3">
        <v>11017788</v>
      </c>
      <c r="J866" s="3">
        <v>10557535</v>
      </c>
      <c r="K866" s="3">
        <v>11017788</v>
      </c>
      <c r="L866" s="4">
        <v>10557535</v>
      </c>
      <c r="M866" s="4">
        <v>11017788</v>
      </c>
      <c r="N866" s="4">
        <v>10557535</v>
      </c>
      <c r="O866" s="4">
        <v>11017788</v>
      </c>
      <c r="P866" s="4">
        <v>10557535</v>
      </c>
      <c r="Q866" s="4">
        <v>11017788</v>
      </c>
      <c r="R866" s="4">
        <v>10557535</v>
      </c>
      <c r="S866" s="4">
        <v>11017788</v>
      </c>
      <c r="T866" s="4">
        <v>10557535</v>
      </c>
      <c r="U866" s="4">
        <v>11017788</v>
      </c>
      <c r="V866" s="4">
        <v>10557535</v>
      </c>
      <c r="W866" s="4">
        <v>11017788</v>
      </c>
      <c r="X866" s="4">
        <v>10557535</v>
      </c>
      <c r="Y866" s="4">
        <v>11017788</v>
      </c>
    </row>
    <row r="867" spans="1:25" ht="19.5" customHeight="1" x14ac:dyDescent="0.25">
      <c r="A867" s="2" t="s">
        <v>2176</v>
      </c>
      <c r="B867" s="2" t="s">
        <v>16</v>
      </c>
      <c r="C867" s="2" t="s">
        <v>2216</v>
      </c>
      <c r="D867" s="2" t="s">
        <v>2219</v>
      </c>
      <c r="E867" s="2" t="s">
        <v>2220</v>
      </c>
      <c r="F867" s="3">
        <v>3120636.29</v>
      </c>
      <c r="G867" s="3">
        <v>3264000</v>
      </c>
      <c r="H867" s="3">
        <v>3380000</v>
      </c>
      <c r="I867" s="3">
        <v>3450000</v>
      </c>
      <c r="J867" s="3">
        <v>3380000</v>
      </c>
      <c r="K867" s="3">
        <v>3450000</v>
      </c>
      <c r="L867" s="4">
        <v>3380000</v>
      </c>
      <c r="M867" s="4">
        <v>3450000</v>
      </c>
      <c r="N867" s="4">
        <v>3380000</v>
      </c>
      <c r="O867" s="4">
        <v>3450000</v>
      </c>
      <c r="P867" s="4">
        <v>3380000</v>
      </c>
      <c r="Q867" s="4">
        <v>3450000</v>
      </c>
      <c r="R867" s="4">
        <v>3380000</v>
      </c>
      <c r="S867" s="4">
        <v>3450000</v>
      </c>
      <c r="T867" s="4">
        <v>3380000</v>
      </c>
      <c r="U867" s="4">
        <v>3450000</v>
      </c>
      <c r="V867" s="4">
        <v>3380000</v>
      </c>
      <c r="W867" s="4">
        <v>3450000</v>
      </c>
      <c r="X867" s="4">
        <v>3380000</v>
      </c>
      <c r="Y867" s="4">
        <v>3450000</v>
      </c>
    </row>
    <row r="868" spans="1:25" ht="19.5" customHeight="1" x14ac:dyDescent="0.25">
      <c r="A868" s="2" t="s">
        <v>2176</v>
      </c>
      <c r="B868" s="2" t="s">
        <v>16</v>
      </c>
      <c r="C868" s="2" t="s">
        <v>2221</v>
      </c>
      <c r="D868" s="2" t="s">
        <v>2222</v>
      </c>
      <c r="E868" s="2" t="s">
        <v>2223</v>
      </c>
      <c r="F868" s="3">
        <v>4302074.72</v>
      </c>
      <c r="G868" s="3">
        <v>4598000</v>
      </c>
      <c r="H868" s="3">
        <v>4598000</v>
      </c>
      <c r="I868" s="3">
        <v>4598000</v>
      </c>
      <c r="J868" s="3">
        <v>4598000</v>
      </c>
      <c r="K868" s="3">
        <v>4598000</v>
      </c>
      <c r="L868" s="4">
        <v>4598000</v>
      </c>
      <c r="M868" s="4">
        <v>4598000</v>
      </c>
      <c r="N868" s="4">
        <v>4598000</v>
      </c>
      <c r="O868" s="4">
        <v>4598000</v>
      </c>
      <c r="P868" s="4">
        <v>4598000</v>
      </c>
      <c r="Q868" s="4">
        <v>4598000</v>
      </c>
      <c r="R868" s="4">
        <v>4598000</v>
      </c>
      <c r="S868" s="4">
        <v>4598000</v>
      </c>
      <c r="T868" s="4">
        <v>4598000</v>
      </c>
      <c r="U868" s="4">
        <v>4598000</v>
      </c>
      <c r="V868" s="4">
        <v>4598000</v>
      </c>
      <c r="W868" s="4">
        <v>4598000</v>
      </c>
      <c r="X868" s="4">
        <v>4598000</v>
      </c>
      <c r="Y868" s="4">
        <v>4598000</v>
      </c>
    </row>
    <row r="869" spans="1:25" ht="19.5" customHeight="1" x14ac:dyDescent="0.25">
      <c r="A869" s="2" t="s">
        <v>2176</v>
      </c>
      <c r="B869" s="2" t="s">
        <v>16</v>
      </c>
      <c r="C869" s="2" t="s">
        <v>2224</v>
      </c>
      <c r="D869" s="2" t="s">
        <v>2225</v>
      </c>
      <c r="E869" s="2" t="s">
        <v>2226</v>
      </c>
      <c r="F869" s="3">
        <v>222930.61</v>
      </c>
      <c r="G869" s="3">
        <v>779400</v>
      </c>
      <c r="H869" s="3">
        <v>771192</v>
      </c>
      <c r="I869" s="3">
        <v>771192</v>
      </c>
      <c r="J869" s="3">
        <v>771192</v>
      </c>
      <c r="K869" s="3">
        <v>771192</v>
      </c>
      <c r="L869" s="4">
        <v>771192</v>
      </c>
      <c r="M869" s="4">
        <v>771192</v>
      </c>
      <c r="N869" s="4">
        <v>771192</v>
      </c>
      <c r="O869" s="4">
        <v>771192</v>
      </c>
      <c r="P869" s="4">
        <v>771192</v>
      </c>
      <c r="Q869" s="4">
        <v>771192</v>
      </c>
      <c r="R869" s="4">
        <v>771192</v>
      </c>
      <c r="S869" s="4">
        <v>771192</v>
      </c>
      <c r="T869" s="4">
        <v>771192</v>
      </c>
      <c r="U869" s="4">
        <v>771192</v>
      </c>
      <c r="V869" s="4">
        <v>771192</v>
      </c>
      <c r="W869" s="4">
        <v>771192</v>
      </c>
      <c r="X869" s="4">
        <v>771192</v>
      </c>
      <c r="Y869" s="4">
        <v>771192</v>
      </c>
    </row>
    <row r="870" spans="1:25" ht="19.5" customHeight="1" x14ac:dyDescent="0.25">
      <c r="A870" s="2" t="s">
        <v>2176</v>
      </c>
      <c r="B870" s="2" t="s">
        <v>16</v>
      </c>
      <c r="C870" s="2" t="s">
        <v>2227</v>
      </c>
      <c r="D870" s="2" t="s">
        <v>2228</v>
      </c>
      <c r="E870" s="2" t="s">
        <v>2229</v>
      </c>
      <c r="F870" s="3">
        <v>186071.93</v>
      </c>
      <c r="G870" s="4">
        <v>208000</v>
      </c>
      <c r="H870" s="4">
        <v>210000</v>
      </c>
      <c r="I870" s="4">
        <v>210000</v>
      </c>
      <c r="J870" s="4">
        <v>210000</v>
      </c>
      <c r="K870" s="4">
        <v>210000</v>
      </c>
      <c r="L870" s="4">
        <v>210000</v>
      </c>
      <c r="M870" s="4">
        <v>210000</v>
      </c>
      <c r="N870" s="4">
        <v>210000</v>
      </c>
      <c r="O870" s="4">
        <v>210000</v>
      </c>
      <c r="P870" s="4">
        <v>210000</v>
      </c>
      <c r="Q870" s="4">
        <v>210000</v>
      </c>
      <c r="R870" s="4">
        <v>210000</v>
      </c>
      <c r="S870" s="4">
        <v>210000</v>
      </c>
      <c r="T870" s="4">
        <v>210000</v>
      </c>
      <c r="U870" s="4">
        <v>210000</v>
      </c>
      <c r="V870" s="4">
        <v>210000</v>
      </c>
      <c r="W870" s="4">
        <v>210000</v>
      </c>
      <c r="X870" s="4">
        <v>210000</v>
      </c>
      <c r="Y870" s="4">
        <v>210000</v>
      </c>
    </row>
    <row r="871" spans="1:25" ht="19.5" customHeight="1" x14ac:dyDescent="0.25">
      <c r="A871" s="2" t="s">
        <v>2176</v>
      </c>
      <c r="B871" s="2" t="s">
        <v>16</v>
      </c>
      <c r="C871" s="2" t="s">
        <v>2230</v>
      </c>
      <c r="D871" s="2" t="s">
        <v>2231</v>
      </c>
      <c r="E871" s="2" t="s">
        <v>2232</v>
      </c>
      <c r="F871" s="3">
        <v>488668</v>
      </c>
      <c r="G871" s="3">
        <v>1000000</v>
      </c>
      <c r="H871" s="3">
        <v>1000000</v>
      </c>
      <c r="I871" s="3">
        <v>1000000</v>
      </c>
      <c r="J871" s="3">
        <v>1000000</v>
      </c>
      <c r="K871" s="3">
        <v>1000000</v>
      </c>
      <c r="L871" s="4">
        <v>1000000</v>
      </c>
      <c r="M871" s="4">
        <v>1000000</v>
      </c>
      <c r="N871" s="4">
        <v>1000000</v>
      </c>
      <c r="O871" s="4">
        <v>1000000</v>
      </c>
      <c r="P871" s="4">
        <v>1000000</v>
      </c>
      <c r="Q871" s="4">
        <v>1000000</v>
      </c>
      <c r="R871" s="4">
        <v>1000000</v>
      </c>
      <c r="S871" s="4">
        <v>1000000</v>
      </c>
      <c r="T871" s="4">
        <v>1000000</v>
      </c>
      <c r="U871" s="4">
        <v>1000000</v>
      </c>
      <c r="V871" s="4">
        <v>1000000</v>
      </c>
      <c r="W871" s="4">
        <v>1000000</v>
      </c>
      <c r="X871" s="4">
        <v>1000000</v>
      </c>
      <c r="Y871" s="4">
        <v>1000000</v>
      </c>
    </row>
    <row r="872" spans="1:25" ht="19.5" customHeight="1" x14ac:dyDescent="0.25">
      <c r="A872" s="2" t="s">
        <v>2176</v>
      </c>
      <c r="B872" s="2" t="s">
        <v>16</v>
      </c>
      <c r="C872" s="2" t="s">
        <v>2233</v>
      </c>
      <c r="D872" s="2" t="s">
        <v>2234</v>
      </c>
      <c r="E872" s="2" t="s">
        <v>2235</v>
      </c>
      <c r="F872" s="3">
        <v>1999999</v>
      </c>
      <c r="G872" s="3">
        <v>2000000</v>
      </c>
      <c r="H872" s="3">
        <v>2100000</v>
      </c>
      <c r="I872" s="3">
        <v>2100000</v>
      </c>
      <c r="J872" s="3">
        <v>2100000</v>
      </c>
      <c r="K872" s="3">
        <v>2100000</v>
      </c>
      <c r="L872" s="4">
        <v>2100000</v>
      </c>
      <c r="M872" s="4">
        <v>2100000</v>
      </c>
      <c r="N872" s="4">
        <v>2100000</v>
      </c>
      <c r="O872" s="4">
        <v>2100000</v>
      </c>
      <c r="P872" s="4">
        <v>2100000</v>
      </c>
      <c r="Q872" s="4">
        <v>2100000</v>
      </c>
      <c r="R872" s="4">
        <v>2100000</v>
      </c>
      <c r="S872" s="4">
        <v>2100000</v>
      </c>
      <c r="T872" s="4">
        <v>2100000</v>
      </c>
      <c r="U872" s="4">
        <v>2100000</v>
      </c>
      <c r="V872" s="4">
        <v>2100000</v>
      </c>
      <c r="W872" s="4">
        <v>2100000</v>
      </c>
      <c r="X872" s="4">
        <v>2100000</v>
      </c>
      <c r="Y872" s="4">
        <v>2100000</v>
      </c>
    </row>
    <row r="873" spans="1:25" ht="19.5" customHeight="1" x14ac:dyDescent="0.25">
      <c r="A873" s="2" t="s">
        <v>2176</v>
      </c>
      <c r="B873" s="2" t="s">
        <v>16</v>
      </c>
      <c r="C873" s="2" t="s">
        <v>2233</v>
      </c>
      <c r="D873" s="2" t="s">
        <v>2236</v>
      </c>
      <c r="E873" s="2" t="s">
        <v>2237</v>
      </c>
      <c r="F873" s="3">
        <v>6421396.8200000003</v>
      </c>
      <c r="G873" s="3">
        <v>6292000</v>
      </c>
      <c r="H873" s="3">
        <v>6606600</v>
      </c>
      <c r="I873" s="3">
        <v>6606600</v>
      </c>
      <c r="J873" s="3">
        <v>6606600</v>
      </c>
      <c r="K873" s="3">
        <v>6606600</v>
      </c>
      <c r="L873" s="4">
        <v>6606600</v>
      </c>
      <c r="M873" s="4">
        <v>6606600</v>
      </c>
      <c r="N873" s="4">
        <v>6606600</v>
      </c>
      <c r="O873" s="4">
        <v>6606600</v>
      </c>
      <c r="P873" s="4">
        <v>6606600</v>
      </c>
      <c r="Q873" s="4">
        <v>6606600</v>
      </c>
      <c r="R873" s="4">
        <v>6606600</v>
      </c>
      <c r="S873" s="4">
        <v>6606600</v>
      </c>
      <c r="T873" s="4">
        <v>6606600</v>
      </c>
      <c r="U873" s="4">
        <v>6606600</v>
      </c>
      <c r="V873" s="4">
        <v>6606600</v>
      </c>
      <c r="W873" s="4">
        <v>6606600</v>
      </c>
      <c r="X873" s="4">
        <v>6606600</v>
      </c>
      <c r="Y873" s="4">
        <v>6606600</v>
      </c>
    </row>
    <row r="874" spans="1:25" ht="19.5" customHeight="1" x14ac:dyDescent="0.25">
      <c r="A874" s="2" t="s">
        <v>2176</v>
      </c>
      <c r="B874" s="2" t="s">
        <v>16</v>
      </c>
      <c r="C874" s="2" t="s">
        <v>2233</v>
      </c>
      <c r="D874" s="2" t="s">
        <v>2238</v>
      </c>
      <c r="E874" s="2" t="s">
        <v>2239</v>
      </c>
      <c r="F874" s="3">
        <v>8229830.71</v>
      </c>
      <c r="G874" s="3">
        <v>8236000</v>
      </c>
      <c r="H874" s="3">
        <v>8647800</v>
      </c>
      <c r="I874" s="3">
        <v>8647800</v>
      </c>
      <c r="J874" s="3">
        <v>8647800</v>
      </c>
      <c r="K874" s="3">
        <v>8647800</v>
      </c>
      <c r="L874" s="4">
        <v>8647800</v>
      </c>
      <c r="M874" s="4">
        <v>8647800</v>
      </c>
      <c r="N874" s="4">
        <v>8647800</v>
      </c>
      <c r="O874" s="4">
        <v>8647800</v>
      </c>
      <c r="P874" s="4">
        <v>8647800</v>
      </c>
      <c r="Q874" s="4">
        <v>8647800</v>
      </c>
      <c r="R874" s="4">
        <v>8647800</v>
      </c>
      <c r="S874" s="4">
        <v>8647800</v>
      </c>
      <c r="T874" s="4">
        <v>8647800</v>
      </c>
      <c r="U874" s="4">
        <v>8647800</v>
      </c>
      <c r="V874" s="4">
        <v>8647800</v>
      </c>
      <c r="W874" s="4">
        <v>8647800</v>
      </c>
      <c r="X874" s="4">
        <v>8647800</v>
      </c>
      <c r="Y874" s="4">
        <v>8647800</v>
      </c>
    </row>
    <row r="875" spans="1:25" ht="19.5" customHeight="1" x14ac:dyDescent="0.25">
      <c r="A875" s="2" t="s">
        <v>2176</v>
      </c>
      <c r="B875" s="2" t="s">
        <v>16</v>
      </c>
      <c r="C875" s="2" t="s">
        <v>2233</v>
      </c>
      <c r="D875" s="2" t="s">
        <v>2240</v>
      </c>
      <c r="E875" s="2" t="s">
        <v>2241</v>
      </c>
      <c r="F875" s="3">
        <v>3041292</v>
      </c>
      <c r="G875" s="3">
        <v>3840300</v>
      </c>
      <c r="H875" s="3">
        <v>3769815</v>
      </c>
      <c r="I875" s="3">
        <v>3769815</v>
      </c>
      <c r="J875" s="3">
        <v>3769815</v>
      </c>
      <c r="K875" s="3">
        <v>3769815</v>
      </c>
      <c r="L875" s="4">
        <v>3769815</v>
      </c>
      <c r="M875" s="4">
        <v>3769815</v>
      </c>
      <c r="N875" s="4">
        <v>3769815</v>
      </c>
      <c r="O875" s="4">
        <v>3769815</v>
      </c>
      <c r="P875" s="4">
        <v>3769815</v>
      </c>
      <c r="Q875" s="4">
        <v>3769815</v>
      </c>
      <c r="R875" s="4">
        <v>3769815</v>
      </c>
      <c r="S875" s="4">
        <v>3769815</v>
      </c>
      <c r="T875" s="4">
        <v>3769815</v>
      </c>
      <c r="U875" s="4">
        <v>3769815</v>
      </c>
      <c r="V875" s="4">
        <v>3769815</v>
      </c>
      <c r="W875" s="4">
        <v>3769815</v>
      </c>
      <c r="X875" s="4">
        <v>3769815</v>
      </c>
      <c r="Y875" s="4">
        <v>3769815</v>
      </c>
    </row>
    <row r="876" spans="1:25" ht="19.5" customHeight="1" x14ac:dyDescent="0.25">
      <c r="A876" s="2" t="s">
        <v>2176</v>
      </c>
      <c r="B876" s="2" t="s">
        <v>16</v>
      </c>
      <c r="C876" s="2" t="s">
        <v>2233</v>
      </c>
      <c r="D876" s="2" t="s">
        <v>2242</v>
      </c>
      <c r="E876" s="2" t="s">
        <v>2243</v>
      </c>
      <c r="F876" s="3">
        <v>1634228.8</v>
      </c>
      <c r="G876" s="4">
        <v>1833000</v>
      </c>
      <c r="H876" s="4">
        <v>1968750</v>
      </c>
      <c r="I876" s="4">
        <v>1968750</v>
      </c>
      <c r="J876" s="4">
        <v>1968750</v>
      </c>
      <c r="K876" s="4">
        <v>1968750</v>
      </c>
      <c r="L876" s="4">
        <v>1968750</v>
      </c>
      <c r="M876" s="4">
        <v>1968750</v>
      </c>
      <c r="N876" s="4">
        <v>1968750</v>
      </c>
      <c r="O876" s="4">
        <v>1968750</v>
      </c>
      <c r="P876" s="4">
        <v>1968750</v>
      </c>
      <c r="Q876" s="4">
        <v>1968750</v>
      </c>
      <c r="R876" s="4">
        <v>1968750</v>
      </c>
      <c r="S876" s="4">
        <v>1968750</v>
      </c>
      <c r="T876" s="4">
        <v>1968750</v>
      </c>
      <c r="U876" s="4">
        <v>1968750</v>
      </c>
      <c r="V876" s="4">
        <v>1968750</v>
      </c>
      <c r="W876" s="4">
        <v>1968750</v>
      </c>
      <c r="X876" s="4">
        <v>1968750</v>
      </c>
      <c r="Y876" s="4">
        <v>1968750</v>
      </c>
    </row>
    <row r="877" spans="1:25" ht="19.5" customHeight="1" x14ac:dyDescent="0.25">
      <c r="A877" s="2" t="s">
        <v>2176</v>
      </c>
      <c r="B877" s="2" t="s">
        <v>16</v>
      </c>
      <c r="C877" s="2" t="s">
        <v>2233</v>
      </c>
      <c r="D877" s="2" t="s">
        <v>2244</v>
      </c>
      <c r="E877" s="2" t="s">
        <v>2245</v>
      </c>
      <c r="F877" s="3">
        <v>3183720.47</v>
      </c>
      <c r="G877" s="3">
        <v>3329000</v>
      </c>
      <c r="H877" s="3">
        <v>3495450</v>
      </c>
      <c r="I877" s="3">
        <v>3495450</v>
      </c>
      <c r="J877" s="3">
        <v>3495450</v>
      </c>
      <c r="K877" s="3">
        <v>3495450</v>
      </c>
      <c r="L877" s="4">
        <v>3495450</v>
      </c>
      <c r="M877" s="4">
        <v>3495450</v>
      </c>
      <c r="N877" s="4">
        <v>3495450</v>
      </c>
      <c r="O877" s="4">
        <v>3495450</v>
      </c>
      <c r="P877" s="4">
        <v>3495450</v>
      </c>
      <c r="Q877" s="4">
        <v>3495450</v>
      </c>
      <c r="R877" s="4">
        <v>3495450</v>
      </c>
      <c r="S877" s="4">
        <v>3495450</v>
      </c>
      <c r="T877" s="4">
        <v>3495450</v>
      </c>
      <c r="U877" s="4">
        <v>3495450</v>
      </c>
      <c r="V877" s="4">
        <v>3495450</v>
      </c>
      <c r="W877" s="4">
        <v>3495450</v>
      </c>
      <c r="X877" s="4">
        <v>3495450</v>
      </c>
      <c r="Y877" s="4">
        <v>3495450</v>
      </c>
    </row>
    <row r="878" spans="1:25" ht="19.5" customHeight="1" x14ac:dyDescent="0.25">
      <c r="A878" s="2" t="s">
        <v>2176</v>
      </c>
      <c r="B878" s="2" t="s">
        <v>16</v>
      </c>
      <c r="C878" s="2" t="s">
        <v>2233</v>
      </c>
      <c r="D878" s="2" t="s">
        <v>2246</v>
      </c>
      <c r="E878" s="2" t="s">
        <v>2247</v>
      </c>
      <c r="F878" s="3">
        <v>1072849.0900000001</v>
      </c>
      <c r="G878" s="3">
        <v>1120000</v>
      </c>
      <c r="H878" s="3">
        <v>1176000</v>
      </c>
      <c r="I878" s="3">
        <v>1176000</v>
      </c>
      <c r="J878" s="3">
        <v>1176000</v>
      </c>
      <c r="K878" s="3">
        <v>1176000</v>
      </c>
      <c r="L878" s="4">
        <v>1176000</v>
      </c>
      <c r="M878" s="4">
        <v>1176000</v>
      </c>
      <c r="N878" s="4">
        <v>1176000</v>
      </c>
      <c r="O878" s="4">
        <v>1176000</v>
      </c>
      <c r="P878" s="4">
        <v>1176000</v>
      </c>
      <c r="Q878" s="4">
        <v>1176000</v>
      </c>
      <c r="R878" s="4">
        <v>1176000</v>
      </c>
      <c r="S878" s="4">
        <v>1176000</v>
      </c>
      <c r="T878" s="4">
        <v>1176000</v>
      </c>
      <c r="U878" s="4">
        <v>1176000</v>
      </c>
      <c r="V878" s="4">
        <v>1176000</v>
      </c>
      <c r="W878" s="4">
        <v>1176000</v>
      </c>
      <c r="X878" s="4">
        <v>1176000</v>
      </c>
      <c r="Y878" s="4">
        <v>1176000</v>
      </c>
    </row>
    <row r="879" spans="1:25" ht="19.5" customHeight="1" x14ac:dyDescent="0.25">
      <c r="A879" s="2" t="s">
        <v>2176</v>
      </c>
      <c r="B879" s="2" t="s">
        <v>16</v>
      </c>
      <c r="C879" s="2" t="s">
        <v>2233</v>
      </c>
      <c r="D879" s="2" t="s">
        <v>2248</v>
      </c>
      <c r="E879" s="2" t="s">
        <v>2249</v>
      </c>
      <c r="F879" s="3">
        <v>410303.63</v>
      </c>
      <c r="G879" s="3">
        <v>450000</v>
      </c>
      <c r="H879" s="3">
        <v>450000</v>
      </c>
      <c r="I879" s="3">
        <v>450000</v>
      </c>
      <c r="J879" s="3">
        <v>450000</v>
      </c>
      <c r="K879" s="3">
        <v>450000</v>
      </c>
      <c r="L879" s="4">
        <v>450000</v>
      </c>
      <c r="M879" s="4">
        <v>450000</v>
      </c>
      <c r="N879" s="4">
        <v>450000</v>
      </c>
      <c r="O879" s="4">
        <v>450000</v>
      </c>
      <c r="P879" s="4">
        <v>450000</v>
      </c>
      <c r="Q879" s="4">
        <v>450000</v>
      </c>
      <c r="R879" s="4">
        <v>450000</v>
      </c>
      <c r="S879" s="4">
        <v>450000</v>
      </c>
      <c r="T879" s="4">
        <v>450000</v>
      </c>
      <c r="U879" s="4">
        <v>450000</v>
      </c>
      <c r="V879" s="4">
        <v>450000</v>
      </c>
      <c r="W879" s="4">
        <v>450000</v>
      </c>
      <c r="X879" s="4">
        <v>450000</v>
      </c>
      <c r="Y879" s="4">
        <v>450000</v>
      </c>
    </row>
    <row r="880" spans="1:25" ht="19.5" customHeight="1" x14ac:dyDescent="0.25">
      <c r="A880" s="2" t="s">
        <v>2176</v>
      </c>
      <c r="B880" s="2" t="s">
        <v>16</v>
      </c>
      <c r="C880" s="2" t="s">
        <v>2233</v>
      </c>
      <c r="D880" s="2" t="s">
        <v>2250</v>
      </c>
      <c r="E880" s="2" t="s">
        <v>2251</v>
      </c>
      <c r="F880" s="3">
        <v>14848225.439999999</v>
      </c>
      <c r="G880" s="3">
        <v>15165000</v>
      </c>
      <c r="H880" s="3">
        <v>16213250</v>
      </c>
      <c r="I880" s="3">
        <v>15923250</v>
      </c>
      <c r="J880" s="3">
        <v>16213250</v>
      </c>
      <c r="K880" s="3">
        <v>15923250</v>
      </c>
      <c r="L880" s="4">
        <v>16213250</v>
      </c>
      <c r="M880" s="4">
        <v>15923250</v>
      </c>
      <c r="N880" s="4">
        <v>16213250</v>
      </c>
      <c r="O880" s="4">
        <v>15923250</v>
      </c>
      <c r="P880" s="4">
        <v>16213250</v>
      </c>
      <c r="Q880" s="4">
        <v>15923250</v>
      </c>
      <c r="R880" s="4">
        <v>16213250</v>
      </c>
      <c r="S880" s="4">
        <v>15923250</v>
      </c>
      <c r="T880" s="4">
        <v>16213250</v>
      </c>
      <c r="U880" s="4">
        <v>15923250</v>
      </c>
      <c r="V880" s="4">
        <v>16213250</v>
      </c>
      <c r="W880" s="4">
        <v>15923250</v>
      </c>
      <c r="X880" s="4">
        <v>16213250</v>
      </c>
      <c r="Y880" s="4">
        <v>15923250</v>
      </c>
    </row>
    <row r="881" spans="1:25" ht="19.5" customHeight="1" x14ac:dyDescent="0.25">
      <c r="A881" s="2" t="s">
        <v>2176</v>
      </c>
      <c r="B881" s="2" t="s">
        <v>16</v>
      </c>
      <c r="C881" s="2" t="s">
        <v>2233</v>
      </c>
      <c r="D881" s="2" t="s">
        <v>2252</v>
      </c>
      <c r="E881" s="2" t="s">
        <v>2253</v>
      </c>
      <c r="F881" s="3">
        <v>67118.2</v>
      </c>
      <c r="G881" s="3">
        <v>115000</v>
      </c>
      <c r="H881" s="3">
        <v>788000</v>
      </c>
      <c r="I881" s="3">
        <v>793000</v>
      </c>
      <c r="J881" s="3">
        <v>788000</v>
      </c>
      <c r="K881" s="3">
        <v>793000</v>
      </c>
      <c r="L881" s="4">
        <v>788000</v>
      </c>
      <c r="M881" s="4">
        <v>793000</v>
      </c>
      <c r="N881" s="4">
        <v>788000</v>
      </c>
      <c r="O881" s="4">
        <v>793000</v>
      </c>
      <c r="P881" s="4">
        <v>788000</v>
      </c>
      <c r="Q881" s="4">
        <v>793000</v>
      </c>
      <c r="R881" s="4">
        <v>788000</v>
      </c>
      <c r="S881" s="4">
        <v>793000</v>
      </c>
      <c r="T881" s="4">
        <v>788000</v>
      </c>
      <c r="U881" s="4">
        <v>793000</v>
      </c>
      <c r="V881" s="4">
        <v>788000</v>
      </c>
      <c r="W881" s="4">
        <v>793000</v>
      </c>
      <c r="X881" s="4">
        <v>788000</v>
      </c>
      <c r="Y881" s="4">
        <v>793000</v>
      </c>
    </row>
    <row r="882" spans="1:25" ht="19.5" customHeight="1" x14ac:dyDescent="0.25">
      <c r="A882" s="2" t="s">
        <v>2176</v>
      </c>
      <c r="B882" s="2" t="s">
        <v>16</v>
      </c>
      <c r="C882" s="2" t="s">
        <v>2254</v>
      </c>
      <c r="D882" s="2" t="s">
        <v>2255</v>
      </c>
      <c r="E882" s="2" t="s">
        <v>2256</v>
      </c>
      <c r="F882" s="3">
        <v>61865.79</v>
      </c>
      <c r="G882" s="3">
        <v>225000</v>
      </c>
      <c r="H882" s="3">
        <v>225000</v>
      </c>
      <c r="I882" s="3">
        <v>225000</v>
      </c>
      <c r="J882" s="3">
        <v>225000</v>
      </c>
      <c r="K882" s="3">
        <v>225000</v>
      </c>
      <c r="L882" s="4">
        <v>225000</v>
      </c>
      <c r="M882" s="4">
        <v>225000</v>
      </c>
      <c r="N882" s="4">
        <v>225000</v>
      </c>
      <c r="O882" s="4">
        <v>225000</v>
      </c>
      <c r="P882" s="4">
        <v>225000</v>
      </c>
      <c r="Q882" s="4">
        <v>225000</v>
      </c>
      <c r="R882" s="4">
        <v>225000</v>
      </c>
      <c r="S882" s="4">
        <v>225000</v>
      </c>
      <c r="T882" s="4">
        <v>225000</v>
      </c>
      <c r="U882" s="4">
        <v>225000</v>
      </c>
      <c r="V882" s="4">
        <v>225000</v>
      </c>
      <c r="W882" s="4">
        <v>225000</v>
      </c>
      <c r="X882" s="4">
        <v>225000</v>
      </c>
      <c r="Y882" s="4">
        <v>225000</v>
      </c>
    </row>
    <row r="883" spans="1:25" ht="19.5" customHeight="1" x14ac:dyDescent="0.25">
      <c r="A883" s="2" t="s">
        <v>2176</v>
      </c>
      <c r="B883" s="2" t="s">
        <v>16</v>
      </c>
      <c r="C883" s="2" t="s">
        <v>2257</v>
      </c>
      <c r="D883" s="2" t="s">
        <v>2258</v>
      </c>
      <c r="E883" s="2" t="s">
        <v>2259</v>
      </c>
      <c r="F883" s="3">
        <v>76437.210000000006</v>
      </c>
      <c r="G883" s="3">
        <v>0</v>
      </c>
      <c r="H883" s="3">
        <v>1470826</v>
      </c>
      <c r="I883" s="3">
        <v>1494826</v>
      </c>
      <c r="J883" s="3">
        <v>1470826</v>
      </c>
      <c r="K883" s="3">
        <v>1494826</v>
      </c>
      <c r="L883" s="4">
        <v>1470826</v>
      </c>
      <c r="M883" s="4">
        <v>1494826</v>
      </c>
      <c r="N883" s="4">
        <v>1470826</v>
      </c>
      <c r="O883" s="4">
        <v>1494826</v>
      </c>
      <c r="P883" s="4">
        <v>2670826</v>
      </c>
      <c r="Q883" s="4">
        <v>2694826</v>
      </c>
      <c r="R883" s="4">
        <v>2670826</v>
      </c>
      <c r="S883" s="4">
        <v>2694826</v>
      </c>
      <c r="T883" s="4">
        <v>2670826</v>
      </c>
      <c r="U883" s="4">
        <v>2694826</v>
      </c>
      <c r="V883" s="4">
        <v>2670826</v>
      </c>
      <c r="W883" s="4">
        <v>2694826</v>
      </c>
      <c r="X883" s="4">
        <v>2670826</v>
      </c>
      <c r="Y883" s="4">
        <v>2694826</v>
      </c>
    </row>
    <row r="884" spans="1:25" ht="19.5" customHeight="1" x14ac:dyDescent="0.25">
      <c r="A884" s="2" t="s">
        <v>2176</v>
      </c>
      <c r="B884" s="2" t="s">
        <v>16</v>
      </c>
      <c r="C884" s="2" t="s">
        <v>35</v>
      </c>
      <c r="D884" s="2" t="s">
        <v>2260</v>
      </c>
      <c r="E884" s="2" t="s">
        <v>2261</v>
      </c>
      <c r="F884" s="3">
        <v>0</v>
      </c>
      <c r="G884" s="3">
        <v>2000000</v>
      </c>
      <c r="H884" s="3">
        <v>0</v>
      </c>
      <c r="I884" s="3">
        <v>0</v>
      </c>
      <c r="J884" s="3">
        <v>0</v>
      </c>
      <c r="K884" s="3">
        <v>0</v>
      </c>
      <c r="L884" s="4">
        <v>0</v>
      </c>
      <c r="M884" s="4">
        <v>0</v>
      </c>
      <c r="N884" s="4">
        <v>0</v>
      </c>
      <c r="O884" s="4">
        <v>0</v>
      </c>
      <c r="P884" s="4">
        <v>0</v>
      </c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</row>
    <row r="885" spans="1:25" ht="19.5" customHeight="1" x14ac:dyDescent="0.25">
      <c r="A885" s="2" t="s">
        <v>2176</v>
      </c>
      <c r="B885" s="2" t="s">
        <v>16</v>
      </c>
      <c r="C885" s="2" t="s">
        <v>2262</v>
      </c>
      <c r="D885" s="2" t="s">
        <v>2263</v>
      </c>
      <c r="E885" s="2" t="s">
        <v>2264</v>
      </c>
      <c r="F885" s="3">
        <v>244084.89</v>
      </c>
      <c r="G885" s="3">
        <v>332000</v>
      </c>
      <c r="H885" s="3">
        <v>332000</v>
      </c>
      <c r="I885" s="3">
        <v>332000</v>
      </c>
      <c r="J885" s="3">
        <v>332000</v>
      </c>
      <c r="K885" s="3">
        <v>332000</v>
      </c>
      <c r="L885" s="4">
        <v>332000</v>
      </c>
      <c r="M885" s="4">
        <v>332000</v>
      </c>
      <c r="N885" s="4">
        <v>332000</v>
      </c>
      <c r="O885" s="4">
        <v>332000</v>
      </c>
      <c r="P885" s="4">
        <v>332000</v>
      </c>
      <c r="Q885" s="4">
        <v>332000</v>
      </c>
      <c r="R885" s="4">
        <v>332000</v>
      </c>
      <c r="S885" s="4">
        <v>332000</v>
      </c>
      <c r="T885" s="4">
        <v>332000</v>
      </c>
      <c r="U885" s="4">
        <v>332000</v>
      </c>
      <c r="V885" s="4">
        <v>332000</v>
      </c>
      <c r="W885" s="4">
        <v>332000</v>
      </c>
      <c r="X885" s="4">
        <v>332000</v>
      </c>
      <c r="Y885" s="4">
        <v>332000</v>
      </c>
    </row>
    <row r="886" spans="1:25" ht="19.5" customHeight="1" x14ac:dyDescent="0.25">
      <c r="A886" s="2" t="s">
        <v>2176</v>
      </c>
      <c r="B886" s="2" t="s">
        <v>16</v>
      </c>
      <c r="C886" s="2" t="s">
        <v>2265</v>
      </c>
      <c r="D886" s="2" t="s">
        <v>2266</v>
      </c>
      <c r="E886" s="2" t="s">
        <v>2267</v>
      </c>
      <c r="F886" s="4">
        <v>1402019.74</v>
      </c>
      <c r="G886" s="3">
        <v>3157250</v>
      </c>
      <c r="H886" s="3">
        <v>2081245</v>
      </c>
      <c r="I886" s="3">
        <v>2088650</v>
      </c>
      <c r="J886" s="3">
        <v>2081245</v>
      </c>
      <c r="K886" s="3">
        <v>2088650</v>
      </c>
      <c r="L886" s="4">
        <v>2081245</v>
      </c>
      <c r="M886" s="4">
        <v>2088650</v>
      </c>
      <c r="N886" s="4">
        <v>2081245</v>
      </c>
      <c r="O886" s="4">
        <v>2088650</v>
      </c>
      <c r="P886" s="4">
        <v>2081245</v>
      </c>
      <c r="Q886" s="4">
        <v>2088650</v>
      </c>
      <c r="R886" s="4">
        <v>2081245</v>
      </c>
      <c r="S886" s="4">
        <v>2088650</v>
      </c>
      <c r="T886" s="4">
        <v>2081245</v>
      </c>
      <c r="U886" s="4">
        <v>2088650</v>
      </c>
      <c r="V886" s="4">
        <v>2081245</v>
      </c>
      <c r="W886" s="4">
        <v>2088650</v>
      </c>
      <c r="X886" s="4">
        <v>2081245</v>
      </c>
      <c r="Y886" s="4">
        <v>2088650</v>
      </c>
    </row>
    <row r="887" spans="1:25" ht="19.5" customHeight="1" x14ac:dyDescent="0.25">
      <c r="A887" s="2" t="s">
        <v>2176</v>
      </c>
      <c r="B887" s="2" t="s">
        <v>16</v>
      </c>
      <c r="C887" s="2" t="s">
        <v>2268</v>
      </c>
      <c r="D887" s="2" t="s">
        <v>2269</v>
      </c>
      <c r="E887" s="2" t="s">
        <v>2270</v>
      </c>
      <c r="F887" s="3">
        <v>2415</v>
      </c>
      <c r="G887" s="3">
        <v>1000000</v>
      </c>
      <c r="H887" s="3">
        <v>750000</v>
      </c>
      <c r="I887" s="3">
        <v>750000</v>
      </c>
      <c r="J887" s="3">
        <v>750000</v>
      </c>
      <c r="K887" s="3">
        <v>750000</v>
      </c>
      <c r="L887" s="4">
        <v>750000</v>
      </c>
      <c r="M887" s="4">
        <v>750000</v>
      </c>
      <c r="N887" s="4">
        <v>750000</v>
      </c>
      <c r="O887" s="4">
        <v>750000</v>
      </c>
      <c r="P887" s="4">
        <v>750000</v>
      </c>
      <c r="Q887" s="4">
        <v>750000</v>
      </c>
      <c r="R887" s="4">
        <v>750000</v>
      </c>
      <c r="S887" s="4">
        <v>750000</v>
      </c>
      <c r="T887" s="4">
        <v>750000</v>
      </c>
      <c r="U887" s="4">
        <v>750000</v>
      </c>
      <c r="V887" s="4">
        <v>750000</v>
      </c>
      <c r="W887" s="4">
        <v>750000</v>
      </c>
      <c r="X887" s="4">
        <v>750000</v>
      </c>
      <c r="Y887" s="4">
        <v>750000</v>
      </c>
    </row>
    <row r="888" spans="1:25" ht="19.5" customHeight="1" x14ac:dyDescent="0.25">
      <c r="A888" s="2" t="s">
        <v>2176</v>
      </c>
      <c r="B888" s="2" t="s">
        <v>16</v>
      </c>
      <c r="C888" s="2" t="s">
        <v>2271</v>
      </c>
      <c r="D888" s="2" t="s">
        <v>2272</v>
      </c>
      <c r="E888" s="2" t="s">
        <v>2273</v>
      </c>
      <c r="F888" s="3">
        <v>333179.19</v>
      </c>
      <c r="G888" s="3">
        <v>500000</v>
      </c>
      <c r="H888" s="3">
        <v>500000</v>
      </c>
      <c r="I888" s="3">
        <v>500000</v>
      </c>
      <c r="J888" s="3">
        <v>500000</v>
      </c>
      <c r="K888" s="3">
        <v>500000</v>
      </c>
      <c r="L888" s="4">
        <v>500000</v>
      </c>
      <c r="M888" s="4">
        <v>500000</v>
      </c>
      <c r="N888" s="4">
        <v>500000</v>
      </c>
      <c r="O888" s="4">
        <v>500000</v>
      </c>
      <c r="P888" s="4">
        <v>500000</v>
      </c>
      <c r="Q888" s="4">
        <v>500000</v>
      </c>
      <c r="R888" s="4">
        <v>500000</v>
      </c>
      <c r="S888" s="4">
        <v>500000</v>
      </c>
      <c r="T888" s="4">
        <v>500000</v>
      </c>
      <c r="U888" s="4">
        <v>500000</v>
      </c>
      <c r="V888" s="4">
        <v>500000</v>
      </c>
      <c r="W888" s="4">
        <v>500000</v>
      </c>
      <c r="X888" s="4">
        <v>500000</v>
      </c>
      <c r="Y888" s="4">
        <v>500000</v>
      </c>
    </row>
    <row r="889" spans="1:25" ht="19.5" customHeight="1" x14ac:dyDescent="0.25">
      <c r="A889" s="2" t="s">
        <v>2176</v>
      </c>
      <c r="B889" s="2" t="s">
        <v>16</v>
      </c>
      <c r="C889" s="2" t="s">
        <v>2274</v>
      </c>
      <c r="D889" s="2" t="s">
        <v>2275</v>
      </c>
      <c r="E889" s="2" t="s">
        <v>2276</v>
      </c>
      <c r="F889" s="3">
        <v>215460.86</v>
      </c>
      <c r="G889" s="3">
        <v>278500</v>
      </c>
      <c r="H889" s="3">
        <v>325370</v>
      </c>
      <c r="I889" s="3">
        <v>332287</v>
      </c>
      <c r="J889" s="3">
        <v>325370</v>
      </c>
      <c r="K889" s="3">
        <v>332287</v>
      </c>
      <c r="L889" s="4">
        <v>325370</v>
      </c>
      <c r="M889" s="4">
        <v>332287</v>
      </c>
      <c r="N889" s="4">
        <v>325370</v>
      </c>
      <c r="O889" s="4">
        <v>332287</v>
      </c>
      <c r="P889" s="4">
        <v>325370</v>
      </c>
      <c r="Q889" s="4">
        <v>332287</v>
      </c>
      <c r="R889" s="4">
        <v>325370</v>
      </c>
      <c r="S889" s="4">
        <v>332287</v>
      </c>
      <c r="T889" s="4">
        <v>325370</v>
      </c>
      <c r="U889" s="4">
        <v>332287</v>
      </c>
      <c r="V889" s="4">
        <v>325370</v>
      </c>
      <c r="W889" s="4">
        <v>332287</v>
      </c>
      <c r="X889" s="4">
        <v>325370</v>
      </c>
      <c r="Y889" s="4">
        <v>332287</v>
      </c>
    </row>
    <row r="890" spans="1:25" ht="19.5" customHeight="1" x14ac:dyDescent="0.25">
      <c r="A890" s="2" t="s">
        <v>2176</v>
      </c>
      <c r="B890" s="2" t="s">
        <v>16</v>
      </c>
      <c r="C890" s="2" t="s">
        <v>2277</v>
      </c>
      <c r="D890" s="2" t="s">
        <v>2278</v>
      </c>
      <c r="E890" s="2" t="s">
        <v>2279</v>
      </c>
      <c r="F890" s="3">
        <v>3993624.12</v>
      </c>
      <c r="G890" s="3">
        <v>4200000</v>
      </c>
      <c r="H890" s="3">
        <v>5055000</v>
      </c>
      <c r="I890" s="3">
        <v>5455000</v>
      </c>
      <c r="J890" s="3">
        <v>5055000</v>
      </c>
      <c r="K890" s="3">
        <v>5455000</v>
      </c>
      <c r="L890" s="4">
        <v>5055000</v>
      </c>
      <c r="M890" s="4">
        <v>5455000</v>
      </c>
      <c r="N890" s="4">
        <v>5055000</v>
      </c>
      <c r="O890" s="4">
        <v>5455000</v>
      </c>
      <c r="P890" s="4">
        <v>5055000</v>
      </c>
      <c r="Q890" s="4">
        <v>5455000</v>
      </c>
      <c r="R890" s="4">
        <v>5055000</v>
      </c>
      <c r="S890" s="4">
        <v>5455000</v>
      </c>
      <c r="T890" s="4">
        <v>5055000</v>
      </c>
      <c r="U890" s="4">
        <v>5455000</v>
      </c>
      <c r="V890" s="4">
        <v>5055000</v>
      </c>
      <c r="W890" s="4">
        <v>5455000</v>
      </c>
      <c r="X890" s="4">
        <v>5055000</v>
      </c>
      <c r="Y890" s="4">
        <v>5455000</v>
      </c>
    </row>
    <row r="891" spans="1:25" ht="19.5" customHeight="1" x14ac:dyDescent="0.25">
      <c r="A891" s="2" t="s">
        <v>2176</v>
      </c>
      <c r="B891" s="2" t="s">
        <v>16</v>
      </c>
      <c r="C891" s="2" t="s">
        <v>2277</v>
      </c>
      <c r="D891" s="2" t="s">
        <v>2280</v>
      </c>
      <c r="E891" s="2" t="s">
        <v>2281</v>
      </c>
      <c r="F891" s="3">
        <v>3826738.78</v>
      </c>
      <c r="G891" s="3">
        <v>3975000</v>
      </c>
      <c r="H891" s="3">
        <v>4100000</v>
      </c>
      <c r="I891" s="3">
        <v>4223000</v>
      </c>
      <c r="J891" s="3">
        <v>4100000</v>
      </c>
      <c r="K891" s="3">
        <v>4223000</v>
      </c>
      <c r="L891" s="4">
        <v>4100000</v>
      </c>
      <c r="M891" s="4">
        <v>4223000</v>
      </c>
      <c r="N891" s="4">
        <v>4100000</v>
      </c>
      <c r="O891" s="4">
        <v>4223000</v>
      </c>
      <c r="P891" s="4">
        <v>4100000</v>
      </c>
      <c r="Q891" s="4">
        <v>4223000</v>
      </c>
      <c r="R891" s="4">
        <v>4100000</v>
      </c>
      <c r="S891" s="4">
        <v>4223000</v>
      </c>
      <c r="T891" s="4">
        <v>4100000</v>
      </c>
      <c r="U891" s="4">
        <v>4223000</v>
      </c>
      <c r="V891" s="4">
        <v>4100000</v>
      </c>
      <c r="W891" s="4">
        <v>4223000</v>
      </c>
      <c r="X891" s="4">
        <v>4100000</v>
      </c>
      <c r="Y891" s="4">
        <v>4223000</v>
      </c>
    </row>
    <row r="892" spans="1:25" ht="19.5" customHeight="1" x14ac:dyDescent="0.25">
      <c r="A892" s="2" t="s">
        <v>2176</v>
      </c>
      <c r="B892" s="2" t="s">
        <v>16</v>
      </c>
      <c r="C892" s="2" t="s">
        <v>2282</v>
      </c>
      <c r="D892" s="2" t="s">
        <v>2283</v>
      </c>
      <c r="E892" s="2" t="s">
        <v>2284</v>
      </c>
      <c r="F892" s="3">
        <v>45906.65</v>
      </c>
      <c r="G892" s="3">
        <v>35000</v>
      </c>
      <c r="H892" s="3">
        <v>20000</v>
      </c>
      <c r="I892" s="3">
        <v>0</v>
      </c>
      <c r="J892" s="3">
        <v>20000</v>
      </c>
      <c r="K892" s="3">
        <v>0</v>
      </c>
      <c r="L892" s="4">
        <v>20000</v>
      </c>
      <c r="M892" s="4">
        <v>0</v>
      </c>
      <c r="N892" s="4">
        <v>20000</v>
      </c>
      <c r="O892" s="4">
        <v>0</v>
      </c>
      <c r="P892" s="4">
        <v>20000</v>
      </c>
      <c r="Q892" s="4">
        <v>0</v>
      </c>
      <c r="R892" s="4">
        <v>20000</v>
      </c>
      <c r="S892" s="4">
        <v>0</v>
      </c>
      <c r="T892" s="4">
        <v>20000</v>
      </c>
      <c r="U892" s="4">
        <v>0</v>
      </c>
      <c r="V892" s="4">
        <v>20000</v>
      </c>
      <c r="W892" s="4">
        <v>0</v>
      </c>
      <c r="X892" s="4">
        <v>20000</v>
      </c>
      <c r="Y892" s="4">
        <v>0</v>
      </c>
    </row>
    <row r="893" spans="1:25" ht="19.5" customHeight="1" x14ac:dyDescent="0.25">
      <c r="A893" s="2" t="s">
        <v>2176</v>
      </c>
      <c r="B893" s="2" t="s">
        <v>16</v>
      </c>
      <c r="C893" s="2" t="s">
        <v>2285</v>
      </c>
      <c r="D893" s="2" t="s">
        <v>2286</v>
      </c>
      <c r="E893" s="2" t="s">
        <v>2287</v>
      </c>
      <c r="F893" s="3">
        <v>2742808.92</v>
      </c>
      <c r="G893" s="3">
        <v>2858000</v>
      </c>
      <c r="H893" s="3">
        <v>2864000</v>
      </c>
      <c r="I893" s="3">
        <v>2864000</v>
      </c>
      <c r="J893" s="3">
        <v>2864000</v>
      </c>
      <c r="K893" s="3">
        <v>2864000</v>
      </c>
      <c r="L893" s="4">
        <v>2864000</v>
      </c>
      <c r="M893" s="4">
        <v>2864000</v>
      </c>
      <c r="N893" s="4">
        <v>2864000</v>
      </c>
      <c r="O893" s="4">
        <v>2864000</v>
      </c>
      <c r="P893" s="4">
        <v>2864000</v>
      </c>
      <c r="Q893" s="4">
        <v>2864000</v>
      </c>
      <c r="R893" s="4">
        <v>2864000</v>
      </c>
      <c r="S893" s="4">
        <v>2864000</v>
      </c>
      <c r="T893" s="4">
        <v>2864000</v>
      </c>
      <c r="U893" s="4">
        <v>2864000</v>
      </c>
      <c r="V893" s="4">
        <v>2864000</v>
      </c>
      <c r="W893" s="4">
        <v>2864000</v>
      </c>
      <c r="X893" s="4">
        <v>2864000</v>
      </c>
      <c r="Y893" s="4">
        <v>2864000</v>
      </c>
    </row>
    <row r="894" spans="1:25" ht="19.5" customHeight="1" x14ac:dyDescent="0.25">
      <c r="A894" s="2" t="s">
        <v>2176</v>
      </c>
      <c r="B894" s="2" t="s">
        <v>16</v>
      </c>
      <c r="C894" s="2" t="s">
        <v>2288</v>
      </c>
      <c r="D894" s="2" t="s">
        <v>2289</v>
      </c>
      <c r="E894" s="2" t="s">
        <v>2290</v>
      </c>
      <c r="F894" s="3">
        <v>923514.61</v>
      </c>
      <c r="G894" s="3">
        <v>972000</v>
      </c>
      <c r="H894" s="3">
        <v>1002000</v>
      </c>
      <c r="I894" s="3">
        <v>1002000</v>
      </c>
      <c r="J894" s="3">
        <v>1002000</v>
      </c>
      <c r="K894" s="3">
        <v>1002000</v>
      </c>
      <c r="L894" s="4">
        <v>1002000</v>
      </c>
      <c r="M894" s="4">
        <v>1002000</v>
      </c>
      <c r="N894" s="4">
        <v>1002000</v>
      </c>
      <c r="O894" s="4">
        <v>1002000</v>
      </c>
      <c r="P894" s="4">
        <v>1002000</v>
      </c>
      <c r="Q894" s="4">
        <v>1002000</v>
      </c>
      <c r="R894" s="4">
        <v>1002000</v>
      </c>
      <c r="S894" s="4">
        <v>1002000</v>
      </c>
      <c r="T894" s="4">
        <v>1002000</v>
      </c>
      <c r="U894" s="4">
        <v>1002000</v>
      </c>
      <c r="V894" s="4">
        <v>1002000</v>
      </c>
      <c r="W894" s="4">
        <v>1002000</v>
      </c>
      <c r="X894" s="4">
        <v>1002000</v>
      </c>
      <c r="Y894" s="4">
        <v>1002000</v>
      </c>
    </row>
    <row r="895" spans="1:25" ht="19.5" customHeight="1" x14ac:dyDescent="0.25">
      <c r="A895" s="2" t="s">
        <v>2176</v>
      </c>
      <c r="B895" s="2" t="s">
        <v>16</v>
      </c>
      <c r="C895" s="2" t="s">
        <v>2291</v>
      </c>
      <c r="D895" s="2" t="s">
        <v>2292</v>
      </c>
      <c r="E895" s="2" t="s">
        <v>2293</v>
      </c>
      <c r="F895" s="3">
        <v>391726.89</v>
      </c>
      <c r="G895" s="3">
        <v>300000</v>
      </c>
      <c r="H895" s="3">
        <v>300000</v>
      </c>
      <c r="I895" s="3">
        <v>300000</v>
      </c>
      <c r="J895" s="3">
        <v>300000</v>
      </c>
      <c r="K895" s="3">
        <v>300000</v>
      </c>
      <c r="L895" s="4">
        <v>300000</v>
      </c>
      <c r="M895" s="4">
        <v>300000</v>
      </c>
      <c r="N895" s="4">
        <v>300000</v>
      </c>
      <c r="O895" s="4">
        <v>300000</v>
      </c>
      <c r="P895" s="4">
        <v>300000</v>
      </c>
      <c r="Q895" s="4">
        <v>300000</v>
      </c>
      <c r="R895" s="4">
        <v>300000</v>
      </c>
      <c r="S895" s="4">
        <v>300000</v>
      </c>
      <c r="T895" s="4">
        <v>300000</v>
      </c>
      <c r="U895" s="4">
        <v>300000</v>
      </c>
      <c r="V895" s="4">
        <v>300000</v>
      </c>
      <c r="W895" s="4">
        <v>300000</v>
      </c>
      <c r="X895" s="4">
        <v>300000</v>
      </c>
      <c r="Y895" s="4">
        <v>300000</v>
      </c>
    </row>
    <row r="896" spans="1:25" ht="19.5" customHeight="1" x14ac:dyDescent="0.25">
      <c r="A896" s="2" t="s">
        <v>2176</v>
      </c>
      <c r="B896" s="2" t="s">
        <v>16</v>
      </c>
      <c r="C896" s="2" t="s">
        <v>2294</v>
      </c>
      <c r="D896" s="2" t="s">
        <v>2295</v>
      </c>
      <c r="E896" s="2" t="s">
        <v>2296</v>
      </c>
      <c r="F896" s="3">
        <v>1219032.46</v>
      </c>
      <c r="G896" s="3">
        <v>998000</v>
      </c>
      <c r="H896" s="3">
        <v>300000</v>
      </c>
      <c r="I896" s="3">
        <v>300000</v>
      </c>
      <c r="J896" s="3">
        <v>300000</v>
      </c>
      <c r="K896" s="3">
        <v>300000</v>
      </c>
      <c r="L896" s="4">
        <v>300000</v>
      </c>
      <c r="M896" s="4">
        <v>300000</v>
      </c>
      <c r="N896" s="4">
        <v>300000</v>
      </c>
      <c r="O896" s="4">
        <v>300000</v>
      </c>
      <c r="P896" s="4">
        <v>300000</v>
      </c>
      <c r="Q896" s="4">
        <v>300000</v>
      </c>
      <c r="R896" s="4">
        <v>300000</v>
      </c>
      <c r="S896" s="4">
        <v>300000</v>
      </c>
      <c r="T896" s="4">
        <v>300000</v>
      </c>
      <c r="U896" s="4">
        <v>300000</v>
      </c>
      <c r="V896" s="4">
        <v>300000</v>
      </c>
      <c r="W896" s="4">
        <v>300000</v>
      </c>
      <c r="X896" s="4">
        <v>300000</v>
      </c>
      <c r="Y896" s="4">
        <v>300000</v>
      </c>
    </row>
    <row r="897" spans="1:25" ht="19.5" customHeight="1" x14ac:dyDescent="0.25">
      <c r="A897" s="2" t="s">
        <v>2176</v>
      </c>
      <c r="B897" s="2" t="s">
        <v>16</v>
      </c>
      <c r="C897" s="2" t="s">
        <v>343</v>
      </c>
      <c r="D897" s="2" t="s">
        <v>2297</v>
      </c>
      <c r="E897" s="2" t="s">
        <v>345</v>
      </c>
      <c r="F897" s="3">
        <v>314925</v>
      </c>
      <c r="G897" s="3">
        <v>3041575</v>
      </c>
      <c r="H897" s="3">
        <v>46000000</v>
      </c>
      <c r="I897" s="3">
        <v>46000000</v>
      </c>
      <c r="J897" s="3">
        <v>10000000</v>
      </c>
      <c r="K897" s="3">
        <v>10000000</v>
      </c>
      <c r="L897" s="4">
        <v>10000000</v>
      </c>
      <c r="M897" s="4">
        <v>10000000</v>
      </c>
      <c r="N897" s="4">
        <v>10000000</v>
      </c>
      <c r="O897" s="4">
        <v>10000000</v>
      </c>
      <c r="P897" s="4">
        <v>10000000</v>
      </c>
      <c r="Q897" s="4">
        <v>10000000</v>
      </c>
      <c r="R897" s="4">
        <v>10000000</v>
      </c>
      <c r="S897" s="4">
        <v>10000000</v>
      </c>
      <c r="T897" s="4">
        <v>10000000</v>
      </c>
      <c r="U897" s="4">
        <v>10000000</v>
      </c>
      <c r="V897" s="4">
        <v>10000000</v>
      </c>
      <c r="W897" s="4">
        <v>10000000</v>
      </c>
      <c r="X897" s="4">
        <v>10000000</v>
      </c>
      <c r="Y897" s="4">
        <v>10000000</v>
      </c>
    </row>
    <row r="898" spans="1:25" ht="19.5" customHeight="1" x14ac:dyDescent="0.25">
      <c r="A898" s="2" t="s">
        <v>2176</v>
      </c>
      <c r="B898" s="2" t="s">
        <v>44</v>
      </c>
      <c r="C898" s="2" t="s">
        <v>2298</v>
      </c>
      <c r="D898" s="2" t="s">
        <v>2299</v>
      </c>
      <c r="E898" s="2" t="s">
        <v>2300</v>
      </c>
      <c r="F898" s="3">
        <v>2010800.14</v>
      </c>
      <c r="G898" s="3">
        <v>2015000</v>
      </c>
      <c r="H898" s="3">
        <v>2150000</v>
      </c>
      <c r="I898" s="3">
        <v>2150000</v>
      </c>
      <c r="J898" s="3">
        <v>2150000</v>
      </c>
      <c r="K898" s="3">
        <v>2150000</v>
      </c>
      <c r="L898" s="4">
        <v>2150000</v>
      </c>
      <c r="M898" s="4">
        <v>2150000</v>
      </c>
      <c r="N898" s="4">
        <v>2150000</v>
      </c>
      <c r="O898" s="4">
        <v>2150000</v>
      </c>
      <c r="P898" s="4">
        <v>2150000</v>
      </c>
      <c r="Q898" s="4">
        <v>2150000</v>
      </c>
      <c r="R898" s="4">
        <v>2150000</v>
      </c>
      <c r="S898" s="4">
        <v>2150000</v>
      </c>
      <c r="T898" s="4">
        <v>2150000</v>
      </c>
      <c r="U898" s="4">
        <v>2150000</v>
      </c>
      <c r="V898" s="4">
        <v>2150000</v>
      </c>
      <c r="W898" s="4">
        <v>2150000</v>
      </c>
      <c r="X898" s="4">
        <v>2150000</v>
      </c>
      <c r="Y898" s="4">
        <v>2150000</v>
      </c>
    </row>
    <row r="899" spans="1:25" ht="19.5" customHeight="1" x14ac:dyDescent="0.25">
      <c r="A899" s="2" t="s">
        <v>2176</v>
      </c>
      <c r="B899" s="2" t="s">
        <v>44</v>
      </c>
      <c r="C899" s="2" t="s">
        <v>2301</v>
      </c>
      <c r="D899" s="2" t="s">
        <v>2302</v>
      </c>
      <c r="E899" s="2" t="s">
        <v>2303</v>
      </c>
      <c r="F899" s="3">
        <v>5598553.8600000003</v>
      </c>
      <c r="G899" s="3">
        <v>6115000</v>
      </c>
      <c r="H899" s="3">
        <v>6115000</v>
      </c>
      <c r="I899" s="3">
        <v>6115000</v>
      </c>
      <c r="J899" s="3">
        <v>6115000</v>
      </c>
      <c r="K899" s="3">
        <v>6115000</v>
      </c>
      <c r="L899" s="4">
        <v>6115000</v>
      </c>
      <c r="M899" s="4">
        <v>6115000</v>
      </c>
      <c r="N899" s="4">
        <v>6115000</v>
      </c>
      <c r="O899" s="4">
        <v>6115000</v>
      </c>
      <c r="P899" s="4">
        <v>6115000</v>
      </c>
      <c r="Q899" s="4">
        <v>6115000</v>
      </c>
      <c r="R899" s="4">
        <v>6115000</v>
      </c>
      <c r="S899" s="4">
        <v>6115000</v>
      </c>
      <c r="T899" s="4">
        <v>6115000</v>
      </c>
      <c r="U899" s="4">
        <v>6115000</v>
      </c>
      <c r="V899" s="4">
        <v>6115000</v>
      </c>
      <c r="W899" s="4">
        <v>6115000</v>
      </c>
      <c r="X899" s="4">
        <v>6115000</v>
      </c>
      <c r="Y899" s="4">
        <v>6115000</v>
      </c>
    </row>
    <row r="900" spans="1:25" ht="19.5" customHeight="1" x14ac:dyDescent="0.25">
      <c r="A900" s="2" t="s">
        <v>2176</v>
      </c>
      <c r="B900" s="2" t="s">
        <v>44</v>
      </c>
      <c r="C900" s="2" t="s">
        <v>2304</v>
      </c>
      <c r="D900" s="2" t="s">
        <v>2305</v>
      </c>
      <c r="E900" s="2" t="s">
        <v>2306</v>
      </c>
      <c r="F900" s="3">
        <v>94133.440000000002</v>
      </c>
      <c r="G900" s="3">
        <v>133000</v>
      </c>
      <c r="H900" s="3">
        <v>133000</v>
      </c>
      <c r="I900" s="3">
        <v>133000</v>
      </c>
      <c r="J900" s="3">
        <v>133000</v>
      </c>
      <c r="K900" s="3">
        <v>133000</v>
      </c>
      <c r="L900" s="4">
        <v>133000</v>
      </c>
      <c r="M900" s="4">
        <v>133000</v>
      </c>
      <c r="N900" s="4">
        <v>133000</v>
      </c>
      <c r="O900" s="4">
        <v>133000</v>
      </c>
      <c r="P900" s="4">
        <v>133000</v>
      </c>
      <c r="Q900" s="4">
        <v>133000</v>
      </c>
      <c r="R900" s="4">
        <v>133000</v>
      </c>
      <c r="S900" s="4">
        <v>133000</v>
      </c>
      <c r="T900" s="4">
        <v>133000</v>
      </c>
      <c r="U900" s="4">
        <v>133000</v>
      </c>
      <c r="V900" s="4">
        <v>133000</v>
      </c>
      <c r="W900" s="4">
        <v>133000</v>
      </c>
      <c r="X900" s="4">
        <v>133000</v>
      </c>
      <c r="Y900" s="4">
        <v>133000</v>
      </c>
    </row>
    <row r="901" spans="1:25" ht="19.5" customHeight="1" x14ac:dyDescent="0.25">
      <c r="A901" s="2" t="s">
        <v>2176</v>
      </c>
      <c r="B901" s="2" t="s">
        <v>44</v>
      </c>
      <c r="C901" s="2" t="s">
        <v>2307</v>
      </c>
      <c r="D901" s="2" t="s">
        <v>2308</v>
      </c>
      <c r="E901" s="2" t="s">
        <v>2309</v>
      </c>
      <c r="F901" s="3">
        <v>11587734.789999999</v>
      </c>
      <c r="G901" s="3">
        <v>14517550</v>
      </c>
      <c r="H901" s="3">
        <v>15570000</v>
      </c>
      <c r="I901" s="3">
        <v>15625000</v>
      </c>
      <c r="J901" s="3">
        <v>15570000</v>
      </c>
      <c r="K901" s="3">
        <v>15625000</v>
      </c>
      <c r="L901" s="4">
        <v>15570000</v>
      </c>
      <c r="M901" s="4">
        <v>15625000</v>
      </c>
      <c r="N901" s="4">
        <v>15570000</v>
      </c>
      <c r="O901" s="4">
        <v>15625000</v>
      </c>
      <c r="P901" s="4">
        <v>15570000</v>
      </c>
      <c r="Q901" s="4">
        <v>15625000</v>
      </c>
      <c r="R901" s="4">
        <v>15570000</v>
      </c>
      <c r="S901" s="4">
        <v>15625000</v>
      </c>
      <c r="T901" s="4">
        <v>15570000</v>
      </c>
      <c r="U901" s="4">
        <v>15625000</v>
      </c>
      <c r="V901" s="4">
        <v>15570000</v>
      </c>
      <c r="W901" s="4">
        <v>15625000</v>
      </c>
      <c r="X901" s="4">
        <v>15570000</v>
      </c>
      <c r="Y901" s="4">
        <v>15625000</v>
      </c>
    </row>
    <row r="902" spans="1:25" ht="19.5" customHeight="1" x14ac:dyDescent="0.25">
      <c r="A902" s="2" t="s">
        <v>2176</v>
      </c>
      <c r="B902" s="2" t="s">
        <v>44</v>
      </c>
      <c r="C902" s="2" t="s">
        <v>2310</v>
      </c>
      <c r="D902" s="2" t="s">
        <v>2311</v>
      </c>
      <c r="E902" s="2" t="s">
        <v>2312</v>
      </c>
      <c r="F902" s="3">
        <v>118966</v>
      </c>
      <c r="G902" s="3">
        <v>698000</v>
      </c>
      <c r="H902" s="3">
        <v>201000</v>
      </c>
      <c r="I902" s="3">
        <v>201000</v>
      </c>
      <c r="J902" s="3">
        <v>201000</v>
      </c>
      <c r="K902" s="3">
        <v>201000</v>
      </c>
      <c r="L902" s="4">
        <v>201000</v>
      </c>
      <c r="M902" s="4">
        <v>201000</v>
      </c>
      <c r="N902" s="4">
        <v>201000</v>
      </c>
      <c r="O902" s="4">
        <v>201000</v>
      </c>
      <c r="P902" s="4">
        <v>201000</v>
      </c>
      <c r="Q902" s="4">
        <v>201000</v>
      </c>
      <c r="R902" s="4">
        <v>201000</v>
      </c>
      <c r="S902" s="4">
        <v>201000</v>
      </c>
      <c r="T902" s="4">
        <v>201000</v>
      </c>
      <c r="U902" s="4">
        <v>201000</v>
      </c>
      <c r="V902" s="4">
        <v>201000</v>
      </c>
      <c r="W902" s="4">
        <v>201000</v>
      </c>
      <c r="X902" s="4">
        <v>201000</v>
      </c>
      <c r="Y902" s="4">
        <v>201000</v>
      </c>
    </row>
    <row r="903" spans="1:25" ht="19.5" customHeight="1" x14ac:dyDescent="0.25">
      <c r="A903" s="2" t="s">
        <v>2176</v>
      </c>
      <c r="B903" s="2" t="s">
        <v>44</v>
      </c>
      <c r="C903" s="2" t="s">
        <v>2313</v>
      </c>
      <c r="D903" s="2" t="s">
        <v>2314</v>
      </c>
      <c r="E903" s="2" t="s">
        <v>2315</v>
      </c>
      <c r="F903" s="3">
        <v>6797170.1399999997</v>
      </c>
      <c r="G903" s="3">
        <v>7143300</v>
      </c>
      <c r="H903" s="3">
        <v>8137195</v>
      </c>
      <c r="I903" s="3">
        <v>8218775</v>
      </c>
      <c r="J903" s="3">
        <v>8137195</v>
      </c>
      <c r="K903" s="3">
        <v>8218775</v>
      </c>
      <c r="L903" s="4">
        <v>8137195</v>
      </c>
      <c r="M903" s="4">
        <v>8218775</v>
      </c>
      <c r="N903" s="4">
        <v>8137195</v>
      </c>
      <c r="O903" s="4">
        <v>8218775</v>
      </c>
      <c r="P903" s="4">
        <v>8137195</v>
      </c>
      <c r="Q903" s="4">
        <v>8218775</v>
      </c>
      <c r="R903" s="4">
        <v>8137195</v>
      </c>
      <c r="S903" s="4">
        <v>8218775</v>
      </c>
      <c r="T903" s="4">
        <v>8137195</v>
      </c>
      <c r="U903" s="4">
        <v>8218775</v>
      </c>
      <c r="V903" s="4">
        <v>8137195</v>
      </c>
      <c r="W903" s="4">
        <v>8218775</v>
      </c>
      <c r="X903" s="4">
        <v>8137195</v>
      </c>
      <c r="Y903" s="4">
        <v>8218775</v>
      </c>
    </row>
    <row r="904" spans="1:25" ht="19.5" customHeight="1" x14ac:dyDescent="0.25">
      <c r="A904" s="2" t="s">
        <v>2176</v>
      </c>
      <c r="B904" s="2" t="s">
        <v>44</v>
      </c>
      <c r="C904" s="2" t="s">
        <v>2316</v>
      </c>
      <c r="D904" s="2" t="s">
        <v>2317</v>
      </c>
      <c r="E904" s="2" t="s">
        <v>2318</v>
      </c>
      <c r="F904" s="3">
        <v>3857213.1</v>
      </c>
      <c r="G904" s="3">
        <v>22845000</v>
      </c>
      <c r="H904" s="3">
        <v>18766500</v>
      </c>
      <c r="I904" s="3">
        <v>5876500</v>
      </c>
      <c r="J904" s="3">
        <v>18766500</v>
      </c>
      <c r="K904" s="3">
        <v>5876500</v>
      </c>
      <c r="L904" s="4">
        <v>18766500</v>
      </c>
      <c r="M904" s="4">
        <v>5876500</v>
      </c>
      <c r="N904" s="4">
        <v>18766500</v>
      </c>
      <c r="O904" s="4">
        <v>5876500</v>
      </c>
      <c r="P904" s="4">
        <v>10766500</v>
      </c>
      <c r="Q904" s="4">
        <v>5876500</v>
      </c>
      <c r="R904" s="4">
        <v>10766500</v>
      </c>
      <c r="S904" s="4">
        <v>5876500</v>
      </c>
      <c r="T904" s="4">
        <v>10766500</v>
      </c>
      <c r="U904" s="4">
        <v>5876500</v>
      </c>
      <c r="V904" s="4">
        <v>10766500</v>
      </c>
      <c r="W904" s="4">
        <v>5876500</v>
      </c>
      <c r="X904" s="4">
        <v>10766500</v>
      </c>
      <c r="Y904" s="4">
        <v>5876500</v>
      </c>
    </row>
    <row r="905" spans="1:25" ht="19.5" customHeight="1" x14ac:dyDescent="0.25">
      <c r="A905" s="2" t="s">
        <v>2176</v>
      </c>
      <c r="B905" s="2" t="s">
        <v>44</v>
      </c>
      <c r="C905" s="2" t="s">
        <v>2319</v>
      </c>
      <c r="D905" s="2" t="s">
        <v>2320</v>
      </c>
      <c r="E905" s="2" t="s">
        <v>2321</v>
      </c>
      <c r="F905" s="3">
        <v>2733818.23</v>
      </c>
      <c r="G905" s="3">
        <v>2955000</v>
      </c>
      <c r="H905" s="3">
        <v>3141500</v>
      </c>
      <c r="I905" s="3">
        <v>3148130</v>
      </c>
      <c r="J905" s="3">
        <v>3141500</v>
      </c>
      <c r="K905" s="3">
        <v>3148130</v>
      </c>
      <c r="L905" s="4">
        <v>3141500</v>
      </c>
      <c r="M905" s="4">
        <v>3148130</v>
      </c>
      <c r="N905" s="4">
        <v>3141500</v>
      </c>
      <c r="O905" s="4">
        <v>3148130</v>
      </c>
      <c r="P905" s="4">
        <v>3141500</v>
      </c>
      <c r="Q905" s="4">
        <v>3148130</v>
      </c>
      <c r="R905" s="4">
        <v>3141500</v>
      </c>
      <c r="S905" s="4">
        <v>3148130</v>
      </c>
      <c r="T905" s="4">
        <v>3141500</v>
      </c>
      <c r="U905" s="4">
        <v>3148130</v>
      </c>
      <c r="V905" s="4">
        <v>3141500</v>
      </c>
      <c r="W905" s="4">
        <v>3148130</v>
      </c>
      <c r="X905" s="4">
        <v>3141500</v>
      </c>
      <c r="Y905" s="4">
        <v>3148130</v>
      </c>
    </row>
    <row r="906" spans="1:25" ht="19.5" customHeight="1" x14ac:dyDescent="0.25">
      <c r="A906" s="2" t="s">
        <v>2176</v>
      </c>
      <c r="B906" s="2" t="s">
        <v>44</v>
      </c>
      <c r="C906" s="2" t="s">
        <v>2322</v>
      </c>
      <c r="D906" s="2" t="s">
        <v>2323</v>
      </c>
      <c r="E906" s="2" t="s">
        <v>2324</v>
      </c>
      <c r="F906" s="3">
        <v>18330</v>
      </c>
      <c r="G906" s="3">
        <v>700000</v>
      </c>
      <c r="H906" s="3">
        <v>700000</v>
      </c>
      <c r="I906" s="3">
        <v>700000</v>
      </c>
      <c r="J906" s="3">
        <v>700000</v>
      </c>
      <c r="K906" s="3">
        <v>700000</v>
      </c>
      <c r="L906" s="4">
        <v>700000</v>
      </c>
      <c r="M906" s="4">
        <v>700000</v>
      </c>
      <c r="N906" s="4">
        <v>700000</v>
      </c>
      <c r="O906" s="4">
        <v>700000</v>
      </c>
      <c r="P906" s="4">
        <v>700000</v>
      </c>
      <c r="Q906" s="4">
        <v>700000</v>
      </c>
      <c r="R906" s="4">
        <v>700000</v>
      </c>
      <c r="S906" s="4">
        <v>700000</v>
      </c>
      <c r="T906" s="4">
        <v>700000</v>
      </c>
      <c r="U906" s="4">
        <v>700000</v>
      </c>
      <c r="V906" s="4">
        <v>700000</v>
      </c>
      <c r="W906" s="4">
        <v>700000</v>
      </c>
      <c r="X906" s="4">
        <v>700000</v>
      </c>
      <c r="Y906" s="4">
        <v>700000</v>
      </c>
    </row>
    <row r="907" spans="1:25" ht="19.5" customHeight="1" x14ac:dyDescent="0.25">
      <c r="A907" s="2" t="s">
        <v>2176</v>
      </c>
      <c r="B907" s="2" t="s">
        <v>54</v>
      </c>
      <c r="C907" s="2" t="s">
        <v>54</v>
      </c>
      <c r="D907" s="8" t="s">
        <v>2325</v>
      </c>
      <c r="E907" s="2" t="s">
        <v>2326</v>
      </c>
      <c r="F907" s="4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4">
        <v>60000</v>
      </c>
      <c r="M907" s="4">
        <v>10000</v>
      </c>
      <c r="N907" s="4">
        <v>60000</v>
      </c>
      <c r="O907" s="4">
        <v>10000</v>
      </c>
      <c r="P907" s="4">
        <v>0</v>
      </c>
      <c r="Q907" s="4">
        <v>0</v>
      </c>
      <c r="R907" s="4">
        <v>0</v>
      </c>
      <c r="S907" s="4">
        <v>0</v>
      </c>
      <c r="T907" s="4">
        <v>0</v>
      </c>
      <c r="U907" s="4">
        <v>0</v>
      </c>
      <c r="V907" s="4">
        <v>60000</v>
      </c>
      <c r="W907" s="4">
        <v>10000</v>
      </c>
      <c r="X907" s="4">
        <v>60000</v>
      </c>
      <c r="Y907" s="4">
        <v>10000</v>
      </c>
    </row>
    <row r="908" spans="1:25" ht="19.5" customHeight="1" x14ac:dyDescent="0.25">
      <c r="A908" s="2" t="s">
        <v>2176</v>
      </c>
      <c r="B908" s="2" t="s">
        <v>54</v>
      </c>
      <c r="C908" s="2" t="s">
        <v>54</v>
      </c>
      <c r="D908" s="2" t="s">
        <v>2327</v>
      </c>
      <c r="E908" s="2" t="s">
        <v>2328</v>
      </c>
      <c r="F908" s="3">
        <v>10079452.859999999</v>
      </c>
      <c r="G908" s="3">
        <v>10439525</v>
      </c>
      <c r="H908" s="3">
        <v>9125482</v>
      </c>
      <c r="I908" s="3">
        <v>9125482</v>
      </c>
      <c r="J908" s="3">
        <v>9125482</v>
      </c>
      <c r="K908" s="3">
        <v>9125482</v>
      </c>
      <c r="L908" s="4">
        <v>9125482</v>
      </c>
      <c r="M908" s="4">
        <v>9125482</v>
      </c>
      <c r="N908" s="4">
        <v>9125482</v>
      </c>
      <c r="O908" s="4">
        <v>9125482</v>
      </c>
      <c r="P908" s="4">
        <v>9125482</v>
      </c>
      <c r="Q908" s="4">
        <v>9125482</v>
      </c>
      <c r="R908" s="4">
        <v>9125482</v>
      </c>
      <c r="S908" s="4">
        <v>9125482</v>
      </c>
      <c r="T908" s="4">
        <v>9125482</v>
      </c>
      <c r="U908" s="4">
        <v>9125482</v>
      </c>
      <c r="V908" s="4">
        <v>9125482</v>
      </c>
      <c r="W908" s="4">
        <v>9125482</v>
      </c>
      <c r="X908" s="4">
        <v>9125482</v>
      </c>
      <c r="Y908" s="4">
        <v>9125482</v>
      </c>
    </row>
    <row r="909" spans="1:25" ht="19.5" customHeight="1" x14ac:dyDescent="0.25">
      <c r="A909" s="2" t="s">
        <v>2176</v>
      </c>
      <c r="B909" s="2" t="s">
        <v>54</v>
      </c>
      <c r="C909" s="2" t="s">
        <v>54</v>
      </c>
      <c r="D909" s="2" t="s">
        <v>2329</v>
      </c>
      <c r="E909" s="2" t="s">
        <v>2330</v>
      </c>
      <c r="F909" s="3">
        <v>125000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</row>
    <row r="910" spans="1:25" ht="19.5" customHeight="1" x14ac:dyDescent="0.25">
      <c r="A910" s="2" t="s">
        <v>2176</v>
      </c>
      <c r="B910" s="2" t="s">
        <v>54</v>
      </c>
      <c r="C910" s="2" t="s">
        <v>54</v>
      </c>
      <c r="D910" s="2" t="s">
        <v>2331</v>
      </c>
      <c r="E910" s="2" t="s">
        <v>2332</v>
      </c>
      <c r="F910" s="4">
        <v>1500000</v>
      </c>
      <c r="G910" s="3">
        <v>1200000</v>
      </c>
      <c r="H910" s="3">
        <v>0</v>
      </c>
      <c r="I910" s="3">
        <v>0</v>
      </c>
      <c r="J910" s="3">
        <v>0</v>
      </c>
      <c r="K910" s="3">
        <v>0</v>
      </c>
      <c r="L910" s="4">
        <v>0</v>
      </c>
      <c r="M910" s="4">
        <v>0</v>
      </c>
      <c r="N910" s="4">
        <v>0</v>
      </c>
      <c r="O910" s="4">
        <v>0</v>
      </c>
      <c r="P910" s="4">
        <v>0</v>
      </c>
      <c r="Q910" s="4">
        <v>0</v>
      </c>
      <c r="R910" s="4">
        <v>0</v>
      </c>
      <c r="S910" s="4">
        <v>0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</row>
    <row r="911" spans="1:25" ht="19.5" customHeight="1" x14ac:dyDescent="0.25">
      <c r="A911" s="2" t="s">
        <v>2176</v>
      </c>
      <c r="B911" s="2" t="s">
        <v>243</v>
      </c>
      <c r="C911" s="2" t="s">
        <v>2333</v>
      </c>
      <c r="D911" s="2" t="s">
        <v>2334</v>
      </c>
      <c r="E911" s="2" t="s">
        <v>2335</v>
      </c>
      <c r="F911" s="3">
        <v>312941.5</v>
      </c>
      <c r="G911" s="3">
        <v>458000</v>
      </c>
      <c r="H911" s="3">
        <v>533000</v>
      </c>
      <c r="I911" s="3">
        <v>533000</v>
      </c>
      <c r="J911" s="3">
        <v>533000</v>
      </c>
      <c r="K911" s="3">
        <v>533000</v>
      </c>
      <c r="L911" s="4">
        <v>533000</v>
      </c>
      <c r="M911" s="4">
        <v>533000</v>
      </c>
      <c r="N911" s="4">
        <v>533000</v>
      </c>
      <c r="O911" s="4">
        <v>533000</v>
      </c>
      <c r="P911" s="4">
        <v>533000</v>
      </c>
      <c r="Q911" s="4">
        <v>533000</v>
      </c>
      <c r="R911" s="4">
        <v>533000</v>
      </c>
      <c r="S911" s="4">
        <v>533000</v>
      </c>
      <c r="T911" s="4">
        <v>533000</v>
      </c>
      <c r="U911" s="4">
        <v>533000</v>
      </c>
      <c r="V911" s="4">
        <v>533000</v>
      </c>
      <c r="W911" s="4">
        <v>533000</v>
      </c>
      <c r="X911" s="4">
        <v>533000</v>
      </c>
      <c r="Y911" s="4">
        <v>533000</v>
      </c>
    </row>
    <row r="912" spans="1:25" ht="19.5" customHeight="1" x14ac:dyDescent="0.25">
      <c r="A912" s="2" t="s">
        <v>2176</v>
      </c>
      <c r="B912" s="2" t="s">
        <v>243</v>
      </c>
      <c r="C912" s="2" t="s">
        <v>2336</v>
      </c>
      <c r="D912" s="2" t="s">
        <v>2337</v>
      </c>
      <c r="E912" s="2" t="s">
        <v>2338</v>
      </c>
      <c r="F912" s="3">
        <v>6834095.75</v>
      </c>
      <c r="G912" s="3">
        <v>7510500</v>
      </c>
      <c r="H912" s="3">
        <v>8075000</v>
      </c>
      <c r="I912" s="3">
        <v>8675000</v>
      </c>
      <c r="J912" s="3">
        <v>8075000</v>
      </c>
      <c r="K912" s="3">
        <v>8675000</v>
      </c>
      <c r="L912" s="4">
        <v>8075000</v>
      </c>
      <c r="M912" s="4">
        <v>8675000</v>
      </c>
      <c r="N912" s="4">
        <v>8075000</v>
      </c>
      <c r="O912" s="4">
        <v>8675000</v>
      </c>
      <c r="P912" s="4">
        <v>8075000</v>
      </c>
      <c r="Q912" s="4">
        <v>8675000</v>
      </c>
      <c r="R912" s="4">
        <v>8075000</v>
      </c>
      <c r="S912" s="4">
        <v>8675000</v>
      </c>
      <c r="T912" s="4">
        <v>8075000</v>
      </c>
      <c r="U912" s="4">
        <v>8675000</v>
      </c>
      <c r="V912" s="4">
        <v>8075000</v>
      </c>
      <c r="W912" s="4">
        <v>8675000</v>
      </c>
      <c r="X912" s="4">
        <v>8075000</v>
      </c>
      <c r="Y912" s="4">
        <v>8675000</v>
      </c>
    </row>
    <row r="913" spans="1:25" ht="19.5" customHeight="1" x14ac:dyDescent="0.25">
      <c r="A913" s="2" t="s">
        <v>2176</v>
      </c>
      <c r="B913" s="2" t="s">
        <v>243</v>
      </c>
      <c r="C913" s="2" t="s">
        <v>2339</v>
      </c>
      <c r="D913" s="2" t="s">
        <v>2340</v>
      </c>
      <c r="E913" s="2" t="s">
        <v>22</v>
      </c>
      <c r="F913" s="3">
        <v>784364.35</v>
      </c>
      <c r="G913" s="3">
        <v>1069000</v>
      </c>
      <c r="H913" s="3">
        <v>1418000</v>
      </c>
      <c r="I913" s="3">
        <v>1443000</v>
      </c>
      <c r="J913" s="3">
        <v>1418000</v>
      </c>
      <c r="K913" s="3">
        <v>1443000</v>
      </c>
      <c r="L913" s="4">
        <v>1418000</v>
      </c>
      <c r="M913" s="4">
        <v>1443000</v>
      </c>
      <c r="N913" s="4">
        <v>1418000</v>
      </c>
      <c r="O913" s="4">
        <v>1443000</v>
      </c>
      <c r="P913" s="4">
        <v>1418000</v>
      </c>
      <c r="Q913" s="4">
        <v>1443000</v>
      </c>
      <c r="R913" s="4">
        <v>1418000</v>
      </c>
      <c r="S913" s="4">
        <v>1443000</v>
      </c>
      <c r="T913" s="4">
        <v>1418000</v>
      </c>
      <c r="U913" s="4">
        <v>1443000</v>
      </c>
      <c r="V913" s="4">
        <v>1418000</v>
      </c>
      <c r="W913" s="4">
        <v>1443000</v>
      </c>
      <c r="X913" s="4">
        <v>1418000</v>
      </c>
      <c r="Y913" s="4">
        <v>1443000</v>
      </c>
    </row>
    <row r="914" spans="1:25" ht="19.5" customHeight="1" x14ac:dyDescent="0.25">
      <c r="A914" s="2" t="s">
        <v>2341</v>
      </c>
      <c r="B914" s="2" t="s">
        <v>16</v>
      </c>
      <c r="C914" s="2" t="s">
        <v>2342</v>
      </c>
      <c r="D914" s="2" t="s">
        <v>2343</v>
      </c>
      <c r="E914" s="2" t="s">
        <v>2344</v>
      </c>
      <c r="F914" s="3">
        <v>154120.38</v>
      </c>
      <c r="G914" s="3">
        <v>171161</v>
      </c>
      <c r="H914" s="3">
        <v>172160</v>
      </c>
      <c r="I914" s="3">
        <v>242173</v>
      </c>
      <c r="J914" s="3">
        <v>172160</v>
      </c>
      <c r="K914" s="3">
        <v>242173</v>
      </c>
      <c r="L914" s="4">
        <v>172160</v>
      </c>
      <c r="M914" s="4">
        <v>242173</v>
      </c>
      <c r="N914" s="4">
        <v>172160</v>
      </c>
      <c r="O914" s="4">
        <v>242173</v>
      </c>
      <c r="P914" s="4">
        <v>172160</v>
      </c>
      <c r="Q914" s="4">
        <v>242173</v>
      </c>
      <c r="R914" s="4">
        <v>172160</v>
      </c>
      <c r="S914" s="4">
        <v>242173</v>
      </c>
      <c r="T914" s="4">
        <v>172160</v>
      </c>
      <c r="U914" s="4">
        <v>242173</v>
      </c>
      <c r="V914" s="4">
        <v>172160</v>
      </c>
      <c r="W914" s="4">
        <v>242173</v>
      </c>
      <c r="X914" s="4">
        <v>172160</v>
      </c>
      <c r="Y914" s="4">
        <v>242173</v>
      </c>
    </row>
    <row r="915" spans="1:25" ht="19.5" customHeight="1" x14ac:dyDescent="0.25">
      <c r="A915" s="2" t="s">
        <v>2341</v>
      </c>
      <c r="B915" s="2" t="s">
        <v>54</v>
      </c>
      <c r="C915" s="2" t="s">
        <v>54</v>
      </c>
      <c r="D915" s="2" t="s">
        <v>2345</v>
      </c>
      <c r="E915" s="2" t="s">
        <v>22</v>
      </c>
      <c r="F915" s="3">
        <v>3830712.88</v>
      </c>
      <c r="G915" s="3">
        <v>3685671</v>
      </c>
      <c r="H915" s="3">
        <v>4011118</v>
      </c>
      <c r="I915" s="3">
        <v>4116551</v>
      </c>
      <c r="J915" s="3">
        <v>4011118</v>
      </c>
      <c r="K915" s="3">
        <v>4116551</v>
      </c>
      <c r="L915" s="4">
        <v>4011118</v>
      </c>
      <c r="M915" s="4">
        <v>4116551</v>
      </c>
      <c r="N915" s="4">
        <v>4011118</v>
      </c>
      <c r="O915" s="4">
        <v>4116551</v>
      </c>
      <c r="P915" s="4">
        <v>4111118</v>
      </c>
      <c r="Q915" s="4">
        <v>4216551</v>
      </c>
      <c r="R915" s="4">
        <v>4111118</v>
      </c>
      <c r="S915" s="4">
        <v>4216551</v>
      </c>
      <c r="T915" s="4">
        <v>4111118</v>
      </c>
      <c r="U915" s="4">
        <v>4216551</v>
      </c>
      <c r="V915" s="4">
        <v>4111118</v>
      </c>
      <c r="W915" s="4">
        <v>4216551</v>
      </c>
      <c r="X915" s="4">
        <v>4111118</v>
      </c>
      <c r="Y915" s="4">
        <v>4216551</v>
      </c>
    </row>
    <row r="916" spans="1:25" ht="19.5" customHeight="1" x14ac:dyDescent="0.25">
      <c r="A916" s="2" t="s">
        <v>2346</v>
      </c>
      <c r="B916" s="2" t="s">
        <v>16</v>
      </c>
      <c r="C916" s="2" t="s">
        <v>2347</v>
      </c>
      <c r="D916" s="2" t="s">
        <v>2348</v>
      </c>
      <c r="E916" s="2" t="s">
        <v>2349</v>
      </c>
      <c r="F916" s="3">
        <v>47057</v>
      </c>
      <c r="G916" s="3">
        <v>95000</v>
      </c>
      <c r="H916" s="3">
        <v>61500</v>
      </c>
      <c r="I916" s="3">
        <v>61500</v>
      </c>
      <c r="J916" s="3">
        <v>61500</v>
      </c>
      <c r="K916" s="3">
        <v>61500</v>
      </c>
      <c r="L916" s="4">
        <v>61500</v>
      </c>
      <c r="M916" s="4">
        <v>61500</v>
      </c>
      <c r="N916" s="4">
        <v>61500</v>
      </c>
      <c r="O916" s="4">
        <v>61500</v>
      </c>
      <c r="P916" s="4">
        <v>61500</v>
      </c>
      <c r="Q916" s="4">
        <v>61500</v>
      </c>
      <c r="R916" s="4">
        <v>61500</v>
      </c>
      <c r="S916" s="4">
        <v>61500</v>
      </c>
      <c r="T916" s="4">
        <v>61500</v>
      </c>
      <c r="U916" s="4">
        <v>61500</v>
      </c>
      <c r="V916" s="4">
        <v>61500</v>
      </c>
      <c r="W916" s="4">
        <v>61500</v>
      </c>
      <c r="X916" s="4">
        <v>61500</v>
      </c>
      <c r="Y916" s="4">
        <v>61500</v>
      </c>
    </row>
    <row r="917" spans="1:25" ht="19.5" customHeight="1" x14ac:dyDescent="0.25">
      <c r="A917" s="2" t="s">
        <v>2346</v>
      </c>
      <c r="B917" s="2" t="s">
        <v>16</v>
      </c>
      <c r="C917" s="2" t="s">
        <v>2350</v>
      </c>
      <c r="D917" s="2" t="s">
        <v>2351</v>
      </c>
      <c r="E917" s="2" t="s">
        <v>2352</v>
      </c>
      <c r="F917" s="3">
        <v>20000</v>
      </c>
      <c r="G917" s="3">
        <v>32000</v>
      </c>
      <c r="H917" s="3">
        <v>22400</v>
      </c>
      <c r="I917" s="3">
        <v>23600</v>
      </c>
      <c r="J917" s="3">
        <v>22400</v>
      </c>
      <c r="K917" s="3">
        <v>23600</v>
      </c>
      <c r="L917" s="4">
        <v>22400</v>
      </c>
      <c r="M917" s="4">
        <v>23600</v>
      </c>
      <c r="N917" s="4">
        <v>22400</v>
      </c>
      <c r="O917" s="4">
        <v>23600</v>
      </c>
      <c r="P917" s="4">
        <v>22400</v>
      </c>
      <c r="Q917" s="4">
        <v>23600</v>
      </c>
      <c r="R917" s="4">
        <v>22400</v>
      </c>
      <c r="S917" s="4">
        <v>23600</v>
      </c>
      <c r="T917" s="4">
        <v>22400</v>
      </c>
      <c r="U917" s="4">
        <v>23600</v>
      </c>
      <c r="V917" s="4">
        <v>22400</v>
      </c>
      <c r="W917" s="4">
        <v>23600</v>
      </c>
      <c r="X917" s="4">
        <v>22400</v>
      </c>
      <c r="Y917" s="4">
        <v>23600</v>
      </c>
    </row>
    <row r="918" spans="1:25" ht="19.5" customHeight="1" x14ac:dyDescent="0.25">
      <c r="A918" s="2" t="s">
        <v>2346</v>
      </c>
      <c r="B918" s="2" t="s">
        <v>54</v>
      </c>
      <c r="C918" s="2" t="s">
        <v>54</v>
      </c>
      <c r="D918" s="2" t="s">
        <v>2353</v>
      </c>
      <c r="E918" s="2" t="s">
        <v>2354</v>
      </c>
      <c r="F918" s="3">
        <v>355000</v>
      </c>
      <c r="G918" s="3">
        <v>355000</v>
      </c>
      <c r="H918" s="3">
        <v>355000</v>
      </c>
      <c r="I918" s="3">
        <v>355000</v>
      </c>
      <c r="J918" s="3">
        <v>382893</v>
      </c>
      <c r="K918" s="3">
        <v>382893</v>
      </c>
      <c r="L918" s="4">
        <v>382893</v>
      </c>
      <c r="M918" s="4">
        <v>382893</v>
      </c>
      <c r="N918" s="4">
        <v>382893</v>
      </c>
      <c r="O918" s="4">
        <v>382893</v>
      </c>
      <c r="P918" s="4">
        <v>382893</v>
      </c>
      <c r="Q918" s="4">
        <v>382893</v>
      </c>
      <c r="R918" s="4">
        <v>382893</v>
      </c>
      <c r="S918" s="4">
        <v>382893</v>
      </c>
      <c r="T918" s="4">
        <v>382893</v>
      </c>
      <c r="U918" s="4">
        <v>382893</v>
      </c>
      <c r="V918" s="4">
        <v>382893</v>
      </c>
      <c r="W918" s="4">
        <v>382893</v>
      </c>
      <c r="X918" s="4">
        <v>382893</v>
      </c>
      <c r="Y918" s="4">
        <v>382893</v>
      </c>
    </row>
    <row r="919" spans="1:25" ht="19.5" customHeight="1" x14ac:dyDescent="0.25">
      <c r="A919" s="2" t="s">
        <v>2346</v>
      </c>
      <c r="B919" s="2" t="s">
        <v>54</v>
      </c>
      <c r="C919" s="2" t="s">
        <v>54</v>
      </c>
      <c r="D919" s="2" t="s">
        <v>2355</v>
      </c>
      <c r="E919" s="2" t="s">
        <v>2356</v>
      </c>
      <c r="F919" s="3">
        <v>1783526</v>
      </c>
      <c r="G919" s="3">
        <v>1708526</v>
      </c>
      <c r="H919" s="3">
        <v>1708526</v>
      </c>
      <c r="I919" s="3">
        <v>1708526</v>
      </c>
      <c r="J919" s="3">
        <v>1919526</v>
      </c>
      <c r="K919" s="3">
        <v>1919526</v>
      </c>
      <c r="L919" s="4">
        <v>1919526</v>
      </c>
      <c r="M919" s="4">
        <v>1919526</v>
      </c>
      <c r="N919" s="4">
        <v>1919526</v>
      </c>
      <c r="O919" s="4">
        <v>1919526</v>
      </c>
      <c r="P919" s="4">
        <v>1919526</v>
      </c>
      <c r="Q919" s="4">
        <v>1919526</v>
      </c>
      <c r="R919" s="4">
        <v>1919526</v>
      </c>
      <c r="S919" s="4">
        <v>1919526</v>
      </c>
      <c r="T919" s="4">
        <v>1919526</v>
      </c>
      <c r="U919" s="4">
        <v>1919526</v>
      </c>
      <c r="V919" s="4">
        <v>1919526</v>
      </c>
      <c r="W919" s="4">
        <v>1919526</v>
      </c>
      <c r="X919" s="4">
        <v>1919526</v>
      </c>
      <c r="Y919" s="4">
        <v>1919526</v>
      </c>
    </row>
    <row r="920" spans="1:25" ht="19.5" customHeight="1" x14ac:dyDescent="0.25">
      <c r="A920" s="2" t="s">
        <v>2346</v>
      </c>
      <c r="B920" s="2" t="s">
        <v>54</v>
      </c>
      <c r="C920" s="2" t="s">
        <v>54</v>
      </c>
      <c r="D920" s="2" t="s">
        <v>2357</v>
      </c>
      <c r="E920" s="2" t="s">
        <v>2358</v>
      </c>
      <c r="F920" s="3">
        <v>3963381</v>
      </c>
      <c r="G920" s="3">
        <v>3222000</v>
      </c>
      <c r="H920" s="3">
        <v>3222000</v>
      </c>
      <c r="I920" s="3">
        <v>3222000</v>
      </c>
      <c r="J920" s="3">
        <v>3909231</v>
      </c>
      <c r="K920" s="3">
        <v>3909231</v>
      </c>
      <c r="L920" s="4">
        <v>3909231</v>
      </c>
      <c r="M920" s="4">
        <v>3909231</v>
      </c>
      <c r="N920" s="4">
        <v>3909231</v>
      </c>
      <c r="O920" s="4">
        <v>3909231</v>
      </c>
      <c r="P920" s="4">
        <v>3909231</v>
      </c>
      <c r="Q920" s="4">
        <v>3909231</v>
      </c>
      <c r="R920" s="4">
        <v>3909231</v>
      </c>
      <c r="S920" s="4">
        <v>3909231</v>
      </c>
      <c r="T920" s="4">
        <v>3909231</v>
      </c>
      <c r="U920" s="4">
        <v>3909231</v>
      </c>
      <c r="V920" s="4">
        <v>3909231</v>
      </c>
      <c r="W920" s="4">
        <v>3909231</v>
      </c>
      <c r="X920" s="4">
        <v>3909231</v>
      </c>
      <c r="Y920" s="4">
        <v>3909231</v>
      </c>
    </row>
    <row r="921" spans="1:25" ht="19.5" customHeight="1" x14ac:dyDescent="0.25">
      <c r="A921" s="2" t="s">
        <v>2346</v>
      </c>
      <c r="B921" s="2" t="s">
        <v>54</v>
      </c>
      <c r="C921" s="2" t="s">
        <v>54</v>
      </c>
      <c r="D921" s="2" t="s">
        <v>2359</v>
      </c>
      <c r="E921" s="2" t="s">
        <v>2360</v>
      </c>
      <c r="F921" s="3">
        <v>3454982.38</v>
      </c>
      <c r="G921" s="4">
        <v>3653766</v>
      </c>
      <c r="H921" s="4">
        <v>3738449</v>
      </c>
      <c r="I921" s="4">
        <v>3766191</v>
      </c>
      <c r="J921" s="4">
        <v>3812325</v>
      </c>
      <c r="K921" s="4">
        <v>3840067</v>
      </c>
      <c r="L921" s="4">
        <v>3812325</v>
      </c>
      <c r="M921" s="4">
        <v>3840067</v>
      </c>
      <c r="N921" s="4">
        <v>3812325</v>
      </c>
      <c r="O921" s="4">
        <v>3840067</v>
      </c>
      <c r="P921" s="4">
        <v>3812325</v>
      </c>
      <c r="Q921" s="4">
        <v>3840067</v>
      </c>
      <c r="R921" s="4">
        <v>3812325</v>
      </c>
      <c r="S921" s="4">
        <v>3840067</v>
      </c>
      <c r="T921" s="4">
        <v>3812325</v>
      </c>
      <c r="U921" s="4">
        <v>3840067</v>
      </c>
      <c r="V921" s="4">
        <v>3812325</v>
      </c>
      <c r="W921" s="4">
        <v>3840067</v>
      </c>
      <c r="X921" s="4">
        <v>3812325</v>
      </c>
      <c r="Y921" s="4">
        <v>3840067</v>
      </c>
    </row>
    <row r="922" spans="1:25" ht="19.5" customHeight="1" x14ac:dyDescent="0.25">
      <c r="A922" s="2" t="s">
        <v>2346</v>
      </c>
      <c r="B922" s="2" t="s">
        <v>243</v>
      </c>
      <c r="C922" s="2" t="s">
        <v>2361</v>
      </c>
      <c r="D922" s="2" t="s">
        <v>2362</v>
      </c>
      <c r="E922" s="2" t="s">
        <v>2363</v>
      </c>
      <c r="F922" s="3">
        <v>4000</v>
      </c>
      <c r="G922" s="3">
        <v>4000</v>
      </c>
      <c r="H922" s="3">
        <v>4000</v>
      </c>
      <c r="I922" s="3">
        <v>4400</v>
      </c>
      <c r="J922" s="3">
        <v>4000</v>
      </c>
      <c r="K922" s="3">
        <v>4400</v>
      </c>
      <c r="L922" s="4">
        <v>4000</v>
      </c>
      <c r="M922" s="4">
        <v>4400</v>
      </c>
      <c r="N922" s="4">
        <v>4000</v>
      </c>
      <c r="O922" s="4">
        <v>4400</v>
      </c>
      <c r="P922" s="4">
        <v>4000</v>
      </c>
      <c r="Q922" s="4">
        <v>4400</v>
      </c>
      <c r="R922" s="4">
        <v>4000</v>
      </c>
      <c r="S922" s="4">
        <v>4400</v>
      </c>
      <c r="T922" s="4">
        <v>4000</v>
      </c>
      <c r="U922" s="4">
        <v>4400</v>
      </c>
      <c r="V922" s="4">
        <v>4000</v>
      </c>
      <c r="W922" s="4">
        <v>4400</v>
      </c>
      <c r="X922" s="4">
        <v>4000</v>
      </c>
      <c r="Y922" s="4">
        <v>4400</v>
      </c>
    </row>
    <row r="923" spans="1:25" ht="19.5" customHeight="1" x14ac:dyDescent="0.25">
      <c r="A923" s="2" t="s">
        <v>2364</v>
      </c>
      <c r="B923" s="2" t="s">
        <v>16</v>
      </c>
      <c r="C923" s="2" t="s">
        <v>2365</v>
      </c>
      <c r="D923" s="2" t="s">
        <v>2366</v>
      </c>
      <c r="E923" s="2" t="s">
        <v>2172</v>
      </c>
      <c r="F923" s="3">
        <v>443990.29</v>
      </c>
      <c r="G923" s="3">
        <v>620513</v>
      </c>
      <c r="H923" s="3">
        <v>585539</v>
      </c>
      <c r="I923" s="3">
        <v>645443</v>
      </c>
      <c r="J923" s="3">
        <v>585539</v>
      </c>
      <c r="K923" s="3">
        <v>645443</v>
      </c>
      <c r="L923" s="4">
        <v>585539</v>
      </c>
      <c r="M923" s="4">
        <v>645443</v>
      </c>
      <c r="N923" s="4">
        <v>585539</v>
      </c>
      <c r="O923" s="4">
        <v>645443</v>
      </c>
      <c r="P923" s="4">
        <v>585539</v>
      </c>
      <c r="Q923" s="4">
        <v>645443</v>
      </c>
      <c r="R923" s="4">
        <v>585539</v>
      </c>
      <c r="S923" s="4">
        <v>645443</v>
      </c>
      <c r="T923" s="4">
        <v>585539</v>
      </c>
      <c r="U923" s="4">
        <v>645443</v>
      </c>
      <c r="V923" s="4">
        <v>585539</v>
      </c>
      <c r="W923" s="4">
        <v>645443</v>
      </c>
      <c r="X923" s="4">
        <v>585539</v>
      </c>
      <c r="Y923" s="4">
        <v>645443</v>
      </c>
    </row>
    <row r="924" spans="1:25" ht="19.5" customHeight="1" x14ac:dyDescent="0.25">
      <c r="A924" s="2" t="s">
        <v>2364</v>
      </c>
      <c r="B924" s="2" t="s">
        <v>54</v>
      </c>
      <c r="C924" s="2" t="s">
        <v>54</v>
      </c>
      <c r="D924" s="2" t="s">
        <v>2367</v>
      </c>
      <c r="E924" s="2" t="s">
        <v>22</v>
      </c>
      <c r="F924" s="3">
        <v>1881844.93</v>
      </c>
      <c r="G924" s="3">
        <v>1821515</v>
      </c>
      <c r="H924" s="3">
        <v>1946515</v>
      </c>
      <c r="I924" s="3">
        <v>1946515</v>
      </c>
      <c r="J924" s="3">
        <v>1946515</v>
      </c>
      <c r="K924" s="3">
        <v>1946515</v>
      </c>
      <c r="L924" s="4">
        <v>2120515</v>
      </c>
      <c r="M924" s="4">
        <v>2120515</v>
      </c>
      <c r="N924" s="4">
        <v>2120515</v>
      </c>
      <c r="O924" s="4">
        <v>2120515</v>
      </c>
      <c r="P924" s="4">
        <v>2120515</v>
      </c>
      <c r="Q924" s="4">
        <v>2120515</v>
      </c>
      <c r="R924" s="4">
        <v>2120515</v>
      </c>
      <c r="S924" s="4">
        <v>2120515</v>
      </c>
      <c r="T924" s="4">
        <v>2120515</v>
      </c>
      <c r="U924" s="4">
        <v>2120515</v>
      </c>
      <c r="V924" s="4">
        <v>2120515</v>
      </c>
      <c r="W924" s="4">
        <v>2120515</v>
      </c>
      <c r="X924" s="4">
        <v>2120515</v>
      </c>
      <c r="Y924" s="4">
        <v>2120515</v>
      </c>
    </row>
    <row r="925" spans="1:25" ht="19.5" customHeight="1" x14ac:dyDescent="0.25">
      <c r="A925" s="2" t="s">
        <v>2368</v>
      </c>
      <c r="B925" s="2" t="s">
        <v>16</v>
      </c>
      <c r="C925" s="2" t="s">
        <v>2369</v>
      </c>
      <c r="D925" s="2" t="s">
        <v>2370</v>
      </c>
      <c r="E925" s="2" t="s">
        <v>2371</v>
      </c>
      <c r="F925" s="4">
        <v>323647.84000000003</v>
      </c>
      <c r="G925" s="3">
        <v>315819</v>
      </c>
      <c r="H925" s="3">
        <v>325000</v>
      </c>
      <c r="I925" s="3">
        <v>325000</v>
      </c>
      <c r="J925" s="3">
        <v>325000</v>
      </c>
      <c r="K925" s="3">
        <v>325000</v>
      </c>
      <c r="L925" s="4">
        <v>325000</v>
      </c>
      <c r="M925" s="4">
        <v>325000</v>
      </c>
      <c r="N925" s="4">
        <v>325000</v>
      </c>
      <c r="O925" s="4">
        <v>325000</v>
      </c>
      <c r="P925" s="4">
        <v>325000</v>
      </c>
      <c r="Q925" s="4">
        <v>325000</v>
      </c>
      <c r="R925" s="4">
        <v>325000</v>
      </c>
      <c r="S925" s="4">
        <v>325000</v>
      </c>
      <c r="T925" s="4">
        <v>325000</v>
      </c>
      <c r="U925" s="4">
        <v>325000</v>
      </c>
      <c r="V925" s="4">
        <v>325000</v>
      </c>
      <c r="W925" s="4">
        <v>325000</v>
      </c>
      <c r="X925" s="4">
        <v>325000</v>
      </c>
      <c r="Y925" s="4">
        <v>325000</v>
      </c>
    </row>
    <row r="926" spans="1:25" ht="19.5" customHeight="1" x14ac:dyDescent="0.25">
      <c r="A926" s="2" t="s">
        <v>2368</v>
      </c>
      <c r="B926" s="2" t="s">
        <v>16</v>
      </c>
      <c r="C926" s="2" t="s">
        <v>2372</v>
      </c>
      <c r="D926" s="2" t="s">
        <v>2373</v>
      </c>
      <c r="E926" s="2" t="s">
        <v>22</v>
      </c>
      <c r="F926" s="3">
        <v>16359249.779999999</v>
      </c>
      <c r="G926" s="3">
        <v>6700225</v>
      </c>
      <c r="H926" s="3">
        <v>15179189</v>
      </c>
      <c r="I926" s="3">
        <v>15953148</v>
      </c>
      <c r="J926" s="3">
        <v>15179189</v>
      </c>
      <c r="K926" s="3">
        <v>15953148</v>
      </c>
      <c r="L926" s="4">
        <v>15179189</v>
      </c>
      <c r="M926" s="4">
        <v>15953148</v>
      </c>
      <c r="N926" s="4">
        <v>15179189</v>
      </c>
      <c r="O926" s="4">
        <v>15953148</v>
      </c>
      <c r="P926" s="4">
        <v>15179189</v>
      </c>
      <c r="Q926" s="4">
        <v>15953148</v>
      </c>
      <c r="R926" s="4">
        <v>15179189</v>
      </c>
      <c r="S926" s="4">
        <v>15953148</v>
      </c>
      <c r="T926" s="4">
        <v>15179189</v>
      </c>
      <c r="U926" s="4">
        <v>15953148</v>
      </c>
      <c r="V926" s="4">
        <v>15179189</v>
      </c>
      <c r="W926" s="4">
        <v>15953148</v>
      </c>
      <c r="X926" s="4">
        <v>15179189</v>
      </c>
      <c r="Y926" s="4">
        <v>15953148</v>
      </c>
    </row>
    <row r="927" spans="1:25" ht="19.5" customHeight="1" x14ac:dyDescent="0.25">
      <c r="A927" s="2" t="s">
        <v>2368</v>
      </c>
      <c r="B927" s="2" t="s">
        <v>16</v>
      </c>
      <c r="C927" s="2" t="s">
        <v>2372</v>
      </c>
      <c r="D927" s="2" t="s">
        <v>2374</v>
      </c>
      <c r="E927" s="2" t="s">
        <v>2375</v>
      </c>
      <c r="F927" s="3">
        <v>299996.92</v>
      </c>
      <c r="G927" s="3">
        <v>300000</v>
      </c>
      <c r="H927" s="3">
        <v>300000</v>
      </c>
      <c r="I927" s="3">
        <v>300000</v>
      </c>
      <c r="J927" s="3">
        <v>300000</v>
      </c>
      <c r="K927" s="3">
        <v>300000</v>
      </c>
      <c r="L927" s="4">
        <v>300000</v>
      </c>
      <c r="M927" s="4">
        <v>300000</v>
      </c>
      <c r="N927" s="4">
        <v>300000</v>
      </c>
      <c r="O927" s="4">
        <v>300000</v>
      </c>
      <c r="P927" s="4">
        <v>300000</v>
      </c>
      <c r="Q927" s="4">
        <v>300000</v>
      </c>
      <c r="R927" s="4">
        <v>300000</v>
      </c>
      <c r="S927" s="4">
        <v>300000</v>
      </c>
      <c r="T927" s="4">
        <v>300000</v>
      </c>
      <c r="U927" s="4">
        <v>300000</v>
      </c>
      <c r="V927" s="4">
        <v>300000</v>
      </c>
      <c r="W927" s="4">
        <v>300000</v>
      </c>
      <c r="X927" s="4">
        <v>300000</v>
      </c>
      <c r="Y927" s="4">
        <v>300000</v>
      </c>
    </row>
    <row r="928" spans="1:25" ht="19.5" customHeight="1" x14ac:dyDescent="0.25">
      <c r="A928" s="2" t="s">
        <v>2368</v>
      </c>
      <c r="B928" s="2" t="s">
        <v>54</v>
      </c>
      <c r="C928" s="2" t="s">
        <v>54</v>
      </c>
      <c r="D928" s="2" t="s">
        <v>2376</v>
      </c>
      <c r="E928" s="2" t="s">
        <v>2377</v>
      </c>
      <c r="F928" s="3">
        <v>325097.08</v>
      </c>
      <c r="G928" s="3">
        <v>100000</v>
      </c>
      <c r="H928" s="3">
        <v>261900</v>
      </c>
      <c r="I928" s="3">
        <v>363750</v>
      </c>
      <c r="J928" s="3">
        <v>261900</v>
      </c>
      <c r="K928" s="3">
        <v>363750</v>
      </c>
      <c r="L928" s="4">
        <v>261900</v>
      </c>
      <c r="M928" s="4">
        <v>363750</v>
      </c>
      <c r="N928" s="4">
        <v>261900</v>
      </c>
      <c r="O928" s="4">
        <v>363750</v>
      </c>
      <c r="P928" s="4">
        <v>261900</v>
      </c>
      <c r="Q928" s="4">
        <v>363750</v>
      </c>
      <c r="R928" s="4">
        <v>261900</v>
      </c>
      <c r="S928" s="4">
        <v>363750</v>
      </c>
      <c r="T928" s="4">
        <v>261900</v>
      </c>
      <c r="U928" s="4">
        <v>363750</v>
      </c>
      <c r="V928" s="4">
        <v>261900</v>
      </c>
      <c r="W928" s="4">
        <v>363750</v>
      </c>
      <c r="X928" s="4">
        <v>261900</v>
      </c>
      <c r="Y928" s="4">
        <v>363750</v>
      </c>
    </row>
    <row r="929" spans="1:25" ht="19.5" customHeight="1" x14ac:dyDescent="0.25">
      <c r="A929" s="2" t="s">
        <v>2378</v>
      </c>
      <c r="B929" s="2" t="s">
        <v>54</v>
      </c>
      <c r="C929" s="2" t="s">
        <v>54</v>
      </c>
      <c r="D929" s="2" t="s">
        <v>2379</v>
      </c>
      <c r="E929" s="2" t="s">
        <v>22</v>
      </c>
      <c r="F929" s="3">
        <v>6068332.7800000003</v>
      </c>
      <c r="G929" s="3">
        <v>6238184</v>
      </c>
      <c r="H929" s="3">
        <v>6449865</v>
      </c>
      <c r="I929" s="3">
        <v>6769488</v>
      </c>
      <c r="J929" s="3">
        <v>6449865</v>
      </c>
      <c r="K929" s="3">
        <v>6769488</v>
      </c>
      <c r="L929" s="4">
        <v>6449865</v>
      </c>
      <c r="M929" s="4">
        <v>6769488</v>
      </c>
      <c r="N929" s="4">
        <v>6449865</v>
      </c>
      <c r="O929" s="4">
        <v>6769488</v>
      </c>
      <c r="P929" s="4">
        <v>6449865</v>
      </c>
      <c r="Q929" s="4">
        <v>6769488</v>
      </c>
      <c r="R929" s="4">
        <v>6449865</v>
      </c>
      <c r="S929" s="4">
        <v>6769488</v>
      </c>
      <c r="T929" s="4">
        <v>6449865</v>
      </c>
      <c r="U929" s="4">
        <v>6769488</v>
      </c>
      <c r="V929" s="4">
        <v>6449865</v>
      </c>
      <c r="W929" s="4">
        <v>6769488</v>
      </c>
      <c r="X929" s="4">
        <v>6449865</v>
      </c>
      <c r="Y929" s="4">
        <v>6769488</v>
      </c>
    </row>
    <row r="930" spans="1:25" ht="19.5" customHeight="1" x14ac:dyDescent="0.25">
      <c r="A930" s="2" t="s">
        <v>2378</v>
      </c>
      <c r="B930" s="2" t="s">
        <v>54</v>
      </c>
      <c r="C930" s="2" t="s">
        <v>54</v>
      </c>
      <c r="D930" s="2" t="s">
        <v>2380</v>
      </c>
      <c r="E930" s="2" t="s">
        <v>2381</v>
      </c>
      <c r="F930" s="3">
        <v>33041731.420000002</v>
      </c>
      <c r="G930" s="3">
        <v>27769031</v>
      </c>
      <c r="H930" s="3">
        <v>22000000</v>
      </c>
      <c r="I930" s="3">
        <v>28000000</v>
      </c>
      <c r="J930" s="3">
        <v>22000000</v>
      </c>
      <c r="K930" s="3">
        <v>28000000</v>
      </c>
      <c r="L930" s="4">
        <v>22000000</v>
      </c>
      <c r="M930" s="4">
        <v>28000000</v>
      </c>
      <c r="N930" s="4">
        <v>22000000</v>
      </c>
      <c r="O930" s="4">
        <v>28000000</v>
      </c>
      <c r="P930" s="4">
        <v>22000000</v>
      </c>
      <c r="Q930" s="4">
        <v>28000000</v>
      </c>
      <c r="R930" s="4">
        <v>22000000</v>
      </c>
      <c r="S930" s="4">
        <v>28000000</v>
      </c>
      <c r="T930" s="4">
        <v>22000000</v>
      </c>
      <c r="U930" s="4">
        <v>28000000</v>
      </c>
      <c r="V930" s="4">
        <v>22000000</v>
      </c>
      <c r="W930" s="4">
        <v>28000000</v>
      </c>
      <c r="X930" s="4">
        <v>22000000</v>
      </c>
      <c r="Y930" s="4">
        <v>28000000</v>
      </c>
    </row>
    <row r="931" spans="1:25" ht="19.5" customHeight="1" x14ac:dyDescent="0.25">
      <c r="A931" s="2" t="s">
        <v>2378</v>
      </c>
      <c r="B931" s="2" t="s">
        <v>54</v>
      </c>
      <c r="C931" s="2" t="s">
        <v>54</v>
      </c>
      <c r="D931" s="2" t="s">
        <v>2382</v>
      </c>
      <c r="E931" s="2" t="s">
        <v>2383</v>
      </c>
      <c r="F931" s="3">
        <v>1416519.65</v>
      </c>
      <c r="G931" s="3">
        <v>1743742</v>
      </c>
      <c r="H931" s="3">
        <v>1924111</v>
      </c>
      <c r="I931" s="3">
        <v>1962955</v>
      </c>
      <c r="J931" s="3">
        <v>1924111</v>
      </c>
      <c r="K931" s="3">
        <v>1962955</v>
      </c>
      <c r="L931" s="4">
        <v>1924111</v>
      </c>
      <c r="M931" s="4">
        <v>1962955</v>
      </c>
      <c r="N931" s="4">
        <v>1924111</v>
      </c>
      <c r="O931" s="4">
        <v>1962955</v>
      </c>
      <c r="P931" s="4">
        <v>1924111</v>
      </c>
      <c r="Q931" s="4">
        <v>1962955</v>
      </c>
      <c r="R931" s="4">
        <v>1924111</v>
      </c>
      <c r="S931" s="4">
        <v>1962955</v>
      </c>
      <c r="T931" s="4">
        <v>1924111</v>
      </c>
      <c r="U931" s="4">
        <v>1962955</v>
      </c>
      <c r="V931" s="4">
        <v>1924111</v>
      </c>
      <c r="W931" s="4">
        <v>1962955</v>
      </c>
      <c r="X931" s="4">
        <v>1924111</v>
      </c>
      <c r="Y931" s="4">
        <v>1962955</v>
      </c>
    </row>
    <row r="932" spans="1:25" ht="19.5" customHeight="1" x14ac:dyDescent="0.25">
      <c r="A932" s="2" t="s">
        <v>2378</v>
      </c>
      <c r="B932" s="2" t="s">
        <v>54</v>
      </c>
      <c r="C932" s="2" t="s">
        <v>54</v>
      </c>
      <c r="D932" s="2" t="s">
        <v>2384</v>
      </c>
      <c r="E932" s="2" t="s">
        <v>612</v>
      </c>
      <c r="F932" s="3">
        <v>1122050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4">
        <v>0</v>
      </c>
      <c r="M932" s="4">
        <v>0</v>
      </c>
      <c r="N932" s="4">
        <v>0</v>
      </c>
      <c r="O932" s="4">
        <v>0</v>
      </c>
      <c r="P932" s="4">
        <v>0</v>
      </c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</row>
    <row r="933" spans="1:25" ht="19.5" customHeight="1" x14ac:dyDescent="0.25">
      <c r="A933" s="2" t="s">
        <v>2378</v>
      </c>
      <c r="B933" s="2" t="s">
        <v>54</v>
      </c>
      <c r="C933" s="2" t="s">
        <v>54</v>
      </c>
      <c r="D933" s="2" t="s">
        <v>2385</v>
      </c>
      <c r="E933" s="2" t="s">
        <v>2386</v>
      </c>
      <c r="F933" s="3">
        <v>412148221.27999997</v>
      </c>
      <c r="G933" s="3">
        <v>290497416</v>
      </c>
      <c r="H933" s="3">
        <v>427000000</v>
      </c>
      <c r="I933" s="3">
        <v>390000000</v>
      </c>
      <c r="J933" s="3">
        <v>427000000</v>
      </c>
      <c r="K933" s="3">
        <v>390000000</v>
      </c>
      <c r="L933" s="4">
        <v>427000000</v>
      </c>
      <c r="M933" s="4">
        <v>390000000</v>
      </c>
      <c r="N933" s="4">
        <v>427000000</v>
      </c>
      <c r="O933" s="4">
        <v>390000000</v>
      </c>
      <c r="P933" s="4">
        <v>427000000</v>
      </c>
      <c r="Q933" s="4">
        <v>390000000</v>
      </c>
      <c r="R933" s="4">
        <v>427000000</v>
      </c>
      <c r="S933" s="4">
        <v>390000000</v>
      </c>
      <c r="T933" s="4">
        <v>427000000</v>
      </c>
      <c r="U933" s="4">
        <v>390000000</v>
      </c>
      <c r="V933" s="4">
        <v>427000000</v>
      </c>
      <c r="W933" s="4">
        <v>390000000</v>
      </c>
      <c r="X933" s="4">
        <v>427000000</v>
      </c>
      <c r="Y933" s="4">
        <v>390000000</v>
      </c>
    </row>
    <row r="934" spans="1:25" ht="19.5" customHeight="1" x14ac:dyDescent="0.25">
      <c r="A934" s="2" t="s">
        <v>2378</v>
      </c>
      <c r="B934" s="2" t="s">
        <v>243</v>
      </c>
      <c r="C934" s="2" t="s">
        <v>2387</v>
      </c>
      <c r="D934" s="2" t="s">
        <v>2388</v>
      </c>
      <c r="E934" s="2" t="s">
        <v>2389</v>
      </c>
      <c r="F934" s="3">
        <v>7743587.3300000001</v>
      </c>
      <c r="G934" s="3">
        <v>8050000</v>
      </c>
      <c r="H934" s="3">
        <v>8257500</v>
      </c>
      <c r="I934" s="3">
        <v>8546513</v>
      </c>
      <c r="J934" s="3">
        <v>8257500</v>
      </c>
      <c r="K934" s="3">
        <v>8546513</v>
      </c>
      <c r="L934" s="4">
        <v>8257500</v>
      </c>
      <c r="M934" s="4">
        <v>8546513</v>
      </c>
      <c r="N934" s="4">
        <v>8257500</v>
      </c>
      <c r="O934" s="4">
        <v>8546513</v>
      </c>
      <c r="P934" s="4">
        <v>8257500</v>
      </c>
      <c r="Q934" s="4">
        <v>8546513</v>
      </c>
      <c r="R934" s="4">
        <v>8257500</v>
      </c>
      <c r="S934" s="4">
        <v>8546513</v>
      </c>
      <c r="T934" s="4">
        <v>8257500</v>
      </c>
      <c r="U934" s="4">
        <v>8546513</v>
      </c>
      <c r="V934" s="4">
        <v>8257500</v>
      </c>
      <c r="W934" s="4">
        <v>8546513</v>
      </c>
      <c r="X934" s="4">
        <v>8257500</v>
      </c>
      <c r="Y934" s="4">
        <v>8546513</v>
      </c>
    </row>
    <row r="935" spans="1:25" ht="19.5" customHeight="1" x14ac:dyDescent="0.25">
      <c r="A935" s="2" t="s">
        <v>2390</v>
      </c>
      <c r="B935" s="2" t="s">
        <v>16</v>
      </c>
      <c r="C935" s="2" t="s">
        <v>20</v>
      </c>
      <c r="D935" s="2" t="s">
        <v>2391</v>
      </c>
      <c r="E935" s="2" t="s">
        <v>22</v>
      </c>
      <c r="F935" s="3">
        <v>929169.9</v>
      </c>
      <c r="G935" s="3">
        <v>1032881</v>
      </c>
      <c r="H935" s="3">
        <v>1130516</v>
      </c>
      <c r="I935" s="3">
        <v>1171398</v>
      </c>
      <c r="J935" s="3">
        <v>1130516</v>
      </c>
      <c r="K935" s="3">
        <v>1171398</v>
      </c>
      <c r="L935" s="4">
        <v>1130516</v>
      </c>
      <c r="M935" s="4">
        <v>1171398</v>
      </c>
      <c r="N935" s="4">
        <v>1130516</v>
      </c>
      <c r="O935" s="4">
        <v>1171398</v>
      </c>
      <c r="P935" s="4">
        <v>1130516</v>
      </c>
      <c r="Q935" s="4">
        <v>1171398</v>
      </c>
      <c r="R935" s="4">
        <v>1130516</v>
      </c>
      <c r="S935" s="4">
        <v>1171398</v>
      </c>
      <c r="T935" s="4">
        <v>1130516</v>
      </c>
      <c r="U935" s="4">
        <v>1171398</v>
      </c>
      <c r="V935" s="4">
        <v>1130516</v>
      </c>
      <c r="W935" s="4">
        <v>1171398</v>
      </c>
      <c r="X935" s="4">
        <v>1130516</v>
      </c>
      <c r="Y935" s="4">
        <v>1171398</v>
      </c>
    </row>
    <row r="936" spans="1:25" ht="19.5" customHeight="1" x14ac:dyDescent="0.25">
      <c r="A936" s="2" t="s">
        <v>2390</v>
      </c>
      <c r="B936" s="2" t="s">
        <v>54</v>
      </c>
      <c r="C936" s="2" t="s">
        <v>54</v>
      </c>
      <c r="D936" s="2" t="s">
        <v>2392</v>
      </c>
      <c r="E936" s="2" t="s">
        <v>2393</v>
      </c>
      <c r="F936" s="3">
        <v>60778.47</v>
      </c>
      <c r="G936" s="3">
        <v>800000</v>
      </c>
      <c r="H936" s="3">
        <v>1000000</v>
      </c>
      <c r="I936" s="3">
        <v>1000000</v>
      </c>
      <c r="J936" s="3">
        <v>1000000</v>
      </c>
      <c r="K936" s="3">
        <v>1000000</v>
      </c>
      <c r="L936" s="4">
        <v>1000000</v>
      </c>
      <c r="M936" s="4">
        <v>1000000</v>
      </c>
      <c r="N936" s="4">
        <v>1000000</v>
      </c>
      <c r="O936" s="4">
        <v>1000000</v>
      </c>
      <c r="P936" s="4">
        <v>1000000</v>
      </c>
      <c r="Q936" s="4">
        <v>1000000</v>
      </c>
      <c r="R936" s="4">
        <v>1000000</v>
      </c>
      <c r="S936" s="4">
        <v>1000000</v>
      </c>
      <c r="T936" s="4">
        <v>1000000</v>
      </c>
      <c r="U936" s="4">
        <v>1000000</v>
      </c>
      <c r="V936" s="4">
        <v>1000000</v>
      </c>
      <c r="W936" s="4">
        <v>1000000</v>
      </c>
      <c r="X936" s="4">
        <v>1000000</v>
      </c>
      <c r="Y936" s="4">
        <v>1000000</v>
      </c>
    </row>
    <row r="937" spans="1:25" ht="19.5" customHeight="1" x14ac:dyDescent="0.25">
      <c r="A937" s="2" t="s">
        <v>2394</v>
      </c>
      <c r="B937" s="2" t="s">
        <v>54</v>
      </c>
      <c r="C937" s="2" t="s">
        <v>54</v>
      </c>
      <c r="D937" s="2" t="s">
        <v>2395</v>
      </c>
      <c r="E937" s="2" t="s">
        <v>22</v>
      </c>
      <c r="F937" s="3">
        <v>2985707.99</v>
      </c>
      <c r="G937" s="3">
        <v>2728922</v>
      </c>
      <c r="H937" s="3">
        <v>2973034</v>
      </c>
      <c r="I937" s="3">
        <v>2973034</v>
      </c>
      <c r="J937" s="3">
        <v>2973034</v>
      </c>
      <c r="K937" s="3">
        <v>2973034</v>
      </c>
      <c r="L937" s="4">
        <v>2973034</v>
      </c>
      <c r="M937" s="4">
        <v>2973034</v>
      </c>
      <c r="N937" s="4">
        <v>2973034</v>
      </c>
      <c r="O937" s="4">
        <v>2973034</v>
      </c>
      <c r="P937" s="4">
        <v>2973034</v>
      </c>
      <c r="Q937" s="4">
        <v>2973034</v>
      </c>
      <c r="R937" s="4">
        <v>2973034</v>
      </c>
      <c r="S937" s="4">
        <v>2973034</v>
      </c>
      <c r="T937" s="4">
        <v>2973034</v>
      </c>
      <c r="U937" s="4">
        <v>2973034</v>
      </c>
      <c r="V937" s="4">
        <v>2973034</v>
      </c>
      <c r="W937" s="4">
        <v>2973034</v>
      </c>
      <c r="X937" s="4">
        <v>2973034</v>
      </c>
      <c r="Y937" s="4">
        <v>2973034</v>
      </c>
    </row>
    <row r="938" spans="1:25" ht="19.5" customHeight="1" x14ac:dyDescent="0.25">
      <c r="A938" s="2" t="s">
        <v>2394</v>
      </c>
      <c r="B938" s="2" t="s">
        <v>243</v>
      </c>
      <c r="C938" s="2" t="s">
        <v>2396</v>
      </c>
      <c r="D938" s="2" t="s">
        <v>2397</v>
      </c>
      <c r="E938" s="2" t="s">
        <v>2398</v>
      </c>
      <c r="F938" s="3">
        <v>572572.9</v>
      </c>
      <c r="G938" s="3">
        <v>619988</v>
      </c>
      <c r="H938" s="3">
        <v>619988</v>
      </c>
      <c r="I938" s="3">
        <v>619988</v>
      </c>
      <c r="J938" s="3">
        <v>619988</v>
      </c>
      <c r="K938" s="3">
        <v>619988</v>
      </c>
      <c r="L938" s="4">
        <v>619988</v>
      </c>
      <c r="M938" s="4">
        <v>619988</v>
      </c>
      <c r="N938" s="4">
        <v>619988</v>
      </c>
      <c r="O938" s="4">
        <v>619988</v>
      </c>
      <c r="P938" s="4">
        <v>619988</v>
      </c>
      <c r="Q938" s="4">
        <v>619988</v>
      </c>
      <c r="R938" s="4">
        <v>619988</v>
      </c>
      <c r="S938" s="4">
        <v>619988</v>
      </c>
      <c r="T938" s="4">
        <v>619988</v>
      </c>
      <c r="U938" s="4">
        <v>619988</v>
      </c>
      <c r="V938" s="4">
        <v>619988</v>
      </c>
      <c r="W938" s="4">
        <v>619988</v>
      </c>
      <c r="X938" s="4">
        <v>619988</v>
      </c>
      <c r="Y938" s="4">
        <v>619988</v>
      </c>
    </row>
    <row r="939" spans="1:25" ht="19.5" customHeight="1" x14ac:dyDescent="0.25">
      <c r="A939" s="2" t="s">
        <v>2399</v>
      </c>
      <c r="B939" s="2" t="s">
        <v>16</v>
      </c>
      <c r="C939" s="2" t="s">
        <v>2400</v>
      </c>
      <c r="D939" s="2" t="s">
        <v>2401</v>
      </c>
      <c r="E939" s="2" t="s">
        <v>22</v>
      </c>
      <c r="F939" s="3">
        <v>5938.79</v>
      </c>
      <c r="G939" s="3">
        <v>12500</v>
      </c>
      <c r="H939" s="3">
        <v>12500</v>
      </c>
      <c r="I939" s="3">
        <v>12500</v>
      </c>
      <c r="J939" s="3">
        <v>12500</v>
      </c>
      <c r="K939" s="3">
        <v>12500</v>
      </c>
      <c r="L939" s="4">
        <v>12500</v>
      </c>
      <c r="M939" s="4">
        <v>12500</v>
      </c>
      <c r="N939" s="4">
        <v>12500</v>
      </c>
      <c r="O939" s="4">
        <v>12500</v>
      </c>
      <c r="P939" s="4">
        <v>12500</v>
      </c>
      <c r="Q939" s="4">
        <v>12500</v>
      </c>
      <c r="R939" s="4">
        <v>12500</v>
      </c>
      <c r="S939" s="4">
        <v>12500</v>
      </c>
      <c r="T939" s="4">
        <v>12500</v>
      </c>
      <c r="U939" s="4">
        <v>12500</v>
      </c>
      <c r="V939" s="4">
        <v>12500</v>
      </c>
      <c r="W939" s="4">
        <v>12500</v>
      </c>
      <c r="X939" s="4">
        <v>12500</v>
      </c>
      <c r="Y939" s="4">
        <v>12500</v>
      </c>
    </row>
    <row r="940" spans="1:25" ht="19.5" customHeight="1" x14ac:dyDescent="0.25">
      <c r="A940" s="2" t="s">
        <v>2402</v>
      </c>
      <c r="B940" s="2" t="s">
        <v>16</v>
      </c>
      <c r="C940" s="2" t="s">
        <v>2403</v>
      </c>
      <c r="D940" s="2" t="s">
        <v>2404</v>
      </c>
      <c r="E940" s="2" t="s">
        <v>2405</v>
      </c>
      <c r="F940" s="4">
        <v>12218390.380000001</v>
      </c>
      <c r="G940" s="3">
        <v>13190208</v>
      </c>
      <c r="H940" s="3">
        <v>13258659</v>
      </c>
      <c r="I940" s="3">
        <v>13491862</v>
      </c>
      <c r="J940" s="3">
        <v>13258659</v>
      </c>
      <c r="K940" s="3">
        <v>13491862</v>
      </c>
      <c r="L940" s="4">
        <v>14855643</v>
      </c>
      <c r="M940" s="4">
        <v>15136756</v>
      </c>
      <c r="N940" s="4">
        <v>14855643</v>
      </c>
      <c r="O940" s="4">
        <v>15136756</v>
      </c>
      <c r="P940" s="4">
        <v>14855643</v>
      </c>
      <c r="Q940" s="4">
        <v>15136756</v>
      </c>
      <c r="R940" s="4">
        <v>14855643</v>
      </c>
      <c r="S940" s="4">
        <v>15136756</v>
      </c>
      <c r="T940" s="4">
        <v>14855643</v>
      </c>
      <c r="U940" s="4">
        <v>15136756</v>
      </c>
      <c r="V940" s="4">
        <v>14855643</v>
      </c>
      <c r="W940" s="4">
        <v>15136756</v>
      </c>
      <c r="X940" s="4">
        <v>14855643</v>
      </c>
      <c r="Y940" s="4">
        <v>15136756</v>
      </c>
    </row>
    <row r="941" spans="1:25" ht="19.5" customHeight="1" x14ac:dyDescent="0.25">
      <c r="A941" s="6" t="s">
        <v>2406</v>
      </c>
      <c r="B941" s="6" t="s">
        <v>54</v>
      </c>
      <c r="C941" s="6" t="s">
        <v>54</v>
      </c>
      <c r="D941" s="7" t="s">
        <v>2407</v>
      </c>
      <c r="E941" s="6" t="s">
        <v>22</v>
      </c>
      <c r="F941" s="4">
        <v>0</v>
      </c>
      <c r="G941" s="4">
        <v>0</v>
      </c>
      <c r="H941" s="4">
        <v>0</v>
      </c>
      <c r="I941" s="4">
        <v>0</v>
      </c>
      <c r="J941" s="4">
        <v>100000</v>
      </c>
      <c r="K941" s="4">
        <v>100000</v>
      </c>
      <c r="L941" s="4">
        <v>100000</v>
      </c>
      <c r="M941" s="4">
        <v>100000</v>
      </c>
      <c r="N941" s="4">
        <v>100000</v>
      </c>
      <c r="O941" s="4">
        <v>100000</v>
      </c>
      <c r="P941" s="4">
        <v>0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</row>
    <row r="942" spans="1:25" ht="19.5" customHeight="1" x14ac:dyDescent="0.25">
      <c r="A942" s="2" t="s">
        <v>2408</v>
      </c>
      <c r="B942" s="2" t="s">
        <v>54</v>
      </c>
      <c r="C942" s="2" t="s">
        <v>54</v>
      </c>
      <c r="D942" s="2" t="s">
        <v>2409</v>
      </c>
      <c r="E942" s="2" t="s">
        <v>22</v>
      </c>
      <c r="F942" s="3">
        <v>1327954.49</v>
      </c>
      <c r="G942" s="3">
        <v>1375000</v>
      </c>
      <c r="H942" s="3">
        <v>1403910</v>
      </c>
      <c r="I942" s="3">
        <v>1437000</v>
      </c>
      <c r="J942" s="3">
        <v>1403910</v>
      </c>
      <c r="K942" s="3">
        <v>1437000</v>
      </c>
      <c r="L942" s="4">
        <v>1403910</v>
      </c>
      <c r="M942" s="4">
        <v>1437000</v>
      </c>
      <c r="N942" s="4">
        <v>1403910</v>
      </c>
      <c r="O942" s="4">
        <v>1437000</v>
      </c>
      <c r="P942" s="4">
        <v>1403910</v>
      </c>
      <c r="Q942" s="4">
        <v>1437000</v>
      </c>
      <c r="R942" s="4">
        <v>1403910</v>
      </c>
      <c r="S942" s="4">
        <v>1437000</v>
      </c>
      <c r="T942" s="4">
        <v>1403910</v>
      </c>
      <c r="U942" s="4">
        <v>1437000</v>
      </c>
      <c r="V942" s="4">
        <v>1403910</v>
      </c>
      <c r="W942" s="4">
        <v>1437000</v>
      </c>
      <c r="X942" s="4">
        <v>1403910</v>
      </c>
      <c r="Y942" s="4">
        <v>1437000</v>
      </c>
    </row>
    <row r="943" spans="1:25" ht="19.5" customHeight="1" x14ac:dyDescent="0.25">
      <c r="A943" s="2" t="s">
        <v>2408</v>
      </c>
      <c r="B943" s="2" t="s">
        <v>243</v>
      </c>
      <c r="C943" s="2" t="s">
        <v>2410</v>
      </c>
      <c r="D943" s="2" t="s">
        <v>2411</v>
      </c>
      <c r="E943" s="2" t="s">
        <v>2412</v>
      </c>
      <c r="F943" s="3">
        <v>388925.88</v>
      </c>
      <c r="G943" s="3">
        <v>389500</v>
      </c>
      <c r="H943" s="3">
        <v>400000</v>
      </c>
      <c r="I943" s="3">
        <v>400000</v>
      </c>
      <c r="J943" s="3">
        <v>400000</v>
      </c>
      <c r="K943" s="3">
        <v>400000</v>
      </c>
      <c r="L943" s="4">
        <v>400000</v>
      </c>
      <c r="M943" s="4">
        <v>400000</v>
      </c>
      <c r="N943" s="4">
        <v>400000</v>
      </c>
      <c r="O943" s="4">
        <v>400000</v>
      </c>
      <c r="P943" s="4">
        <v>400000</v>
      </c>
      <c r="Q943" s="4">
        <v>400000</v>
      </c>
      <c r="R943" s="4">
        <v>400000</v>
      </c>
      <c r="S943" s="4">
        <v>400000</v>
      </c>
      <c r="T943" s="4">
        <v>400000</v>
      </c>
      <c r="U943" s="4">
        <v>400000</v>
      </c>
      <c r="V943" s="4">
        <v>400000</v>
      </c>
      <c r="W943" s="4">
        <v>400000</v>
      </c>
      <c r="X943" s="4">
        <v>400000</v>
      </c>
      <c r="Y943" s="4">
        <v>400000</v>
      </c>
    </row>
    <row r="944" spans="1:25" ht="19.5" customHeight="1" x14ac:dyDescent="0.25">
      <c r="A944" s="2" t="s">
        <v>2408</v>
      </c>
      <c r="B944" s="2" t="s">
        <v>243</v>
      </c>
      <c r="C944" s="2" t="s">
        <v>2413</v>
      </c>
      <c r="D944" s="2" t="s">
        <v>2414</v>
      </c>
      <c r="E944" s="2" t="s">
        <v>2415</v>
      </c>
      <c r="F944" s="4">
        <v>404587.44</v>
      </c>
      <c r="G944" s="3">
        <v>407500</v>
      </c>
      <c r="H944" s="3">
        <v>425000</v>
      </c>
      <c r="I944" s="3">
        <v>425000</v>
      </c>
      <c r="J944" s="3">
        <v>425000</v>
      </c>
      <c r="K944" s="3">
        <v>425000</v>
      </c>
      <c r="L944" s="4">
        <v>425000</v>
      </c>
      <c r="M944" s="4">
        <v>425000</v>
      </c>
      <c r="N944" s="4">
        <v>425000</v>
      </c>
      <c r="O944" s="4">
        <v>425000</v>
      </c>
      <c r="P944" s="4">
        <v>425000</v>
      </c>
      <c r="Q944" s="4">
        <v>425000</v>
      </c>
      <c r="R944" s="4">
        <v>425000</v>
      </c>
      <c r="S944" s="4">
        <v>425000</v>
      </c>
      <c r="T944" s="4">
        <v>425000</v>
      </c>
      <c r="U944" s="4">
        <v>425000</v>
      </c>
      <c r="V944" s="4">
        <v>425000</v>
      </c>
      <c r="W944" s="4">
        <v>425000</v>
      </c>
      <c r="X944" s="4">
        <v>425000</v>
      </c>
      <c r="Y944" s="4">
        <v>425000</v>
      </c>
    </row>
    <row r="945" spans="1:25" ht="19.5" customHeight="1" x14ac:dyDescent="0.25">
      <c r="A945" s="2" t="s">
        <v>2416</v>
      </c>
      <c r="B945" s="2" t="s">
        <v>16</v>
      </c>
      <c r="C945" s="2" t="s">
        <v>2417</v>
      </c>
      <c r="D945" s="2" t="s">
        <v>2418</v>
      </c>
      <c r="E945" s="2" t="s">
        <v>2419</v>
      </c>
      <c r="F945" s="3">
        <v>227381.39</v>
      </c>
      <c r="G945" s="3">
        <v>180000</v>
      </c>
      <c r="H945" s="3">
        <v>180000</v>
      </c>
      <c r="I945" s="3">
        <v>180000</v>
      </c>
      <c r="J945" s="3">
        <v>180000</v>
      </c>
      <c r="K945" s="3">
        <v>180000</v>
      </c>
      <c r="L945" s="4">
        <v>180000</v>
      </c>
      <c r="M945" s="4">
        <v>180000</v>
      </c>
      <c r="N945" s="4">
        <v>180000</v>
      </c>
      <c r="O945" s="4">
        <v>180000</v>
      </c>
      <c r="P945" s="4">
        <v>180000</v>
      </c>
      <c r="Q945" s="4">
        <v>180000</v>
      </c>
      <c r="R945" s="4">
        <v>180000</v>
      </c>
      <c r="S945" s="4">
        <v>180000</v>
      </c>
      <c r="T945" s="4">
        <v>180000</v>
      </c>
      <c r="U945" s="4">
        <v>180000</v>
      </c>
      <c r="V945" s="4">
        <v>180000</v>
      </c>
      <c r="W945" s="4">
        <v>180000</v>
      </c>
      <c r="X945" s="4">
        <v>180000</v>
      </c>
      <c r="Y945" s="4">
        <v>180000</v>
      </c>
    </row>
    <row r="946" spans="1:25" ht="19.5" customHeight="1" x14ac:dyDescent="0.25">
      <c r="A946" s="2" t="s">
        <v>2416</v>
      </c>
      <c r="B946" s="2" t="s">
        <v>16</v>
      </c>
      <c r="C946" s="2" t="s">
        <v>2417</v>
      </c>
      <c r="D946" s="2" t="s">
        <v>2420</v>
      </c>
      <c r="E946" s="2" t="s">
        <v>22</v>
      </c>
      <c r="F946" s="3">
        <v>26490531.579999998</v>
      </c>
      <c r="G946" s="3">
        <v>29554070.300000001</v>
      </c>
      <c r="H946" s="3">
        <v>30861244</v>
      </c>
      <c r="I946" s="3">
        <v>30861244</v>
      </c>
      <c r="J946" s="3">
        <v>30861244</v>
      </c>
      <c r="K946" s="3">
        <v>30861244</v>
      </c>
      <c r="L946" s="4">
        <v>30861244</v>
      </c>
      <c r="M946" s="4">
        <v>30861244</v>
      </c>
      <c r="N946" s="4">
        <v>30861244</v>
      </c>
      <c r="O946" s="4">
        <v>30861244</v>
      </c>
      <c r="P946" s="4">
        <v>30861244</v>
      </c>
      <c r="Q946" s="4">
        <v>30861244</v>
      </c>
      <c r="R946" s="4">
        <v>30861244</v>
      </c>
      <c r="S946" s="4">
        <v>30861244</v>
      </c>
      <c r="T946" s="4">
        <v>30861244</v>
      </c>
      <c r="U946" s="4">
        <v>30861244</v>
      </c>
      <c r="V946" s="4">
        <v>30861244</v>
      </c>
      <c r="W946" s="4">
        <v>30861244</v>
      </c>
      <c r="X946" s="4">
        <v>30861244</v>
      </c>
      <c r="Y946" s="4">
        <v>30861244</v>
      </c>
    </row>
    <row r="947" spans="1:25" ht="19.5" customHeight="1" x14ac:dyDescent="0.25">
      <c r="A947" s="2" t="s">
        <v>2416</v>
      </c>
      <c r="B947" s="2" t="s">
        <v>16</v>
      </c>
      <c r="C947" s="2" t="s">
        <v>2421</v>
      </c>
      <c r="D947" s="2" t="s">
        <v>2422</v>
      </c>
      <c r="E947" s="2" t="s">
        <v>2423</v>
      </c>
      <c r="F947" s="3">
        <v>8052679.1399999997</v>
      </c>
      <c r="G947" s="3">
        <v>8903441.8000000007</v>
      </c>
      <c r="H947" s="3">
        <v>9179766</v>
      </c>
      <c r="I947" s="3">
        <v>9179766</v>
      </c>
      <c r="J947" s="3">
        <v>9179766</v>
      </c>
      <c r="K947" s="3">
        <v>9179766</v>
      </c>
      <c r="L947" s="4">
        <v>9179766</v>
      </c>
      <c r="M947" s="4">
        <v>9179766</v>
      </c>
      <c r="N947" s="4">
        <v>9179766</v>
      </c>
      <c r="O947" s="4">
        <v>9179766</v>
      </c>
      <c r="P947" s="4">
        <v>9179766</v>
      </c>
      <c r="Q947" s="4">
        <v>9179766</v>
      </c>
      <c r="R947" s="4">
        <v>9179766</v>
      </c>
      <c r="S947" s="4">
        <v>9179766</v>
      </c>
      <c r="T947" s="4">
        <v>9179766</v>
      </c>
      <c r="U947" s="4">
        <v>9179766</v>
      </c>
      <c r="V947" s="4">
        <v>9179766</v>
      </c>
      <c r="W947" s="4">
        <v>9179766</v>
      </c>
      <c r="X947" s="4">
        <v>9179766</v>
      </c>
      <c r="Y947" s="4">
        <v>9179766</v>
      </c>
    </row>
    <row r="948" spans="1:25" ht="19.5" customHeight="1" x14ac:dyDescent="0.25">
      <c r="A948" s="2" t="s">
        <v>2416</v>
      </c>
      <c r="B948" s="2" t="s">
        <v>16</v>
      </c>
      <c r="C948" s="2" t="s">
        <v>2424</v>
      </c>
      <c r="D948" s="2" t="s">
        <v>2425</v>
      </c>
      <c r="E948" s="2" t="s">
        <v>2426</v>
      </c>
      <c r="F948" s="3">
        <v>349728.27</v>
      </c>
      <c r="G948" s="3">
        <v>355695</v>
      </c>
      <c r="H948" s="3">
        <v>450000</v>
      </c>
      <c r="I948" s="3">
        <v>450000</v>
      </c>
      <c r="J948" s="3">
        <v>450000</v>
      </c>
      <c r="K948" s="3">
        <v>450000</v>
      </c>
      <c r="L948" s="4">
        <v>450000</v>
      </c>
      <c r="M948" s="4">
        <v>450000</v>
      </c>
      <c r="N948" s="4">
        <v>450000</v>
      </c>
      <c r="O948" s="4">
        <v>450000</v>
      </c>
      <c r="P948" s="4">
        <v>450000</v>
      </c>
      <c r="Q948" s="4">
        <v>450000</v>
      </c>
      <c r="R948" s="4">
        <v>450000</v>
      </c>
      <c r="S948" s="4">
        <v>450000</v>
      </c>
      <c r="T948" s="4">
        <v>450000</v>
      </c>
      <c r="U948" s="4">
        <v>450000</v>
      </c>
      <c r="V948" s="4">
        <v>450000</v>
      </c>
      <c r="W948" s="4">
        <v>450000</v>
      </c>
      <c r="X948" s="4">
        <v>450000</v>
      </c>
      <c r="Y948" s="4">
        <v>450000</v>
      </c>
    </row>
    <row r="949" spans="1:25" ht="19.5" customHeight="1" x14ac:dyDescent="0.25">
      <c r="A949" s="2" t="s">
        <v>2416</v>
      </c>
      <c r="B949" s="2" t="s">
        <v>44</v>
      </c>
      <c r="C949" s="2" t="s">
        <v>2427</v>
      </c>
      <c r="D949" s="2" t="s">
        <v>2428</v>
      </c>
      <c r="E949" s="2" t="s">
        <v>2429</v>
      </c>
      <c r="F949" s="3">
        <v>2721175.07</v>
      </c>
      <c r="G949" s="3">
        <v>2717608.6</v>
      </c>
      <c r="H949" s="3">
        <v>2793150</v>
      </c>
      <c r="I949" s="3">
        <v>2793150</v>
      </c>
      <c r="J949" s="3">
        <v>2793150</v>
      </c>
      <c r="K949" s="3">
        <v>2793150</v>
      </c>
      <c r="L949" s="4">
        <v>2793150</v>
      </c>
      <c r="M949" s="4">
        <v>2793150</v>
      </c>
      <c r="N949" s="4">
        <v>2793150</v>
      </c>
      <c r="O949" s="4">
        <v>2793150</v>
      </c>
      <c r="P949" s="4">
        <v>2793150</v>
      </c>
      <c r="Q949" s="4">
        <v>2793150</v>
      </c>
      <c r="R949" s="4">
        <v>2793150</v>
      </c>
      <c r="S949" s="4">
        <v>2793150</v>
      </c>
      <c r="T949" s="4">
        <v>2793150</v>
      </c>
      <c r="U949" s="4">
        <v>2793150</v>
      </c>
      <c r="V949" s="4">
        <v>2793150</v>
      </c>
      <c r="W949" s="4">
        <v>2793150</v>
      </c>
      <c r="X949" s="4">
        <v>2793150</v>
      </c>
      <c r="Y949" s="4">
        <v>2793150</v>
      </c>
    </row>
    <row r="950" spans="1:25" ht="19.5" customHeight="1" x14ac:dyDescent="0.25">
      <c r="A950" s="2" t="s">
        <v>2430</v>
      </c>
      <c r="B950" s="2" t="s">
        <v>16</v>
      </c>
      <c r="C950" s="2" t="s">
        <v>2431</v>
      </c>
      <c r="D950" s="2" t="s">
        <v>2432</v>
      </c>
      <c r="E950" s="2" t="s">
        <v>2433</v>
      </c>
      <c r="F950" s="4">
        <v>421770.19</v>
      </c>
      <c r="G950" s="3">
        <v>480000</v>
      </c>
      <c r="H950" s="3">
        <v>531471</v>
      </c>
      <c r="I950" s="3">
        <v>540421</v>
      </c>
      <c r="J950" s="3">
        <v>531471</v>
      </c>
      <c r="K950" s="3">
        <v>540421</v>
      </c>
      <c r="L950" s="4">
        <v>531471</v>
      </c>
      <c r="M950" s="4">
        <v>540421</v>
      </c>
      <c r="N950" s="4">
        <v>531471</v>
      </c>
      <c r="O950" s="4">
        <v>540421</v>
      </c>
      <c r="P950" s="4">
        <v>531471</v>
      </c>
      <c r="Q950" s="4">
        <v>540421</v>
      </c>
      <c r="R950" s="4">
        <v>531471</v>
      </c>
      <c r="S950" s="4">
        <v>540421</v>
      </c>
      <c r="T950" s="4">
        <v>531471</v>
      </c>
      <c r="U950" s="4">
        <v>540421</v>
      </c>
      <c r="V950" s="4">
        <v>531471</v>
      </c>
      <c r="W950" s="4">
        <v>540421</v>
      </c>
      <c r="X950" s="4">
        <v>531471</v>
      </c>
      <c r="Y950" s="4">
        <v>540421</v>
      </c>
    </row>
    <row r="951" spans="1:25" ht="19.5" customHeight="1" x14ac:dyDescent="0.25">
      <c r="A951" s="2" t="s">
        <v>2430</v>
      </c>
      <c r="B951" s="2" t="s">
        <v>54</v>
      </c>
      <c r="C951" s="2" t="s">
        <v>54</v>
      </c>
      <c r="D951" s="2" t="s">
        <v>2434</v>
      </c>
      <c r="E951" s="2" t="s">
        <v>22</v>
      </c>
      <c r="F951" s="3">
        <v>947250.64</v>
      </c>
      <c r="G951" s="3">
        <v>911305</v>
      </c>
      <c r="H951" s="3">
        <v>1046464</v>
      </c>
      <c r="I951" s="3">
        <v>1083265</v>
      </c>
      <c r="J951" s="3">
        <v>1046464</v>
      </c>
      <c r="K951" s="3">
        <v>1083265</v>
      </c>
      <c r="L951" s="4">
        <v>1046464</v>
      </c>
      <c r="M951" s="4">
        <v>1083265</v>
      </c>
      <c r="N951" s="4">
        <v>1046464</v>
      </c>
      <c r="O951" s="4">
        <v>1083265</v>
      </c>
      <c r="P951" s="4">
        <v>1046464</v>
      </c>
      <c r="Q951" s="4">
        <v>1083265</v>
      </c>
      <c r="R951" s="4">
        <v>1046464</v>
      </c>
      <c r="S951" s="4">
        <v>1083265</v>
      </c>
      <c r="T951" s="4">
        <v>1046464</v>
      </c>
      <c r="U951" s="4">
        <v>1083265</v>
      </c>
      <c r="V951" s="4">
        <v>1046464</v>
      </c>
      <c r="W951" s="4">
        <v>1083265</v>
      </c>
      <c r="X951" s="4">
        <v>1046464</v>
      </c>
      <c r="Y951" s="4">
        <v>1083265</v>
      </c>
    </row>
    <row r="952" spans="1:25" ht="19.5" customHeight="1" x14ac:dyDescent="0.25">
      <c r="A952" s="2" t="s">
        <v>2435</v>
      </c>
      <c r="B952" s="2" t="s">
        <v>54</v>
      </c>
      <c r="C952" s="2" t="s">
        <v>54</v>
      </c>
      <c r="D952" s="2" t="s">
        <v>2436</v>
      </c>
      <c r="E952" s="2" t="s">
        <v>22</v>
      </c>
      <c r="F952" s="3">
        <v>472760.06</v>
      </c>
      <c r="G952" s="3">
        <v>570000</v>
      </c>
      <c r="H952" s="3">
        <v>570000</v>
      </c>
      <c r="I952" s="3">
        <v>570000</v>
      </c>
      <c r="J952" s="3">
        <v>570000</v>
      </c>
      <c r="K952" s="3">
        <v>570000</v>
      </c>
      <c r="L952" s="4">
        <v>570000</v>
      </c>
      <c r="M952" s="4">
        <v>570000</v>
      </c>
      <c r="N952" s="4">
        <v>570000</v>
      </c>
      <c r="O952" s="4">
        <v>570000</v>
      </c>
      <c r="P952" s="4">
        <v>570000</v>
      </c>
      <c r="Q952" s="4">
        <v>570000</v>
      </c>
      <c r="R952" s="4">
        <v>570000</v>
      </c>
      <c r="S952" s="4">
        <v>570000</v>
      </c>
      <c r="T952" s="4">
        <v>570000</v>
      </c>
      <c r="U952" s="4">
        <v>570000</v>
      </c>
      <c r="V952" s="4">
        <v>570000</v>
      </c>
      <c r="W952" s="4">
        <v>570000</v>
      </c>
      <c r="X952" s="4">
        <v>570000</v>
      </c>
      <c r="Y952" s="4">
        <v>570000</v>
      </c>
    </row>
    <row r="953" spans="1:25" ht="19.5" customHeight="1" x14ac:dyDescent="0.25">
      <c r="A953" s="2" t="s">
        <v>2437</v>
      </c>
      <c r="B953" s="2" t="s">
        <v>54</v>
      </c>
      <c r="C953" s="2" t="s">
        <v>54</v>
      </c>
      <c r="D953" s="2" t="s">
        <v>2438</v>
      </c>
      <c r="E953" s="2" t="s">
        <v>22</v>
      </c>
      <c r="F953" s="3">
        <v>92929.32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4">
        <v>0</v>
      </c>
      <c r="M953" s="4">
        <v>0</v>
      </c>
      <c r="N953" s="4">
        <v>0</v>
      </c>
      <c r="O953" s="4">
        <v>0</v>
      </c>
      <c r="P953" s="4">
        <v>0</v>
      </c>
      <c r="Q953" s="4">
        <v>0</v>
      </c>
      <c r="R953" s="4">
        <v>0</v>
      </c>
      <c r="S953" s="4">
        <v>0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</row>
    <row r="954" spans="1:25" ht="19.5" customHeight="1" x14ac:dyDescent="0.25">
      <c r="A954" s="2" t="s">
        <v>2439</v>
      </c>
      <c r="B954" s="2" t="s">
        <v>16</v>
      </c>
      <c r="C954" s="2" t="s">
        <v>2440</v>
      </c>
      <c r="D954" s="2" t="s">
        <v>2441</v>
      </c>
      <c r="E954" s="2" t="s">
        <v>2442</v>
      </c>
      <c r="F954" s="3">
        <v>4421962.12</v>
      </c>
      <c r="G954" s="3">
        <v>6000000</v>
      </c>
      <c r="H954" s="3">
        <v>6000000</v>
      </c>
      <c r="I954" s="3">
        <v>6000000</v>
      </c>
      <c r="J954" s="3">
        <v>6000000</v>
      </c>
      <c r="K954" s="3">
        <v>6000000</v>
      </c>
      <c r="L954" s="4">
        <v>6000000</v>
      </c>
      <c r="M954" s="4">
        <v>6000000</v>
      </c>
      <c r="N954" s="4">
        <v>6000000</v>
      </c>
      <c r="O954" s="4">
        <v>6000000</v>
      </c>
      <c r="P954" s="4">
        <v>6000000</v>
      </c>
      <c r="Q954" s="4">
        <v>6000000</v>
      </c>
      <c r="R954" s="4">
        <v>6000000</v>
      </c>
      <c r="S954" s="4">
        <v>6000000</v>
      </c>
      <c r="T954" s="4">
        <v>6000000</v>
      </c>
      <c r="U954" s="4">
        <v>6000000</v>
      </c>
      <c r="V954" s="4">
        <v>6000000</v>
      </c>
      <c r="W954" s="4">
        <v>6000000</v>
      </c>
      <c r="X954" s="4">
        <v>6000000</v>
      </c>
      <c r="Y954" s="4">
        <v>6000000</v>
      </c>
    </row>
    <row r="955" spans="1:25" ht="19.5" customHeight="1" x14ac:dyDescent="0.25">
      <c r="A955" s="6" t="s">
        <v>2439</v>
      </c>
      <c r="B955" s="6" t="s">
        <v>16</v>
      </c>
      <c r="C955" s="7" t="s">
        <v>2443</v>
      </c>
      <c r="D955" s="7" t="s">
        <v>2444</v>
      </c>
      <c r="E955" s="6" t="s">
        <v>2445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9">
        <v>0</v>
      </c>
      <c r="N955" s="9">
        <v>0</v>
      </c>
      <c r="O955" s="9">
        <v>0</v>
      </c>
      <c r="P955" s="4">
        <v>1100000</v>
      </c>
      <c r="Q955" s="4">
        <v>1100000</v>
      </c>
      <c r="R955" s="4">
        <v>1100000</v>
      </c>
      <c r="S955" s="4">
        <v>1100000</v>
      </c>
      <c r="T955" s="4">
        <v>1100000</v>
      </c>
      <c r="U955" s="4">
        <v>1100000</v>
      </c>
      <c r="V955" s="4">
        <v>1100000</v>
      </c>
      <c r="W955" s="4">
        <v>1100000</v>
      </c>
      <c r="X955" s="4">
        <v>1100000</v>
      </c>
      <c r="Y955" s="4">
        <v>1100000</v>
      </c>
    </row>
    <row r="956" spans="1:25" ht="19.5" customHeight="1" x14ac:dyDescent="0.25">
      <c r="A956" s="2" t="s">
        <v>2439</v>
      </c>
      <c r="B956" s="2" t="s">
        <v>16</v>
      </c>
      <c r="C956" s="2" t="s">
        <v>2446</v>
      </c>
      <c r="D956" s="2" t="s">
        <v>2447</v>
      </c>
      <c r="E956" s="2" t="s">
        <v>2448</v>
      </c>
      <c r="F956" s="3">
        <v>30217961.949999999</v>
      </c>
      <c r="G956" s="3">
        <v>32000000</v>
      </c>
      <c r="H956" s="3">
        <v>20000000</v>
      </c>
      <c r="I956" s="3">
        <v>20000000</v>
      </c>
      <c r="J956" s="3">
        <v>20000000</v>
      </c>
      <c r="K956" s="3">
        <v>20000000</v>
      </c>
      <c r="L956" s="4">
        <v>20000000</v>
      </c>
      <c r="M956" s="4">
        <v>20000000</v>
      </c>
      <c r="N956" s="4">
        <v>20000000</v>
      </c>
      <c r="O956" s="4">
        <v>20000000</v>
      </c>
      <c r="P956" s="4">
        <v>20000000</v>
      </c>
      <c r="Q956" s="4">
        <v>20000000</v>
      </c>
      <c r="R956" s="4">
        <v>20000000</v>
      </c>
      <c r="S956" s="4">
        <v>20000000</v>
      </c>
      <c r="T956" s="4">
        <v>20000000</v>
      </c>
      <c r="U956" s="4">
        <v>20000000</v>
      </c>
      <c r="V956" s="4">
        <v>20000000</v>
      </c>
      <c r="W956" s="4">
        <v>20000000</v>
      </c>
      <c r="X956" s="4">
        <v>20000000</v>
      </c>
      <c r="Y956" s="4">
        <v>20000000</v>
      </c>
    </row>
    <row r="957" spans="1:25" ht="19.5" customHeight="1" x14ac:dyDescent="0.25">
      <c r="A957" s="2" t="s">
        <v>2439</v>
      </c>
      <c r="B957" s="2" t="s">
        <v>16</v>
      </c>
      <c r="C957" s="2" t="s">
        <v>2449</v>
      </c>
      <c r="D957" s="2" t="s">
        <v>2450</v>
      </c>
      <c r="E957" s="2" t="s">
        <v>2451</v>
      </c>
      <c r="F957" s="3">
        <v>12959449.880000001</v>
      </c>
      <c r="G957" s="3">
        <v>12900000</v>
      </c>
      <c r="H957" s="3">
        <v>9250000</v>
      </c>
      <c r="I957" s="3">
        <v>9250000</v>
      </c>
      <c r="J957" s="3">
        <v>9250000</v>
      </c>
      <c r="K957" s="3">
        <v>9250000</v>
      </c>
      <c r="L957" s="4">
        <v>9250000</v>
      </c>
      <c r="M957" s="4">
        <v>9250000</v>
      </c>
      <c r="N957" s="4">
        <v>9250000</v>
      </c>
      <c r="O957" s="4">
        <v>9250000</v>
      </c>
      <c r="P957" s="4">
        <v>9250000</v>
      </c>
      <c r="Q957" s="4">
        <v>9250000</v>
      </c>
      <c r="R957" s="4">
        <v>9250000</v>
      </c>
      <c r="S957" s="4">
        <v>9250000</v>
      </c>
      <c r="T957" s="4">
        <v>9250000</v>
      </c>
      <c r="U957" s="4">
        <v>9250000</v>
      </c>
      <c r="V957" s="4">
        <v>9250000</v>
      </c>
      <c r="W957" s="4">
        <v>9250000</v>
      </c>
      <c r="X957" s="4">
        <v>9250000</v>
      </c>
      <c r="Y957" s="4">
        <v>9250000</v>
      </c>
    </row>
    <row r="958" spans="1:25" ht="19.5" customHeight="1" x14ac:dyDescent="0.25">
      <c r="A958" s="2" t="s">
        <v>2439</v>
      </c>
      <c r="B958" s="2" t="s">
        <v>16</v>
      </c>
      <c r="C958" s="2" t="s">
        <v>2452</v>
      </c>
      <c r="D958" s="2" t="s">
        <v>2453</v>
      </c>
      <c r="E958" s="2" t="s">
        <v>2454</v>
      </c>
      <c r="F958" s="4">
        <v>190891.51</v>
      </c>
      <c r="G958" s="3">
        <v>650000</v>
      </c>
      <c r="H958" s="3">
        <v>650000</v>
      </c>
      <c r="I958" s="3">
        <v>650000</v>
      </c>
      <c r="J958" s="3">
        <v>650000</v>
      </c>
      <c r="K958" s="3">
        <v>650000</v>
      </c>
      <c r="L958" s="4">
        <v>650000</v>
      </c>
      <c r="M958" s="4">
        <v>650000</v>
      </c>
      <c r="N958" s="4">
        <v>650000</v>
      </c>
      <c r="O958" s="4">
        <v>650000</v>
      </c>
      <c r="P958" s="4">
        <v>650000</v>
      </c>
      <c r="Q958" s="4">
        <v>650000</v>
      </c>
      <c r="R958" s="4">
        <v>650000</v>
      </c>
      <c r="S958" s="4">
        <v>650000</v>
      </c>
      <c r="T958" s="4">
        <v>650000</v>
      </c>
      <c r="U958" s="4">
        <v>650000</v>
      </c>
      <c r="V958" s="4">
        <v>650000</v>
      </c>
      <c r="W958" s="4">
        <v>650000</v>
      </c>
      <c r="X958" s="4">
        <v>650000</v>
      </c>
      <c r="Y958" s="4">
        <v>650000</v>
      </c>
    </row>
    <row r="959" spans="1:25" ht="19.5" customHeight="1" x14ac:dyDescent="0.25">
      <c r="A959" s="2" t="s">
        <v>2439</v>
      </c>
      <c r="B959" s="2" t="s">
        <v>16</v>
      </c>
      <c r="C959" s="2" t="s">
        <v>2455</v>
      </c>
      <c r="D959" s="2" t="s">
        <v>2456</v>
      </c>
      <c r="E959" s="2" t="s">
        <v>2457</v>
      </c>
      <c r="F959" s="3">
        <v>139727.82</v>
      </c>
      <c r="G959" s="3">
        <v>433667</v>
      </c>
      <c r="H959" s="3">
        <v>708000</v>
      </c>
      <c r="I959" s="3">
        <v>708000</v>
      </c>
      <c r="J959" s="3">
        <v>708000</v>
      </c>
      <c r="K959" s="3">
        <v>708000</v>
      </c>
      <c r="L959" s="4">
        <v>708000</v>
      </c>
      <c r="M959" s="4">
        <v>708000</v>
      </c>
      <c r="N959" s="4">
        <v>708000</v>
      </c>
      <c r="O959" s="4">
        <v>708000</v>
      </c>
      <c r="P959" s="4">
        <v>708000</v>
      </c>
      <c r="Q959" s="4">
        <v>708000</v>
      </c>
      <c r="R959" s="4">
        <v>708000</v>
      </c>
      <c r="S959" s="4">
        <v>708000</v>
      </c>
      <c r="T959" s="4">
        <v>708000</v>
      </c>
      <c r="U959" s="4">
        <v>708000</v>
      </c>
      <c r="V959" s="4">
        <v>708000</v>
      </c>
      <c r="W959" s="4">
        <v>708000</v>
      </c>
      <c r="X959" s="4">
        <v>708000</v>
      </c>
      <c r="Y959" s="4">
        <v>708000</v>
      </c>
    </row>
    <row r="960" spans="1:25" ht="19.5" customHeight="1" x14ac:dyDescent="0.25">
      <c r="A960" s="2" t="s">
        <v>2439</v>
      </c>
      <c r="B960" s="2" t="s">
        <v>16</v>
      </c>
      <c r="C960" s="2" t="s">
        <v>35</v>
      </c>
      <c r="D960" s="2" t="s">
        <v>2458</v>
      </c>
      <c r="E960" s="2" t="s">
        <v>2459</v>
      </c>
      <c r="F960" s="3">
        <v>0</v>
      </c>
      <c r="G960" s="3">
        <v>4633464</v>
      </c>
      <c r="H960" s="3">
        <v>0</v>
      </c>
      <c r="I960" s="3">
        <v>0</v>
      </c>
      <c r="J960" s="3">
        <v>0</v>
      </c>
      <c r="K960" s="3">
        <v>0</v>
      </c>
      <c r="L960" s="4">
        <v>0</v>
      </c>
      <c r="M960" s="4">
        <v>0</v>
      </c>
      <c r="N960" s="4">
        <v>0</v>
      </c>
      <c r="O960" s="4">
        <v>0</v>
      </c>
      <c r="P960" s="4">
        <v>0</v>
      </c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</row>
    <row r="961" spans="1:25" ht="19.5" customHeight="1" x14ac:dyDescent="0.25">
      <c r="A961" s="2" t="s">
        <v>2439</v>
      </c>
      <c r="B961" s="2" t="s">
        <v>16</v>
      </c>
      <c r="C961" s="2" t="s">
        <v>35</v>
      </c>
      <c r="D961" s="2" t="s">
        <v>2460</v>
      </c>
      <c r="E961" s="2" t="s">
        <v>2461</v>
      </c>
      <c r="F961" s="3">
        <v>0</v>
      </c>
      <c r="G961" s="3">
        <v>5000000</v>
      </c>
      <c r="H961" s="3">
        <v>7000000</v>
      </c>
      <c r="I961" s="3">
        <v>0</v>
      </c>
      <c r="J961" s="3">
        <v>12000000</v>
      </c>
      <c r="K961" s="3">
        <v>0</v>
      </c>
      <c r="L961" s="4">
        <v>12000000</v>
      </c>
      <c r="M961" s="4">
        <v>0</v>
      </c>
      <c r="N961" s="4">
        <v>12000000</v>
      </c>
      <c r="O961" s="4">
        <v>0</v>
      </c>
      <c r="P961" s="4">
        <v>12000000</v>
      </c>
      <c r="Q961" s="4">
        <v>0</v>
      </c>
      <c r="R961" s="4">
        <v>12000000</v>
      </c>
      <c r="S961" s="4">
        <v>0</v>
      </c>
      <c r="T961" s="4">
        <v>12000000</v>
      </c>
      <c r="U961" s="4">
        <v>0</v>
      </c>
      <c r="V961" s="4">
        <v>12000000</v>
      </c>
      <c r="W961" s="4">
        <v>0</v>
      </c>
      <c r="X961" s="4">
        <v>12000000</v>
      </c>
      <c r="Y961" s="4">
        <v>0</v>
      </c>
    </row>
    <row r="962" spans="1:25" ht="19.5" customHeight="1" x14ac:dyDescent="0.25">
      <c r="A962" s="2" t="s">
        <v>2439</v>
      </c>
      <c r="B962" s="2" t="s">
        <v>16</v>
      </c>
      <c r="C962" s="2" t="s">
        <v>35</v>
      </c>
      <c r="D962" s="2" t="s">
        <v>2462</v>
      </c>
      <c r="E962" s="2" t="s">
        <v>2463</v>
      </c>
      <c r="F962" s="3">
        <v>0</v>
      </c>
      <c r="G962" s="3">
        <v>31000000</v>
      </c>
      <c r="H962" s="3">
        <v>0</v>
      </c>
      <c r="I962" s="3">
        <v>0</v>
      </c>
      <c r="J962" s="3">
        <v>0</v>
      </c>
      <c r="K962" s="3">
        <v>0</v>
      </c>
      <c r="L962" s="4">
        <v>0</v>
      </c>
      <c r="M962" s="4">
        <v>0</v>
      </c>
      <c r="N962" s="4">
        <v>0</v>
      </c>
      <c r="O962" s="4">
        <v>0</v>
      </c>
      <c r="P962" s="4">
        <v>0</v>
      </c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</row>
    <row r="963" spans="1:25" ht="19.5" customHeight="1" x14ac:dyDescent="0.25">
      <c r="A963" s="2" t="s">
        <v>2439</v>
      </c>
      <c r="B963" s="2" t="s">
        <v>16</v>
      </c>
      <c r="C963" s="2" t="s">
        <v>2464</v>
      </c>
      <c r="D963" s="2" t="s">
        <v>2465</v>
      </c>
      <c r="E963" s="2" t="s">
        <v>2466</v>
      </c>
      <c r="F963" s="3">
        <v>930521.31</v>
      </c>
      <c r="G963" s="3">
        <v>1000000</v>
      </c>
      <c r="H963" s="3">
        <v>1000000</v>
      </c>
      <c r="I963" s="3">
        <v>1000000</v>
      </c>
      <c r="J963" s="3">
        <v>1000000</v>
      </c>
      <c r="K963" s="3">
        <v>1000000</v>
      </c>
      <c r="L963" s="4">
        <v>1000000</v>
      </c>
      <c r="M963" s="4">
        <v>1000000</v>
      </c>
      <c r="N963" s="4">
        <v>1000000</v>
      </c>
      <c r="O963" s="4">
        <v>1000000</v>
      </c>
      <c r="P963" s="4">
        <v>1000000</v>
      </c>
      <c r="Q963" s="4">
        <v>1000000</v>
      </c>
      <c r="R963" s="4">
        <v>1000000</v>
      </c>
      <c r="S963" s="4">
        <v>1000000</v>
      </c>
      <c r="T963" s="4">
        <v>1000000</v>
      </c>
      <c r="U963" s="4">
        <v>1000000</v>
      </c>
      <c r="V963" s="4">
        <v>1000000</v>
      </c>
      <c r="W963" s="4">
        <v>1000000</v>
      </c>
      <c r="X963" s="4">
        <v>1000000</v>
      </c>
      <c r="Y963" s="4">
        <v>1000000</v>
      </c>
    </row>
    <row r="964" spans="1:25" ht="19.5" customHeight="1" x14ac:dyDescent="0.25">
      <c r="A964" s="2" t="s">
        <v>2439</v>
      </c>
      <c r="B964" s="2" t="s">
        <v>16</v>
      </c>
      <c r="C964" s="2" t="s">
        <v>2467</v>
      </c>
      <c r="D964" s="2" t="s">
        <v>2468</v>
      </c>
      <c r="E964" s="2" t="s">
        <v>2469</v>
      </c>
      <c r="F964" s="3">
        <v>500000</v>
      </c>
      <c r="G964" s="3">
        <v>500000</v>
      </c>
      <c r="H964" s="3">
        <v>500000</v>
      </c>
      <c r="I964" s="3">
        <v>500000</v>
      </c>
      <c r="J964" s="3">
        <v>500000</v>
      </c>
      <c r="K964" s="3">
        <v>500000</v>
      </c>
      <c r="L964" s="4">
        <v>500000</v>
      </c>
      <c r="M964" s="4">
        <v>500000</v>
      </c>
      <c r="N964" s="4">
        <v>500000</v>
      </c>
      <c r="O964" s="4">
        <v>500000</v>
      </c>
      <c r="P964" s="4">
        <v>500000</v>
      </c>
      <c r="Q964" s="4">
        <v>500000</v>
      </c>
      <c r="R964" s="4">
        <v>500000</v>
      </c>
      <c r="S964" s="4">
        <v>500000</v>
      </c>
      <c r="T964" s="4">
        <v>500000</v>
      </c>
      <c r="U964" s="4">
        <v>500000</v>
      </c>
      <c r="V964" s="4">
        <v>500000</v>
      </c>
      <c r="W964" s="4">
        <v>500000</v>
      </c>
      <c r="X964" s="4">
        <v>500000</v>
      </c>
      <c r="Y964" s="4">
        <v>500000</v>
      </c>
    </row>
    <row r="965" spans="1:25" ht="19.5" customHeight="1" x14ac:dyDescent="0.25">
      <c r="A965" s="2" t="s">
        <v>2439</v>
      </c>
      <c r="B965" s="2" t="s">
        <v>16</v>
      </c>
      <c r="C965" s="2" t="s">
        <v>2470</v>
      </c>
      <c r="D965" s="2" t="s">
        <v>2471</v>
      </c>
      <c r="E965" s="2" t="s">
        <v>2010</v>
      </c>
      <c r="F965" s="3">
        <v>19905602.350000001</v>
      </c>
      <c r="G965" s="3">
        <v>20000000</v>
      </c>
      <c r="H965" s="3">
        <v>20000000</v>
      </c>
      <c r="I965" s="3">
        <v>20000000</v>
      </c>
      <c r="J965" s="3">
        <v>20000000</v>
      </c>
      <c r="K965" s="3">
        <v>20000000</v>
      </c>
      <c r="L965" s="4">
        <v>20000000</v>
      </c>
      <c r="M965" s="4">
        <v>20000000</v>
      </c>
      <c r="N965" s="4">
        <v>20000000</v>
      </c>
      <c r="O965" s="4">
        <v>20000000</v>
      </c>
      <c r="P965" s="4">
        <v>20000000</v>
      </c>
      <c r="Q965" s="4">
        <v>20000000</v>
      </c>
      <c r="R965" s="4">
        <v>20000000</v>
      </c>
      <c r="S965" s="4">
        <v>20000000</v>
      </c>
      <c r="T965" s="4">
        <v>20000000</v>
      </c>
      <c r="U965" s="4">
        <v>20000000</v>
      </c>
      <c r="V965" s="4">
        <v>20000000</v>
      </c>
      <c r="W965" s="4">
        <v>20000000</v>
      </c>
      <c r="X965" s="4">
        <v>20000000</v>
      </c>
      <c r="Y965" s="4">
        <v>20000000</v>
      </c>
    </row>
    <row r="966" spans="1:25" ht="19.5" customHeight="1" x14ac:dyDescent="0.25">
      <c r="A966" s="2" t="s">
        <v>2439</v>
      </c>
      <c r="B966" s="2" t="s">
        <v>16</v>
      </c>
      <c r="C966" s="2" t="s">
        <v>2472</v>
      </c>
      <c r="D966" s="2" t="s">
        <v>2473</v>
      </c>
      <c r="E966" s="2" t="s">
        <v>2474</v>
      </c>
      <c r="F966" s="3">
        <v>0</v>
      </c>
      <c r="G966" s="3">
        <v>100000</v>
      </c>
      <c r="H966" s="3">
        <v>100000</v>
      </c>
      <c r="I966" s="3">
        <v>100000</v>
      </c>
      <c r="J966" s="3">
        <v>100000</v>
      </c>
      <c r="K966" s="3">
        <v>100000</v>
      </c>
      <c r="L966" s="4">
        <v>100000</v>
      </c>
      <c r="M966" s="4">
        <v>100000</v>
      </c>
      <c r="N966" s="4">
        <v>100000</v>
      </c>
      <c r="O966" s="4">
        <v>100000</v>
      </c>
      <c r="P966" s="4">
        <v>100000</v>
      </c>
      <c r="Q966" s="4">
        <v>100000</v>
      </c>
      <c r="R966" s="4">
        <v>100000</v>
      </c>
      <c r="S966" s="4">
        <v>100000</v>
      </c>
      <c r="T966" s="4">
        <v>100000</v>
      </c>
      <c r="U966" s="4">
        <v>100000</v>
      </c>
      <c r="V966" s="4">
        <v>100000</v>
      </c>
      <c r="W966" s="4">
        <v>100000</v>
      </c>
      <c r="X966" s="4">
        <v>100000</v>
      </c>
      <c r="Y966" s="4">
        <v>100000</v>
      </c>
    </row>
    <row r="967" spans="1:25" ht="19.5" customHeight="1" x14ac:dyDescent="0.25">
      <c r="A967" s="2" t="s">
        <v>2439</v>
      </c>
      <c r="B967" s="2" t="s">
        <v>16</v>
      </c>
      <c r="C967" s="2" t="s">
        <v>2475</v>
      </c>
      <c r="D967" s="2" t="s">
        <v>2476</v>
      </c>
      <c r="E967" s="2" t="s">
        <v>2477</v>
      </c>
      <c r="F967" s="3">
        <v>125014.47</v>
      </c>
      <c r="G967" s="3">
        <v>2800000</v>
      </c>
      <c r="H967" s="3">
        <v>300000</v>
      </c>
      <c r="I967" s="3">
        <v>300000</v>
      </c>
      <c r="J967" s="3">
        <v>300000</v>
      </c>
      <c r="K967" s="3">
        <v>300000</v>
      </c>
      <c r="L967" s="4">
        <v>300000</v>
      </c>
      <c r="M967" s="4">
        <v>300000</v>
      </c>
      <c r="N967" s="4">
        <v>300000</v>
      </c>
      <c r="O967" s="4">
        <v>300000</v>
      </c>
      <c r="P967" s="4">
        <v>300000</v>
      </c>
      <c r="Q967" s="4">
        <v>300000</v>
      </c>
      <c r="R967" s="4">
        <v>300000</v>
      </c>
      <c r="S967" s="4">
        <v>300000</v>
      </c>
      <c r="T967" s="4">
        <v>300000</v>
      </c>
      <c r="U967" s="4">
        <v>300000</v>
      </c>
      <c r="V967" s="4">
        <v>300000</v>
      </c>
      <c r="W967" s="4">
        <v>300000</v>
      </c>
      <c r="X967" s="4">
        <v>300000</v>
      </c>
      <c r="Y967" s="4">
        <v>300000</v>
      </c>
    </row>
    <row r="968" spans="1:25" ht="19.5" customHeight="1" x14ac:dyDescent="0.25">
      <c r="A968" s="2" t="s">
        <v>2439</v>
      </c>
      <c r="B968" s="2" t="s">
        <v>16</v>
      </c>
      <c r="C968" s="2" t="s">
        <v>2478</v>
      </c>
      <c r="D968" s="2" t="s">
        <v>2479</v>
      </c>
      <c r="E968" s="2" t="s">
        <v>2480</v>
      </c>
      <c r="F968" s="3">
        <v>9876713.5899999999</v>
      </c>
      <c r="G968" s="3">
        <v>31000000</v>
      </c>
      <c r="H968" s="3">
        <v>21000000</v>
      </c>
      <c r="I968" s="3">
        <v>21000000</v>
      </c>
      <c r="J968" s="3">
        <v>21000000</v>
      </c>
      <c r="K968" s="3">
        <v>21000000</v>
      </c>
      <c r="L968" s="4">
        <v>21000000</v>
      </c>
      <c r="M968" s="4">
        <v>21000000</v>
      </c>
      <c r="N968" s="4">
        <v>21000000</v>
      </c>
      <c r="O968" s="4">
        <v>21000000</v>
      </c>
      <c r="P968" s="4">
        <v>21000000</v>
      </c>
      <c r="Q968" s="4">
        <v>21000000</v>
      </c>
      <c r="R968" s="4">
        <v>21000000</v>
      </c>
      <c r="S968" s="4">
        <v>21000000</v>
      </c>
      <c r="T968" s="4">
        <v>21000000</v>
      </c>
      <c r="U968" s="4">
        <v>21000000</v>
      </c>
      <c r="V968" s="4">
        <v>21000000</v>
      </c>
      <c r="W968" s="4">
        <v>21000000</v>
      </c>
      <c r="X968" s="4">
        <v>21000000</v>
      </c>
      <c r="Y968" s="4">
        <v>21000000</v>
      </c>
    </row>
    <row r="969" spans="1:25" ht="19.5" customHeight="1" x14ac:dyDescent="0.25">
      <c r="A969" s="2" t="s">
        <v>2439</v>
      </c>
      <c r="B969" s="2" t="s">
        <v>16</v>
      </c>
      <c r="C969" s="2" t="s">
        <v>1563</v>
      </c>
      <c r="D969" s="2" t="s">
        <v>2481</v>
      </c>
      <c r="E969" s="2" t="s">
        <v>2482</v>
      </c>
      <c r="F969" s="3">
        <v>799003.51</v>
      </c>
      <c r="G969" s="3">
        <v>750000</v>
      </c>
      <c r="H969" s="3">
        <v>750000</v>
      </c>
      <c r="I969" s="3">
        <v>750000</v>
      </c>
      <c r="J969" s="3">
        <v>1000000</v>
      </c>
      <c r="K969" s="3">
        <v>1000000</v>
      </c>
      <c r="L969" s="4">
        <v>1000000</v>
      </c>
      <c r="M969" s="4">
        <v>1000000</v>
      </c>
      <c r="N969" s="4">
        <v>1000000</v>
      </c>
      <c r="O969" s="4">
        <v>1000000</v>
      </c>
      <c r="P969" s="4">
        <v>1000000</v>
      </c>
      <c r="Q969" s="4">
        <v>1000000</v>
      </c>
      <c r="R969" s="4">
        <v>1000000</v>
      </c>
      <c r="S969" s="4">
        <v>1000000</v>
      </c>
      <c r="T969" s="4">
        <v>1000000</v>
      </c>
      <c r="U969" s="4">
        <v>1000000</v>
      </c>
      <c r="V969" s="4">
        <v>1000000</v>
      </c>
      <c r="W969" s="4">
        <v>1000000</v>
      </c>
      <c r="X969" s="4">
        <v>1000000</v>
      </c>
      <c r="Y969" s="4">
        <v>1000000</v>
      </c>
    </row>
    <row r="970" spans="1:25" ht="19.5" customHeight="1" x14ac:dyDescent="0.25">
      <c r="A970" s="2" t="s">
        <v>2439</v>
      </c>
      <c r="B970" s="2" t="s">
        <v>16</v>
      </c>
      <c r="C970" s="2" t="s">
        <v>2483</v>
      </c>
      <c r="D970" s="2" t="s">
        <v>2484</v>
      </c>
      <c r="E970" s="2" t="s">
        <v>2485</v>
      </c>
      <c r="F970" s="3">
        <v>3246106.27</v>
      </c>
      <c r="G970" s="3">
        <v>6000000</v>
      </c>
      <c r="H970" s="3">
        <v>6000000</v>
      </c>
      <c r="I970" s="3">
        <v>6262000</v>
      </c>
      <c r="J970" s="3">
        <v>6000000</v>
      </c>
      <c r="K970" s="3">
        <v>6262000</v>
      </c>
      <c r="L970" s="4">
        <v>6000000</v>
      </c>
      <c r="M970" s="4">
        <v>6262000</v>
      </c>
      <c r="N970" s="4">
        <v>6000000</v>
      </c>
      <c r="O970" s="4">
        <v>6262000</v>
      </c>
      <c r="P970" s="4">
        <v>6000000</v>
      </c>
      <c r="Q970" s="4">
        <v>6262000</v>
      </c>
      <c r="R970" s="4">
        <v>6000000</v>
      </c>
      <c r="S970" s="4">
        <v>6262000</v>
      </c>
      <c r="T970" s="4">
        <v>6000000</v>
      </c>
      <c r="U970" s="4">
        <v>6262000</v>
      </c>
      <c r="V970" s="4">
        <v>6000000</v>
      </c>
      <c r="W970" s="4">
        <v>6262000</v>
      </c>
      <c r="X970" s="4">
        <v>6000000</v>
      </c>
      <c r="Y970" s="4">
        <v>6262000</v>
      </c>
    </row>
    <row r="971" spans="1:25" ht="19.5" customHeight="1" x14ac:dyDescent="0.25">
      <c r="A971" s="2" t="s">
        <v>2439</v>
      </c>
      <c r="B971" s="2" t="s">
        <v>16</v>
      </c>
      <c r="C971" s="2" t="s">
        <v>2486</v>
      </c>
      <c r="D971" s="2" t="s">
        <v>2487</v>
      </c>
      <c r="E971" s="2" t="s">
        <v>2488</v>
      </c>
      <c r="F971" s="3">
        <v>5000000</v>
      </c>
      <c r="G971" s="3">
        <v>0</v>
      </c>
      <c r="H971" s="3">
        <v>8000000</v>
      </c>
      <c r="I971" s="3">
        <v>8000000</v>
      </c>
      <c r="J971" s="3">
        <v>8000000</v>
      </c>
      <c r="K971" s="3">
        <v>8000000</v>
      </c>
      <c r="L971" s="4">
        <v>8000000</v>
      </c>
      <c r="M971" s="4">
        <v>8000000</v>
      </c>
      <c r="N971" s="4">
        <v>8000000</v>
      </c>
      <c r="O971" s="4">
        <v>8000000</v>
      </c>
      <c r="P971" s="4">
        <v>0</v>
      </c>
      <c r="Q971" s="4">
        <v>0</v>
      </c>
      <c r="R971" s="4">
        <v>0</v>
      </c>
      <c r="S971" s="4">
        <v>0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</row>
    <row r="972" spans="1:25" ht="19.5" customHeight="1" x14ac:dyDescent="0.25">
      <c r="A972" s="2" t="s">
        <v>2439</v>
      </c>
      <c r="B972" s="2" t="s">
        <v>44</v>
      </c>
      <c r="C972" s="2" t="s">
        <v>2489</v>
      </c>
      <c r="D972" s="2" t="s">
        <v>2490</v>
      </c>
      <c r="E972" s="2" t="s">
        <v>2491</v>
      </c>
      <c r="F972" s="3">
        <v>26790047.280000001</v>
      </c>
      <c r="G972" s="3">
        <v>91157229</v>
      </c>
      <c r="H972" s="3">
        <v>61188090</v>
      </c>
      <c r="I972" s="3">
        <v>42487257</v>
      </c>
      <c r="J972" s="3">
        <v>61188090</v>
      </c>
      <c r="K972" s="3">
        <v>42487257</v>
      </c>
      <c r="L972" s="4">
        <v>61188090</v>
      </c>
      <c r="M972" s="4">
        <v>42487257</v>
      </c>
      <c r="N972" s="4">
        <v>61188090</v>
      </c>
      <c r="O972" s="4">
        <v>42487257</v>
      </c>
      <c r="P972" s="4">
        <v>61188090</v>
      </c>
      <c r="Q972" s="4">
        <v>42487257</v>
      </c>
      <c r="R972" s="4">
        <v>61188090</v>
      </c>
      <c r="S972" s="4">
        <v>42487257</v>
      </c>
      <c r="T972" s="4">
        <v>61188090</v>
      </c>
      <c r="U972" s="4">
        <v>42487257</v>
      </c>
      <c r="V972" s="4">
        <v>61188090</v>
      </c>
      <c r="W972" s="4">
        <v>42487257</v>
      </c>
      <c r="X972" s="4">
        <v>61188090</v>
      </c>
      <c r="Y972" s="4">
        <v>42487257</v>
      </c>
    </row>
    <row r="973" spans="1:25" ht="19.5" customHeight="1" x14ac:dyDescent="0.25">
      <c r="A973" s="2" t="s">
        <v>2439</v>
      </c>
      <c r="B973" s="2" t="s">
        <v>44</v>
      </c>
      <c r="C973" s="2" t="s">
        <v>2492</v>
      </c>
      <c r="D973" s="2" t="s">
        <v>2493</v>
      </c>
      <c r="E973" s="2" t="s">
        <v>2494</v>
      </c>
      <c r="F973" s="3">
        <v>6267795.9800000004</v>
      </c>
      <c r="G973" s="3">
        <v>6953744</v>
      </c>
      <c r="H973" s="3">
        <v>7000000</v>
      </c>
      <c r="I973" s="3">
        <v>7000000</v>
      </c>
      <c r="J973" s="3">
        <v>7000000</v>
      </c>
      <c r="K973" s="3">
        <v>7000000</v>
      </c>
      <c r="L973" s="4">
        <v>7000000</v>
      </c>
      <c r="M973" s="4">
        <v>7000000</v>
      </c>
      <c r="N973" s="4">
        <v>7000000</v>
      </c>
      <c r="O973" s="4">
        <v>7000000</v>
      </c>
      <c r="P973" s="4">
        <v>7000000</v>
      </c>
      <c r="Q973" s="4">
        <v>7000000</v>
      </c>
      <c r="R973" s="4">
        <v>7000000</v>
      </c>
      <c r="S973" s="4">
        <v>7000000</v>
      </c>
      <c r="T973" s="4">
        <v>7000000</v>
      </c>
      <c r="U973" s="4">
        <v>7000000</v>
      </c>
      <c r="V973" s="4">
        <v>7000000</v>
      </c>
      <c r="W973" s="4">
        <v>7000000</v>
      </c>
      <c r="X973" s="4">
        <v>7000000</v>
      </c>
      <c r="Y973" s="4">
        <v>7000000</v>
      </c>
    </row>
    <row r="974" spans="1:25" ht="19.5" customHeight="1" x14ac:dyDescent="0.25">
      <c r="A974" s="2" t="s">
        <v>2439</v>
      </c>
      <c r="B974" s="2" t="s">
        <v>44</v>
      </c>
      <c r="C974" s="2" t="s">
        <v>2492</v>
      </c>
      <c r="D974" s="2" t="s">
        <v>2495</v>
      </c>
      <c r="E974" s="2" t="s">
        <v>2496</v>
      </c>
      <c r="F974" s="3">
        <v>24919806.09</v>
      </c>
      <c r="G974" s="3">
        <v>25876065</v>
      </c>
      <c r="H974" s="3">
        <v>30093153</v>
      </c>
      <c r="I974" s="3">
        <v>28792564</v>
      </c>
      <c r="J974" s="3">
        <v>30093153</v>
      </c>
      <c r="K974" s="3">
        <v>28792564</v>
      </c>
      <c r="L974" s="4">
        <v>30093153</v>
      </c>
      <c r="M974" s="4">
        <v>28792564</v>
      </c>
      <c r="N974" s="4">
        <v>30093153</v>
      </c>
      <c r="O974" s="4">
        <v>28792564</v>
      </c>
      <c r="P974" s="4">
        <v>30093153</v>
      </c>
      <c r="Q974" s="4">
        <v>28792564</v>
      </c>
      <c r="R974" s="4">
        <v>30093153</v>
      </c>
      <c r="S974" s="4">
        <v>28792564</v>
      </c>
      <c r="T974" s="4">
        <v>30093153</v>
      </c>
      <c r="U974" s="4">
        <v>28792564</v>
      </c>
      <c r="V974" s="4">
        <v>30093153</v>
      </c>
      <c r="W974" s="4">
        <v>28792564</v>
      </c>
      <c r="X974" s="4">
        <v>30093153</v>
      </c>
      <c r="Y974" s="4">
        <v>28792564</v>
      </c>
    </row>
    <row r="975" spans="1:25" ht="19.5" customHeight="1" x14ac:dyDescent="0.25">
      <c r="A975" s="2" t="s">
        <v>2439</v>
      </c>
      <c r="B975" s="2" t="s">
        <v>44</v>
      </c>
      <c r="C975" s="2" t="s">
        <v>2492</v>
      </c>
      <c r="D975" s="2" t="s">
        <v>2497</v>
      </c>
      <c r="E975" s="2" t="s">
        <v>2498</v>
      </c>
      <c r="F975" s="3">
        <v>2539115.5099999998</v>
      </c>
      <c r="G975" s="3">
        <v>3984680</v>
      </c>
      <c r="H975" s="3">
        <v>4000000</v>
      </c>
      <c r="I975" s="3">
        <v>4000000</v>
      </c>
      <c r="J975" s="3">
        <v>4000000</v>
      </c>
      <c r="K975" s="3">
        <v>4000000</v>
      </c>
      <c r="L975" s="4">
        <v>4000000</v>
      </c>
      <c r="M975" s="4">
        <v>4000000</v>
      </c>
      <c r="N975" s="4">
        <v>4000000</v>
      </c>
      <c r="O975" s="4">
        <v>4000000</v>
      </c>
      <c r="P975" s="4">
        <v>4000000</v>
      </c>
      <c r="Q975" s="4">
        <v>4000000</v>
      </c>
      <c r="R975" s="4">
        <v>4000000</v>
      </c>
      <c r="S975" s="4">
        <v>4000000</v>
      </c>
      <c r="T975" s="4">
        <v>4000000</v>
      </c>
      <c r="U975" s="4">
        <v>4000000</v>
      </c>
      <c r="V975" s="4">
        <v>4000000</v>
      </c>
      <c r="W975" s="4">
        <v>4000000</v>
      </c>
      <c r="X975" s="4">
        <v>4000000</v>
      </c>
      <c r="Y975" s="4">
        <v>4000000</v>
      </c>
    </row>
    <row r="976" spans="1:25" ht="19.5" customHeight="1" x14ac:dyDescent="0.25">
      <c r="A976" s="2" t="s">
        <v>2439</v>
      </c>
      <c r="B976" s="2" t="s">
        <v>44</v>
      </c>
      <c r="C976" s="2" t="s">
        <v>2499</v>
      </c>
      <c r="D976" s="2" t="s">
        <v>2500</v>
      </c>
      <c r="E976" s="2" t="s">
        <v>2501</v>
      </c>
      <c r="F976" s="3">
        <v>141841763.84999999</v>
      </c>
      <c r="G976" s="3">
        <v>185765304</v>
      </c>
      <c r="H976" s="3">
        <v>210395858</v>
      </c>
      <c r="I976" s="3">
        <v>215299061</v>
      </c>
      <c r="J976" s="3">
        <v>210395858</v>
      </c>
      <c r="K976" s="3">
        <v>215299061</v>
      </c>
      <c r="L976" s="4">
        <v>210395858</v>
      </c>
      <c r="M976" s="4">
        <v>215299061</v>
      </c>
      <c r="N976" s="4">
        <v>210395858</v>
      </c>
      <c r="O976" s="4">
        <v>215299061</v>
      </c>
      <c r="P976" s="4">
        <v>210395858</v>
      </c>
      <c r="Q976" s="4">
        <v>215299061</v>
      </c>
      <c r="R976" s="4">
        <v>210395858</v>
      </c>
      <c r="S976" s="4">
        <v>215299061</v>
      </c>
      <c r="T976" s="4">
        <v>210395858</v>
      </c>
      <c r="U976" s="4">
        <v>215299061</v>
      </c>
      <c r="V976" s="4">
        <v>210395858</v>
      </c>
      <c r="W976" s="4">
        <v>215299061</v>
      </c>
      <c r="X976" s="4">
        <v>210395858</v>
      </c>
      <c r="Y976" s="4">
        <v>215299061</v>
      </c>
    </row>
    <row r="977" spans="1:25" ht="19.5" customHeight="1" x14ac:dyDescent="0.25">
      <c r="A977" s="2" t="s">
        <v>2439</v>
      </c>
      <c r="B977" s="2" t="s">
        <v>44</v>
      </c>
      <c r="C977" s="2" t="s">
        <v>2502</v>
      </c>
      <c r="D977" s="2" t="s">
        <v>2503</v>
      </c>
      <c r="E977" s="2" t="s">
        <v>2504</v>
      </c>
      <c r="F977" s="3">
        <v>6731432.2599999998</v>
      </c>
      <c r="G977" s="3">
        <v>11993306</v>
      </c>
      <c r="H977" s="3">
        <v>12000000</v>
      </c>
      <c r="I977" s="3">
        <v>12000000</v>
      </c>
      <c r="J977" s="3">
        <v>12000000</v>
      </c>
      <c r="K977" s="3">
        <v>12000000</v>
      </c>
      <c r="L977" s="4">
        <v>12000000</v>
      </c>
      <c r="M977" s="4">
        <v>12000000</v>
      </c>
      <c r="N977" s="4">
        <v>12000000</v>
      </c>
      <c r="O977" s="4">
        <v>12000000</v>
      </c>
      <c r="P977" s="4">
        <v>12000000</v>
      </c>
      <c r="Q977" s="4">
        <v>12000000</v>
      </c>
      <c r="R977" s="4">
        <v>12000000</v>
      </c>
      <c r="S977" s="4">
        <v>12000000</v>
      </c>
      <c r="T977" s="4">
        <v>12000000</v>
      </c>
      <c r="U977" s="4">
        <v>12000000</v>
      </c>
      <c r="V977" s="4">
        <v>12000000</v>
      </c>
      <c r="W977" s="4">
        <v>12000000</v>
      </c>
      <c r="X977" s="4">
        <v>12000000</v>
      </c>
      <c r="Y977" s="4">
        <v>12000000</v>
      </c>
    </row>
    <row r="978" spans="1:25" ht="19.5" customHeight="1" x14ac:dyDescent="0.25">
      <c r="A978" s="2" t="s">
        <v>2439</v>
      </c>
      <c r="B978" s="2" t="s">
        <v>44</v>
      </c>
      <c r="C978" s="2" t="s">
        <v>2505</v>
      </c>
      <c r="D978" s="2" t="s">
        <v>2506</v>
      </c>
      <c r="E978" s="2" t="s">
        <v>2507</v>
      </c>
      <c r="F978" s="3">
        <v>2081339.89</v>
      </c>
      <c r="G978" s="3">
        <v>9000000</v>
      </c>
      <c r="H978" s="3">
        <v>5000000</v>
      </c>
      <c r="I978" s="3">
        <v>5000000</v>
      </c>
      <c r="J978" s="3">
        <v>5000000</v>
      </c>
      <c r="K978" s="3">
        <v>5000000</v>
      </c>
      <c r="L978" s="4">
        <v>5000000</v>
      </c>
      <c r="M978" s="4">
        <v>5000000</v>
      </c>
      <c r="N978" s="4">
        <v>5000000</v>
      </c>
      <c r="O978" s="4">
        <v>5000000</v>
      </c>
      <c r="P978" s="4">
        <v>5000000</v>
      </c>
      <c r="Q978" s="4">
        <v>5000000</v>
      </c>
      <c r="R978" s="4">
        <v>5000000</v>
      </c>
      <c r="S978" s="4">
        <v>5000000</v>
      </c>
      <c r="T978" s="4">
        <v>5000000</v>
      </c>
      <c r="U978" s="4">
        <v>5000000</v>
      </c>
      <c r="V978" s="4">
        <v>5000000</v>
      </c>
      <c r="W978" s="4">
        <v>5000000</v>
      </c>
      <c r="X978" s="4">
        <v>5000000</v>
      </c>
      <c r="Y978" s="4">
        <v>5000000</v>
      </c>
    </row>
    <row r="979" spans="1:25" ht="19.5" customHeight="1" x14ac:dyDescent="0.25">
      <c r="A979" s="2" t="s">
        <v>2439</v>
      </c>
      <c r="B979" s="2" t="s">
        <v>44</v>
      </c>
      <c r="C979" s="2" t="s">
        <v>2508</v>
      </c>
      <c r="D979" s="2" t="s">
        <v>2509</v>
      </c>
      <c r="E979" s="2" t="s">
        <v>2510</v>
      </c>
      <c r="F979" s="3">
        <v>42015371.950000003</v>
      </c>
      <c r="G979" s="3">
        <v>41996161</v>
      </c>
      <c r="H979" s="3">
        <v>42000000</v>
      </c>
      <c r="I979" s="3">
        <v>42003000</v>
      </c>
      <c r="J979" s="3">
        <v>42000000</v>
      </c>
      <c r="K979" s="3">
        <v>42003000</v>
      </c>
      <c r="L979" s="4">
        <v>42000000</v>
      </c>
      <c r="M979" s="4">
        <v>42003000</v>
      </c>
      <c r="N979" s="4">
        <v>42000000</v>
      </c>
      <c r="O979" s="4">
        <v>42003000</v>
      </c>
      <c r="P979" s="4">
        <v>42000000</v>
      </c>
      <c r="Q979" s="4">
        <v>42003000</v>
      </c>
      <c r="R979" s="4">
        <v>42000000</v>
      </c>
      <c r="S979" s="4">
        <v>42003000</v>
      </c>
      <c r="T979" s="4">
        <v>42000000</v>
      </c>
      <c r="U979" s="4">
        <v>42003000</v>
      </c>
      <c r="V979" s="4">
        <v>42000000</v>
      </c>
      <c r="W979" s="4">
        <v>42003000</v>
      </c>
      <c r="X979" s="4">
        <v>42000000</v>
      </c>
      <c r="Y979" s="4">
        <v>42003000</v>
      </c>
    </row>
    <row r="980" spans="1:25" ht="19.5" customHeight="1" x14ac:dyDescent="0.25">
      <c r="A980" s="2" t="s">
        <v>2439</v>
      </c>
      <c r="B980" s="2" t="s">
        <v>44</v>
      </c>
      <c r="C980" s="2" t="s">
        <v>2511</v>
      </c>
      <c r="D980" s="2" t="s">
        <v>2512</v>
      </c>
      <c r="E980" s="2" t="s">
        <v>2513</v>
      </c>
      <c r="F980" s="3">
        <v>184119627.63999999</v>
      </c>
      <c r="G980" s="3">
        <v>196534751</v>
      </c>
      <c r="H980" s="3">
        <v>200506379</v>
      </c>
      <c r="I980" s="3">
        <v>200712239</v>
      </c>
      <c r="J980" s="3">
        <v>200506379</v>
      </c>
      <c r="K980" s="3">
        <v>200712239</v>
      </c>
      <c r="L980" s="4">
        <v>200506379</v>
      </c>
      <c r="M980" s="4">
        <v>200712239</v>
      </c>
      <c r="N980" s="4">
        <v>200506379</v>
      </c>
      <c r="O980" s="4">
        <v>200712239</v>
      </c>
      <c r="P980" s="4">
        <v>200506379</v>
      </c>
      <c r="Q980" s="4">
        <v>200712239</v>
      </c>
      <c r="R980" s="4">
        <v>200506379</v>
      </c>
      <c r="S980" s="4">
        <v>200712239</v>
      </c>
      <c r="T980" s="4">
        <v>200506379</v>
      </c>
      <c r="U980" s="4">
        <v>200712239</v>
      </c>
      <c r="V980" s="4">
        <v>200506379</v>
      </c>
      <c r="W980" s="4">
        <v>200712239</v>
      </c>
      <c r="X980" s="4">
        <v>200506379</v>
      </c>
      <c r="Y980" s="4">
        <v>200712239</v>
      </c>
    </row>
    <row r="981" spans="1:25" ht="19.5" customHeight="1" x14ac:dyDescent="0.25">
      <c r="A981" s="2" t="s">
        <v>2439</v>
      </c>
      <c r="B981" s="2" t="s">
        <v>44</v>
      </c>
      <c r="C981" s="2" t="s">
        <v>2514</v>
      </c>
      <c r="D981" s="2" t="s">
        <v>2515</v>
      </c>
      <c r="E981" s="2" t="s">
        <v>2516</v>
      </c>
      <c r="F981" s="3">
        <v>171057138.58000001</v>
      </c>
      <c r="G981" s="3">
        <v>174939942</v>
      </c>
      <c r="H981" s="3">
        <v>178734641</v>
      </c>
      <c r="I981" s="3">
        <v>178965021</v>
      </c>
      <c r="J981" s="3">
        <v>178734641</v>
      </c>
      <c r="K981" s="3">
        <v>178965021</v>
      </c>
      <c r="L981" s="4">
        <v>178734641</v>
      </c>
      <c r="M981" s="4">
        <v>178965021</v>
      </c>
      <c r="N981" s="4">
        <v>178734641</v>
      </c>
      <c r="O981" s="4">
        <v>178965021</v>
      </c>
      <c r="P981" s="4">
        <v>178734641</v>
      </c>
      <c r="Q981" s="4">
        <v>178965021</v>
      </c>
      <c r="R981" s="4">
        <v>178734641</v>
      </c>
      <c r="S981" s="4">
        <v>178965021</v>
      </c>
      <c r="T981" s="4">
        <v>178734641</v>
      </c>
      <c r="U981" s="4">
        <v>178965021</v>
      </c>
      <c r="V981" s="4">
        <v>178734641</v>
      </c>
      <c r="W981" s="4">
        <v>178965021</v>
      </c>
      <c r="X981" s="4">
        <v>178734641</v>
      </c>
      <c r="Y981" s="4">
        <v>178965021</v>
      </c>
    </row>
    <row r="982" spans="1:25" ht="19.5" customHeight="1" x14ac:dyDescent="0.25">
      <c r="A982" s="2" t="s">
        <v>2439</v>
      </c>
      <c r="B982" s="2" t="s">
        <v>44</v>
      </c>
      <c r="C982" s="2" t="s">
        <v>2517</v>
      </c>
      <c r="D982" s="2" t="s">
        <v>2518</v>
      </c>
      <c r="E982" s="2" t="s">
        <v>2519</v>
      </c>
      <c r="F982" s="3">
        <v>8981528.1400000006</v>
      </c>
      <c r="G982" s="3">
        <v>16500000</v>
      </c>
      <c r="H982" s="3">
        <v>0</v>
      </c>
      <c r="I982" s="3">
        <v>0</v>
      </c>
      <c r="J982" s="3">
        <v>0</v>
      </c>
      <c r="K982" s="3">
        <v>0</v>
      </c>
      <c r="L982" s="4">
        <v>0</v>
      </c>
      <c r="M982" s="4">
        <v>0</v>
      </c>
      <c r="N982" s="4">
        <v>0</v>
      </c>
      <c r="O982" s="4">
        <v>0</v>
      </c>
      <c r="P982" s="4">
        <v>0</v>
      </c>
      <c r="Q982" s="4">
        <v>0</v>
      </c>
      <c r="R982" s="4">
        <v>0</v>
      </c>
      <c r="S982" s="4">
        <v>0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</row>
    <row r="983" spans="1:25" ht="19.5" customHeight="1" x14ac:dyDescent="0.25">
      <c r="A983" s="2" t="s">
        <v>2439</v>
      </c>
      <c r="B983" s="2" t="s">
        <v>44</v>
      </c>
      <c r="C983" s="2" t="s">
        <v>2520</v>
      </c>
      <c r="D983" s="2" t="s">
        <v>2521</v>
      </c>
      <c r="E983" s="2" t="s">
        <v>2522</v>
      </c>
      <c r="F983" s="3">
        <v>999931.21</v>
      </c>
      <c r="G983" s="3">
        <v>2000000</v>
      </c>
      <c r="H983" s="3">
        <v>2000000</v>
      </c>
      <c r="I983" s="3">
        <v>2000000</v>
      </c>
      <c r="J983" s="3">
        <v>2000000</v>
      </c>
      <c r="K983" s="3">
        <v>2000000</v>
      </c>
      <c r="L983" s="4">
        <v>2000000</v>
      </c>
      <c r="M983" s="4">
        <v>2000000</v>
      </c>
      <c r="N983" s="4">
        <v>2000000</v>
      </c>
      <c r="O983" s="4">
        <v>2000000</v>
      </c>
      <c r="P983" s="4">
        <v>2000000</v>
      </c>
      <c r="Q983" s="4">
        <v>2000000</v>
      </c>
      <c r="R983" s="4">
        <v>7000000</v>
      </c>
      <c r="S983" s="4">
        <v>7000000</v>
      </c>
      <c r="T983" s="4">
        <v>7000000</v>
      </c>
      <c r="U983" s="4">
        <v>7000000</v>
      </c>
      <c r="V983" s="4">
        <v>7000000</v>
      </c>
      <c r="W983" s="4">
        <v>7000000</v>
      </c>
      <c r="X983" s="4">
        <v>7000000</v>
      </c>
      <c r="Y983" s="4">
        <v>7000000</v>
      </c>
    </row>
    <row r="984" spans="1:25" ht="19.5" customHeight="1" x14ac:dyDescent="0.25">
      <c r="A984" s="2" t="s">
        <v>2439</v>
      </c>
      <c r="B984" s="2" t="s">
        <v>44</v>
      </c>
      <c r="C984" s="2" t="s">
        <v>2523</v>
      </c>
      <c r="D984" s="2" t="s">
        <v>2524</v>
      </c>
      <c r="E984" s="2" t="s">
        <v>2525</v>
      </c>
      <c r="F984" s="3">
        <v>188550897.03999999</v>
      </c>
      <c r="G984" s="3">
        <v>179435551</v>
      </c>
      <c r="H984" s="3">
        <v>215301139</v>
      </c>
      <c r="I984" s="3">
        <v>215441374</v>
      </c>
      <c r="J984" s="3">
        <v>215301139</v>
      </c>
      <c r="K984" s="3">
        <v>215441374</v>
      </c>
      <c r="L984" s="4">
        <v>215301139</v>
      </c>
      <c r="M984" s="4">
        <v>215441374</v>
      </c>
      <c r="N984" s="4">
        <v>215301139</v>
      </c>
      <c r="O984" s="4">
        <v>215441374</v>
      </c>
      <c r="P984" s="4">
        <v>215301139</v>
      </c>
      <c r="Q984" s="4">
        <v>215441374</v>
      </c>
      <c r="R984" s="4">
        <v>215301139</v>
      </c>
      <c r="S984" s="4">
        <v>215441374</v>
      </c>
      <c r="T984" s="4">
        <v>215301139</v>
      </c>
      <c r="U984" s="4">
        <v>215441374</v>
      </c>
      <c r="V984" s="4">
        <v>215301139</v>
      </c>
      <c r="W984" s="4">
        <v>215441374</v>
      </c>
      <c r="X984" s="4">
        <v>215301139</v>
      </c>
      <c r="Y984" s="4">
        <v>215441374</v>
      </c>
    </row>
    <row r="985" spans="1:25" ht="19.5" customHeight="1" x14ac:dyDescent="0.25">
      <c r="A985" s="2" t="s">
        <v>2439</v>
      </c>
      <c r="B985" s="2" t="s">
        <v>44</v>
      </c>
      <c r="C985" s="2" t="s">
        <v>2526</v>
      </c>
      <c r="D985" s="2" t="s">
        <v>2527</v>
      </c>
      <c r="E985" s="2" t="s">
        <v>2528</v>
      </c>
      <c r="F985" s="3">
        <v>394923393.06</v>
      </c>
      <c r="G985" s="3">
        <v>331814047</v>
      </c>
      <c r="H985" s="3">
        <v>480500000</v>
      </c>
      <c r="I985" s="3">
        <v>456500000</v>
      </c>
      <c r="J985" s="3">
        <v>480500000</v>
      </c>
      <c r="K985" s="3">
        <v>456500000</v>
      </c>
      <c r="L985" s="4">
        <v>480500000</v>
      </c>
      <c r="M985" s="4">
        <v>456500000</v>
      </c>
      <c r="N985" s="4">
        <v>480500000</v>
      </c>
      <c r="O985" s="4">
        <v>456500000</v>
      </c>
      <c r="P985" s="4">
        <v>490500000</v>
      </c>
      <c r="Q985" s="4">
        <v>466500000</v>
      </c>
      <c r="R985" s="4">
        <v>540500000</v>
      </c>
      <c r="S985" s="4">
        <v>466500000</v>
      </c>
      <c r="T985" s="4">
        <v>540500000</v>
      </c>
      <c r="U985" s="4">
        <v>466500000</v>
      </c>
      <c r="V985" s="4">
        <v>540500000</v>
      </c>
      <c r="W985" s="4">
        <v>466500000</v>
      </c>
      <c r="X985" s="4">
        <v>540500000</v>
      </c>
      <c r="Y985" s="4">
        <v>466500000</v>
      </c>
    </row>
    <row r="986" spans="1:25" ht="19.5" customHeight="1" x14ac:dyDescent="0.25">
      <c r="A986" s="2" t="s">
        <v>2439</v>
      </c>
      <c r="B986" s="2" t="s">
        <v>44</v>
      </c>
      <c r="C986" s="2" t="s">
        <v>550</v>
      </c>
      <c r="D986" s="2" t="s">
        <v>2529</v>
      </c>
      <c r="E986" s="2" t="s">
        <v>2530</v>
      </c>
      <c r="F986" s="3">
        <v>0</v>
      </c>
      <c r="G986" s="3">
        <v>9000000</v>
      </c>
      <c r="H986" s="3">
        <v>0</v>
      </c>
      <c r="I986" s="3">
        <v>0</v>
      </c>
      <c r="J986" s="3">
        <v>0</v>
      </c>
      <c r="K986" s="3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</row>
    <row r="987" spans="1:25" ht="19.5" customHeight="1" x14ac:dyDescent="0.25">
      <c r="A987" s="2" t="s">
        <v>2439</v>
      </c>
      <c r="B987" s="2" t="s">
        <v>44</v>
      </c>
      <c r="C987" s="2" t="s">
        <v>2531</v>
      </c>
      <c r="D987" s="2" t="s">
        <v>2532</v>
      </c>
      <c r="E987" s="2" t="s">
        <v>2533</v>
      </c>
      <c r="F987" s="3">
        <v>234216127.72</v>
      </c>
      <c r="G987" s="3">
        <v>280926351</v>
      </c>
      <c r="H987" s="3">
        <v>307654740</v>
      </c>
      <c r="I987" s="3">
        <v>308344774</v>
      </c>
      <c r="J987" s="3">
        <v>307654740</v>
      </c>
      <c r="K987" s="3">
        <v>308344774</v>
      </c>
      <c r="L987" s="4">
        <v>307654740</v>
      </c>
      <c r="M987" s="4">
        <v>308344774</v>
      </c>
      <c r="N987" s="4">
        <v>307654740</v>
      </c>
      <c r="O987" s="4">
        <v>308344774</v>
      </c>
      <c r="P987" s="4">
        <v>307654740</v>
      </c>
      <c r="Q987" s="4">
        <v>308344774</v>
      </c>
      <c r="R987" s="4">
        <v>307654740</v>
      </c>
      <c r="S987" s="4">
        <v>308344774</v>
      </c>
      <c r="T987" s="4">
        <v>307654740</v>
      </c>
      <c r="U987" s="4">
        <v>308344774</v>
      </c>
      <c r="V987" s="4">
        <v>307654740</v>
      </c>
      <c r="W987" s="4">
        <v>308344774</v>
      </c>
      <c r="X987" s="4">
        <v>307654740</v>
      </c>
      <c r="Y987" s="4">
        <v>308344774</v>
      </c>
    </row>
    <row r="988" spans="1:25" ht="19.5" customHeight="1" x14ac:dyDescent="0.25">
      <c r="A988" s="2" t="s">
        <v>2439</v>
      </c>
      <c r="B988" s="2" t="s">
        <v>44</v>
      </c>
      <c r="C988" s="2" t="s">
        <v>2534</v>
      </c>
      <c r="D988" s="2" t="s">
        <v>2535</v>
      </c>
      <c r="E988" s="2" t="s">
        <v>2536</v>
      </c>
      <c r="F988" s="3">
        <v>365761.14</v>
      </c>
      <c r="G988" s="3">
        <v>534050</v>
      </c>
      <c r="H988" s="3">
        <v>534050</v>
      </c>
      <c r="I988" s="3">
        <v>534050</v>
      </c>
      <c r="J988" s="3">
        <v>534050</v>
      </c>
      <c r="K988" s="3">
        <v>534050</v>
      </c>
      <c r="L988" s="4">
        <v>534050</v>
      </c>
      <c r="M988" s="4">
        <v>534050</v>
      </c>
      <c r="N988" s="4">
        <v>534050</v>
      </c>
      <c r="O988" s="4">
        <v>534050</v>
      </c>
      <c r="P988" s="4">
        <v>534050</v>
      </c>
      <c r="Q988" s="4">
        <v>534050</v>
      </c>
      <c r="R988" s="4">
        <v>534050</v>
      </c>
      <c r="S988" s="4">
        <v>534050</v>
      </c>
      <c r="T988" s="4">
        <v>534050</v>
      </c>
      <c r="U988" s="4">
        <v>534050</v>
      </c>
      <c r="V988" s="4">
        <v>534050</v>
      </c>
      <c r="W988" s="4">
        <v>534050</v>
      </c>
      <c r="X988" s="4">
        <v>534050</v>
      </c>
      <c r="Y988" s="4">
        <v>534050</v>
      </c>
    </row>
    <row r="989" spans="1:25" ht="19.5" customHeight="1" x14ac:dyDescent="0.25">
      <c r="A989" s="2" t="s">
        <v>2439</v>
      </c>
      <c r="B989" s="2" t="s">
        <v>44</v>
      </c>
      <c r="C989" s="2" t="s">
        <v>2537</v>
      </c>
      <c r="D989" s="2" t="s">
        <v>2538</v>
      </c>
      <c r="E989" s="2" t="s">
        <v>2539</v>
      </c>
      <c r="F989" s="3">
        <v>106430436.75</v>
      </c>
      <c r="G989" s="3">
        <v>172450000</v>
      </c>
      <c r="H989" s="3">
        <v>169756357</v>
      </c>
      <c r="I989" s="3">
        <v>165743862</v>
      </c>
      <c r="J989" s="3">
        <v>169756357</v>
      </c>
      <c r="K989" s="3">
        <v>165743862</v>
      </c>
      <c r="L989" s="4">
        <v>169756357</v>
      </c>
      <c r="M989" s="4">
        <v>165743862</v>
      </c>
      <c r="N989" s="4">
        <v>169756357</v>
      </c>
      <c r="O989" s="4">
        <v>165743862</v>
      </c>
      <c r="P989" s="4">
        <v>169756357</v>
      </c>
      <c r="Q989" s="4">
        <v>165743862</v>
      </c>
      <c r="R989" s="4">
        <v>169756357</v>
      </c>
      <c r="S989" s="4">
        <v>165743862</v>
      </c>
      <c r="T989" s="4">
        <v>169756357</v>
      </c>
      <c r="U989" s="4">
        <v>165743862</v>
      </c>
      <c r="V989" s="4">
        <v>169756357</v>
      </c>
      <c r="W989" s="4">
        <v>165743862</v>
      </c>
      <c r="X989" s="4">
        <v>169756357</v>
      </c>
      <c r="Y989" s="4">
        <v>165743862</v>
      </c>
    </row>
    <row r="990" spans="1:25" ht="19.5" customHeight="1" x14ac:dyDescent="0.25">
      <c r="A990" s="2" t="s">
        <v>2439</v>
      </c>
      <c r="B990" s="2" t="s">
        <v>44</v>
      </c>
      <c r="C990" s="2" t="s">
        <v>2540</v>
      </c>
      <c r="D990" s="2" t="s">
        <v>2541</v>
      </c>
      <c r="E990" s="2" t="s">
        <v>2542</v>
      </c>
      <c r="F990" s="3">
        <v>18524746.550000001</v>
      </c>
      <c r="G990" s="3">
        <v>19959490</v>
      </c>
      <c r="H990" s="3">
        <v>31004791</v>
      </c>
      <c r="I990" s="3">
        <v>26455418</v>
      </c>
      <c r="J990" s="3">
        <v>31004791</v>
      </c>
      <c r="K990" s="3">
        <v>26455418</v>
      </c>
      <c r="L990" s="4">
        <v>31004791</v>
      </c>
      <c r="M990" s="4">
        <v>26455418</v>
      </c>
      <c r="N990" s="4">
        <v>31004791</v>
      </c>
      <c r="O990" s="4">
        <v>26455418</v>
      </c>
      <c r="P990" s="4">
        <v>31004791</v>
      </c>
      <c r="Q990" s="4">
        <v>26455418</v>
      </c>
      <c r="R990" s="4">
        <v>31004791</v>
      </c>
      <c r="S990" s="4">
        <v>26455418</v>
      </c>
      <c r="T990" s="4">
        <v>31004791</v>
      </c>
      <c r="U990" s="4">
        <v>26455418</v>
      </c>
      <c r="V990" s="4">
        <v>31004791</v>
      </c>
      <c r="W990" s="4">
        <v>26455418</v>
      </c>
      <c r="X990" s="4">
        <v>31004791</v>
      </c>
      <c r="Y990" s="4">
        <v>26455418</v>
      </c>
    </row>
    <row r="991" spans="1:25" ht="19.5" customHeight="1" x14ac:dyDescent="0.25">
      <c r="A991" s="2" t="s">
        <v>2439</v>
      </c>
      <c r="B991" s="2" t="s">
        <v>44</v>
      </c>
      <c r="C991" s="2" t="s">
        <v>2540</v>
      </c>
      <c r="D991" s="2" t="s">
        <v>2543</v>
      </c>
      <c r="E991" s="2" t="s">
        <v>2544</v>
      </c>
      <c r="F991" s="3">
        <v>86708305.799999997</v>
      </c>
      <c r="G991" s="3">
        <v>213806262</v>
      </c>
      <c r="H991" s="3">
        <v>160536498</v>
      </c>
      <c r="I991" s="3">
        <v>156864218</v>
      </c>
      <c r="J991" s="3">
        <v>160536498</v>
      </c>
      <c r="K991" s="3">
        <v>156864218</v>
      </c>
      <c r="L991" s="4">
        <v>160536498</v>
      </c>
      <c r="M991" s="4">
        <v>156864218</v>
      </c>
      <c r="N991" s="4">
        <v>160536498</v>
      </c>
      <c r="O991" s="4">
        <v>156864218</v>
      </c>
      <c r="P991" s="4">
        <v>160536498</v>
      </c>
      <c r="Q991" s="4">
        <v>156864218</v>
      </c>
      <c r="R991" s="4">
        <v>160536498</v>
      </c>
      <c r="S991" s="4">
        <v>156864218</v>
      </c>
      <c r="T991" s="4">
        <v>160536498</v>
      </c>
      <c r="U991" s="4">
        <v>156864218</v>
      </c>
      <c r="V991" s="4">
        <v>160536498</v>
      </c>
      <c r="W991" s="4">
        <v>156864218</v>
      </c>
      <c r="X991" s="4">
        <v>160536498</v>
      </c>
      <c r="Y991" s="4">
        <v>156864218</v>
      </c>
    </row>
    <row r="992" spans="1:25" ht="19.5" customHeight="1" x14ac:dyDescent="0.25">
      <c r="A992" s="2" t="s">
        <v>2439</v>
      </c>
      <c r="B992" s="2" t="s">
        <v>44</v>
      </c>
      <c r="C992" s="2" t="s">
        <v>2540</v>
      </c>
      <c r="D992" s="2" t="s">
        <v>2545</v>
      </c>
      <c r="E992" s="2" t="s">
        <v>2546</v>
      </c>
      <c r="F992" s="4">
        <v>4051676.19</v>
      </c>
      <c r="G992" s="3">
        <v>5800000</v>
      </c>
      <c r="H992" s="3">
        <v>6183602</v>
      </c>
      <c r="I992" s="3">
        <v>6281852</v>
      </c>
      <c r="J992" s="3">
        <v>6183602</v>
      </c>
      <c r="K992" s="3">
        <v>6281852</v>
      </c>
      <c r="L992" s="4">
        <v>6183602</v>
      </c>
      <c r="M992" s="4">
        <v>6281852</v>
      </c>
      <c r="N992" s="4">
        <v>6183602</v>
      </c>
      <c r="O992" s="4">
        <v>6281852</v>
      </c>
      <c r="P992" s="4">
        <v>6183602</v>
      </c>
      <c r="Q992" s="4">
        <v>6281852</v>
      </c>
      <c r="R992" s="4">
        <v>6183602</v>
      </c>
      <c r="S992" s="4">
        <v>6281852</v>
      </c>
      <c r="T992" s="4">
        <v>6183602</v>
      </c>
      <c r="U992" s="4">
        <v>6281852</v>
      </c>
      <c r="V992" s="4">
        <v>6183602</v>
      </c>
      <c r="W992" s="4">
        <v>6281852</v>
      </c>
      <c r="X992" s="4">
        <v>6183602</v>
      </c>
      <c r="Y992" s="4">
        <v>6281852</v>
      </c>
    </row>
    <row r="993" spans="1:25" ht="19.5" customHeight="1" x14ac:dyDescent="0.25">
      <c r="A993" s="2" t="s">
        <v>2439</v>
      </c>
      <c r="B993" s="2" t="s">
        <v>44</v>
      </c>
      <c r="C993" s="2" t="s">
        <v>2547</v>
      </c>
      <c r="D993" s="2" t="s">
        <v>2548</v>
      </c>
      <c r="E993" s="2" t="s">
        <v>2549</v>
      </c>
      <c r="F993" s="3">
        <v>744348677.74000001</v>
      </c>
      <c r="G993" s="3">
        <v>944877664</v>
      </c>
      <c r="H993" s="3">
        <v>961819158</v>
      </c>
      <c r="I993" s="3">
        <v>1025474447</v>
      </c>
      <c r="J993" s="3">
        <v>961819158</v>
      </c>
      <c r="K993" s="3">
        <v>1025474447</v>
      </c>
      <c r="L993" s="4">
        <v>961819158</v>
      </c>
      <c r="M993" s="4">
        <v>1025474447</v>
      </c>
      <c r="N993" s="4">
        <v>961819158</v>
      </c>
      <c r="O993" s="4">
        <v>1025474447</v>
      </c>
      <c r="P993" s="4">
        <v>961819158</v>
      </c>
      <c r="Q993" s="4">
        <v>1025474447</v>
      </c>
      <c r="R993" s="4">
        <v>961819158</v>
      </c>
      <c r="S993" s="4">
        <v>1025474447</v>
      </c>
      <c r="T993" s="4">
        <v>961819158</v>
      </c>
      <c r="U993" s="4">
        <v>1025474447</v>
      </c>
      <c r="V993" s="4">
        <v>961819158</v>
      </c>
      <c r="W993" s="4">
        <v>1025474447</v>
      </c>
      <c r="X993" s="4">
        <v>961819158</v>
      </c>
      <c r="Y993" s="4">
        <v>1025474447</v>
      </c>
    </row>
    <row r="994" spans="1:25" ht="19.5" customHeight="1" x14ac:dyDescent="0.25">
      <c r="A994" s="2" t="s">
        <v>2439</v>
      </c>
      <c r="B994" s="2" t="s">
        <v>887</v>
      </c>
      <c r="C994" s="2" t="s">
        <v>2550</v>
      </c>
      <c r="D994" s="2" t="s">
        <v>2551</v>
      </c>
      <c r="E994" s="2" t="s">
        <v>2552</v>
      </c>
      <c r="F994" s="3">
        <v>245928643.75999999</v>
      </c>
      <c r="G994" s="3">
        <v>100000000</v>
      </c>
      <c r="H994" s="3">
        <v>100000000</v>
      </c>
      <c r="I994" s="3">
        <v>100000000</v>
      </c>
      <c r="J994" s="3">
        <v>100000000</v>
      </c>
      <c r="K994" s="3">
        <v>100000000</v>
      </c>
      <c r="L994" s="4">
        <v>100000000</v>
      </c>
      <c r="M994" s="4">
        <v>100000000</v>
      </c>
      <c r="N994" s="4">
        <v>100000000</v>
      </c>
      <c r="O994" s="4">
        <v>100000000</v>
      </c>
      <c r="P994" s="4">
        <v>100000000</v>
      </c>
      <c r="Q994" s="4">
        <v>100000000</v>
      </c>
      <c r="R994" s="4">
        <v>100000000</v>
      </c>
      <c r="S994" s="4">
        <v>100000000</v>
      </c>
      <c r="T994" s="4">
        <v>100000000</v>
      </c>
      <c r="U994" s="4">
        <v>100000000</v>
      </c>
      <c r="V994" s="4">
        <v>100000000</v>
      </c>
      <c r="W994" s="4">
        <v>100000000</v>
      </c>
      <c r="X994" s="4">
        <v>100000000</v>
      </c>
      <c r="Y994" s="4">
        <v>100000000</v>
      </c>
    </row>
    <row r="995" spans="1:25" ht="19.5" customHeight="1" x14ac:dyDescent="0.25">
      <c r="A995" s="2" t="s">
        <v>2439</v>
      </c>
      <c r="B995" s="2" t="s">
        <v>887</v>
      </c>
      <c r="C995" s="2" t="s">
        <v>2553</v>
      </c>
      <c r="D995" s="2" t="s">
        <v>2554</v>
      </c>
      <c r="E995" s="2" t="s">
        <v>2555</v>
      </c>
      <c r="F995" s="3">
        <v>14090451.880000001</v>
      </c>
      <c r="G995" s="4">
        <v>13000000</v>
      </c>
      <c r="H995" s="4">
        <v>13000000</v>
      </c>
      <c r="I995" s="4">
        <v>13000000</v>
      </c>
      <c r="J995" s="4">
        <v>13000000</v>
      </c>
      <c r="K995" s="4">
        <v>13000000</v>
      </c>
      <c r="L995" s="4">
        <v>13000000</v>
      </c>
      <c r="M995" s="4">
        <v>13000000</v>
      </c>
      <c r="N995" s="4">
        <v>13000000</v>
      </c>
      <c r="O995" s="4">
        <v>13000000</v>
      </c>
      <c r="P995" s="4">
        <v>13000000</v>
      </c>
      <c r="Q995" s="4">
        <v>13000000</v>
      </c>
      <c r="R995" s="4">
        <v>13000000</v>
      </c>
      <c r="S995" s="4">
        <v>13000000</v>
      </c>
      <c r="T995" s="4">
        <v>13000000</v>
      </c>
      <c r="U995" s="4">
        <v>13000000</v>
      </c>
      <c r="V995" s="4">
        <v>13000000</v>
      </c>
      <c r="W995" s="4">
        <v>13000000</v>
      </c>
      <c r="X995" s="4">
        <v>13000000</v>
      </c>
      <c r="Y995" s="4">
        <v>13000000</v>
      </c>
    </row>
    <row r="996" spans="1:25" ht="19.5" customHeight="1" x14ac:dyDescent="0.25">
      <c r="A996" s="2" t="s">
        <v>2439</v>
      </c>
      <c r="B996" s="2" t="s">
        <v>887</v>
      </c>
      <c r="C996" s="2" t="s">
        <v>2556</v>
      </c>
      <c r="D996" s="2" t="s">
        <v>2557</v>
      </c>
      <c r="E996" s="2" t="s">
        <v>2558</v>
      </c>
      <c r="F996" s="4">
        <v>3701673.94</v>
      </c>
      <c r="G996" s="3">
        <v>4000000</v>
      </c>
      <c r="H996" s="3">
        <v>4000000</v>
      </c>
      <c r="I996" s="3">
        <v>4000000</v>
      </c>
      <c r="J996" s="3">
        <v>4000000</v>
      </c>
      <c r="K996" s="3">
        <v>4000000</v>
      </c>
      <c r="L996" s="4">
        <v>4000000</v>
      </c>
      <c r="M996" s="4">
        <v>4000000</v>
      </c>
      <c r="N996" s="4">
        <v>4000000</v>
      </c>
      <c r="O996" s="4">
        <v>4000000</v>
      </c>
      <c r="P996" s="4">
        <v>4000000</v>
      </c>
      <c r="Q996" s="4">
        <v>4000000</v>
      </c>
      <c r="R996" s="4">
        <v>4000000</v>
      </c>
      <c r="S996" s="4">
        <v>4000000</v>
      </c>
      <c r="T996" s="4">
        <v>4000000</v>
      </c>
      <c r="U996" s="4">
        <v>4000000</v>
      </c>
      <c r="V996" s="4">
        <v>4000000</v>
      </c>
      <c r="W996" s="4">
        <v>4000000</v>
      </c>
      <c r="X996" s="4">
        <v>4000000</v>
      </c>
      <c r="Y996" s="4">
        <v>4000000</v>
      </c>
    </row>
    <row r="997" spans="1:25" ht="19.5" customHeight="1" x14ac:dyDescent="0.25">
      <c r="A997" s="2" t="s">
        <v>2439</v>
      </c>
      <c r="B997" s="2" t="s">
        <v>54</v>
      </c>
      <c r="C997" s="2" t="s">
        <v>54</v>
      </c>
      <c r="D997" s="2" t="s">
        <v>2559</v>
      </c>
      <c r="E997" s="2" t="s">
        <v>1472</v>
      </c>
      <c r="F997" s="3">
        <v>5663633.25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4">
        <v>0</v>
      </c>
      <c r="M997" s="4">
        <v>0</v>
      </c>
      <c r="N997" s="4">
        <v>0</v>
      </c>
      <c r="O997" s="4">
        <v>0</v>
      </c>
      <c r="P997" s="4">
        <v>0</v>
      </c>
      <c r="Q997" s="4">
        <v>0</v>
      </c>
      <c r="R997" s="4">
        <v>0</v>
      </c>
      <c r="S997" s="4">
        <v>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</row>
    <row r="998" spans="1:25" ht="19.5" customHeight="1" x14ac:dyDescent="0.25">
      <c r="A998" s="2" t="s">
        <v>2439</v>
      </c>
      <c r="B998" s="2" t="s">
        <v>54</v>
      </c>
      <c r="C998" s="2" t="s">
        <v>54</v>
      </c>
      <c r="D998" s="2" t="s">
        <v>2560</v>
      </c>
      <c r="E998" s="2" t="s">
        <v>2561</v>
      </c>
      <c r="F998" s="3">
        <v>134320686.31999999</v>
      </c>
      <c r="G998" s="3">
        <v>144267326</v>
      </c>
      <c r="H998" s="3">
        <v>149267326</v>
      </c>
      <c r="I998" s="3">
        <v>149267326</v>
      </c>
      <c r="J998" s="3">
        <v>149267326</v>
      </c>
      <c r="K998" s="3">
        <v>149267326</v>
      </c>
      <c r="L998" s="4">
        <v>149267326</v>
      </c>
      <c r="M998" s="4">
        <v>149267326</v>
      </c>
      <c r="N998" s="4">
        <v>149267326</v>
      </c>
      <c r="O998" s="4">
        <v>149267326</v>
      </c>
      <c r="P998" s="4">
        <v>149267326</v>
      </c>
      <c r="Q998" s="4">
        <v>149267326</v>
      </c>
      <c r="R998" s="4">
        <v>149267326</v>
      </c>
      <c r="S998" s="4">
        <v>149267326</v>
      </c>
      <c r="T998" s="4">
        <v>149267326</v>
      </c>
      <c r="U998" s="4">
        <v>149267326</v>
      </c>
      <c r="V998" s="4">
        <v>149267326</v>
      </c>
      <c r="W998" s="4">
        <v>149267326</v>
      </c>
      <c r="X998" s="4">
        <v>149267326</v>
      </c>
      <c r="Y998" s="4">
        <v>149267326</v>
      </c>
    </row>
    <row r="999" spans="1:25" ht="19.5" customHeight="1" x14ac:dyDescent="0.25">
      <c r="A999" s="2" t="s">
        <v>2439</v>
      </c>
      <c r="B999" s="2" t="s">
        <v>54</v>
      </c>
      <c r="C999" s="2" t="s">
        <v>54</v>
      </c>
      <c r="D999" s="2" t="s">
        <v>2562</v>
      </c>
      <c r="E999" s="2" t="s">
        <v>2563</v>
      </c>
      <c r="F999" s="4">
        <v>83457145.049999997</v>
      </c>
      <c r="G999" s="3">
        <v>83461739</v>
      </c>
      <c r="H999" s="3">
        <v>83461739</v>
      </c>
      <c r="I999" s="3">
        <v>83461739</v>
      </c>
      <c r="J999" s="3">
        <v>83461739</v>
      </c>
      <c r="K999" s="3">
        <v>83461739</v>
      </c>
      <c r="L999" s="4">
        <v>83461739</v>
      </c>
      <c r="M999" s="4">
        <v>83461739</v>
      </c>
      <c r="N999" s="4">
        <v>83461739</v>
      </c>
      <c r="O999" s="4">
        <v>83461739</v>
      </c>
      <c r="P999" s="4">
        <v>83461739</v>
      </c>
      <c r="Q999" s="4">
        <v>83461739</v>
      </c>
      <c r="R999" s="4">
        <v>83461739</v>
      </c>
      <c r="S999" s="4">
        <v>83461739</v>
      </c>
      <c r="T999" s="4">
        <v>83461739</v>
      </c>
      <c r="U999" s="4">
        <v>83461739</v>
      </c>
      <c r="V999" s="4">
        <v>83461739</v>
      </c>
      <c r="W999" s="4">
        <v>83461739</v>
      </c>
      <c r="X999" s="4">
        <v>83461739</v>
      </c>
      <c r="Y999" s="4">
        <v>83461739</v>
      </c>
    </row>
    <row r="1000" spans="1:25" ht="19.5" customHeight="1" x14ac:dyDescent="0.25">
      <c r="A1000" s="2" t="s">
        <v>2439</v>
      </c>
      <c r="B1000" s="2" t="s">
        <v>54</v>
      </c>
      <c r="C1000" s="2" t="s">
        <v>54</v>
      </c>
      <c r="D1000" s="2" t="s">
        <v>2564</v>
      </c>
      <c r="E1000" s="2" t="s">
        <v>2565</v>
      </c>
      <c r="F1000" s="3">
        <v>10649951.85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</row>
    <row r="1001" spans="1:25" ht="19.5" customHeight="1" x14ac:dyDescent="0.25">
      <c r="A1001" s="2" t="s">
        <v>2439</v>
      </c>
      <c r="B1001" s="2" t="s">
        <v>54</v>
      </c>
      <c r="C1001" s="2" t="s">
        <v>54</v>
      </c>
      <c r="D1001" s="2" t="s">
        <v>2566</v>
      </c>
      <c r="E1001" s="2" t="s">
        <v>2567</v>
      </c>
      <c r="F1001" s="3">
        <v>782454.29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4">
        <v>0</v>
      </c>
      <c r="M1001" s="4">
        <v>0</v>
      </c>
      <c r="N1001" s="4">
        <v>0</v>
      </c>
      <c r="O1001" s="4">
        <v>0</v>
      </c>
      <c r="P1001" s="4">
        <v>0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</row>
    <row r="1002" spans="1:25" ht="19.5" customHeight="1" x14ac:dyDescent="0.25">
      <c r="A1002" s="2" t="s">
        <v>2439</v>
      </c>
      <c r="B1002" s="2" t="s">
        <v>54</v>
      </c>
      <c r="C1002" s="2" t="s">
        <v>54</v>
      </c>
      <c r="D1002" s="2" t="s">
        <v>2568</v>
      </c>
      <c r="E1002" s="2" t="s">
        <v>2569</v>
      </c>
      <c r="F1002" s="3">
        <v>247875.58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4">
        <v>0</v>
      </c>
      <c r="M1002" s="4">
        <v>0</v>
      </c>
      <c r="N1002" s="4">
        <v>0</v>
      </c>
      <c r="O1002" s="4">
        <v>0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</row>
    <row r="1003" spans="1:25" ht="19.5" customHeight="1" x14ac:dyDescent="0.25">
      <c r="A1003" s="2" t="s">
        <v>2439</v>
      </c>
      <c r="B1003" s="2" t="s">
        <v>54</v>
      </c>
      <c r="C1003" s="2" t="s">
        <v>54</v>
      </c>
      <c r="D1003" s="2" t="s">
        <v>2570</v>
      </c>
      <c r="E1003" s="2" t="s">
        <v>2571</v>
      </c>
      <c r="F1003" s="3">
        <v>1605544.23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4">
        <v>0</v>
      </c>
      <c r="M1003" s="4">
        <v>0</v>
      </c>
      <c r="N1003" s="4">
        <v>0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</row>
    <row r="1004" spans="1:25" ht="19.5" customHeight="1" x14ac:dyDescent="0.25">
      <c r="A1004" s="2" t="s">
        <v>2439</v>
      </c>
      <c r="B1004" s="2" t="s">
        <v>54</v>
      </c>
      <c r="C1004" s="2" t="s">
        <v>54</v>
      </c>
      <c r="D1004" s="2" t="s">
        <v>2572</v>
      </c>
      <c r="E1004" s="2" t="s">
        <v>2573</v>
      </c>
      <c r="F1004" s="3">
        <v>2006728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4">
        <v>0</v>
      </c>
      <c r="M1004" s="4">
        <v>0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</row>
    <row r="1005" spans="1:25" ht="19.5" customHeight="1" x14ac:dyDescent="0.25">
      <c r="A1005" s="2" t="s">
        <v>2439</v>
      </c>
      <c r="B1005" s="2" t="s">
        <v>54</v>
      </c>
      <c r="C1005" s="2" t="s">
        <v>54</v>
      </c>
      <c r="D1005" s="2" t="s">
        <v>2574</v>
      </c>
      <c r="E1005" s="2" t="s">
        <v>2575</v>
      </c>
      <c r="F1005" s="3">
        <v>96255873.349999994</v>
      </c>
      <c r="G1005" s="3">
        <v>118763614</v>
      </c>
      <c r="H1005" s="3">
        <v>185897917</v>
      </c>
      <c r="I1005" s="3">
        <v>187002077</v>
      </c>
      <c r="J1005" s="3">
        <v>185897917</v>
      </c>
      <c r="K1005" s="3">
        <v>187002077</v>
      </c>
      <c r="L1005" s="4">
        <v>185897917</v>
      </c>
      <c r="M1005" s="4">
        <v>187002077</v>
      </c>
      <c r="N1005" s="4">
        <v>185897917</v>
      </c>
      <c r="O1005" s="4">
        <v>187002077</v>
      </c>
      <c r="P1005" s="4">
        <v>158272162</v>
      </c>
      <c r="Q1005" s="4">
        <v>159177600</v>
      </c>
      <c r="R1005" s="4">
        <v>158272162</v>
      </c>
      <c r="S1005" s="4">
        <v>159177600</v>
      </c>
      <c r="T1005" s="4">
        <v>158272162</v>
      </c>
      <c r="U1005" s="4">
        <v>159177600</v>
      </c>
      <c r="V1005" s="4">
        <v>158272162</v>
      </c>
      <c r="W1005" s="4">
        <v>159177600</v>
      </c>
      <c r="X1005" s="4">
        <v>158272162</v>
      </c>
      <c r="Y1005" s="4">
        <v>159177600</v>
      </c>
    </row>
    <row r="1006" spans="1:25" ht="19.5" customHeight="1" x14ac:dyDescent="0.25">
      <c r="A1006" s="6" t="s">
        <v>2439</v>
      </c>
      <c r="B1006" s="6" t="s">
        <v>54</v>
      </c>
      <c r="C1006" s="6" t="s">
        <v>54</v>
      </c>
      <c r="D1006" s="7" t="s">
        <v>2576</v>
      </c>
      <c r="E1006" s="6" t="s">
        <v>2445</v>
      </c>
      <c r="F1006" s="9">
        <v>0</v>
      </c>
      <c r="G1006" s="9">
        <v>0</v>
      </c>
      <c r="H1006" s="9">
        <v>0</v>
      </c>
      <c r="I1006" s="9">
        <v>0</v>
      </c>
      <c r="J1006" s="9">
        <v>0</v>
      </c>
      <c r="K1006" s="9">
        <v>0</v>
      </c>
      <c r="L1006" s="9">
        <v>0</v>
      </c>
      <c r="M1006" s="9">
        <v>0</v>
      </c>
      <c r="N1006" s="9">
        <v>0</v>
      </c>
      <c r="O1006" s="9">
        <v>0</v>
      </c>
      <c r="P1006" s="4">
        <v>1386000</v>
      </c>
      <c r="Q1006" s="4">
        <v>1386000</v>
      </c>
      <c r="R1006" s="4">
        <v>1386000</v>
      </c>
      <c r="S1006" s="4">
        <v>1386000</v>
      </c>
      <c r="T1006" s="4">
        <v>1386000</v>
      </c>
      <c r="U1006" s="4">
        <v>1386000</v>
      </c>
      <c r="V1006" s="4">
        <v>1386000</v>
      </c>
      <c r="W1006" s="4">
        <v>1386000</v>
      </c>
      <c r="X1006" s="4">
        <v>1386000</v>
      </c>
      <c r="Y1006" s="4">
        <v>1386000</v>
      </c>
    </row>
    <row r="1007" spans="1:25" ht="19.5" customHeight="1" x14ac:dyDescent="0.25">
      <c r="A1007" s="2" t="s">
        <v>2439</v>
      </c>
      <c r="B1007" s="2" t="s">
        <v>54</v>
      </c>
      <c r="C1007" s="2" t="s">
        <v>54</v>
      </c>
      <c r="D1007" s="8" t="s">
        <v>2602</v>
      </c>
      <c r="E1007" s="2" t="s">
        <v>2488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4">
        <v>0</v>
      </c>
      <c r="M1007" s="4">
        <v>0</v>
      </c>
      <c r="N1007" s="4">
        <v>0</v>
      </c>
      <c r="O1007" s="4">
        <v>0</v>
      </c>
      <c r="P1007" s="4">
        <v>0</v>
      </c>
      <c r="Q1007" s="4">
        <v>0</v>
      </c>
      <c r="R1007" s="4">
        <v>0</v>
      </c>
      <c r="S1007" s="4">
        <v>0</v>
      </c>
      <c r="T1007" s="4">
        <v>0</v>
      </c>
      <c r="U1007" s="4">
        <v>0</v>
      </c>
      <c r="V1007" s="4">
        <v>8000000</v>
      </c>
      <c r="W1007" s="4">
        <v>8000000</v>
      </c>
      <c r="X1007" s="4">
        <v>8000000</v>
      </c>
      <c r="Y1007" s="4">
        <v>8000000</v>
      </c>
    </row>
    <row r="1008" spans="1:25" ht="19.5" customHeight="1" x14ac:dyDescent="0.25">
      <c r="A1008" s="2" t="s">
        <v>2439</v>
      </c>
      <c r="B1008" s="2" t="s">
        <v>54</v>
      </c>
      <c r="C1008" s="2" t="s">
        <v>54</v>
      </c>
      <c r="D1008" s="2" t="s">
        <v>2577</v>
      </c>
      <c r="E1008" s="2" t="s">
        <v>2578</v>
      </c>
      <c r="F1008" s="3">
        <v>22961438.199999999</v>
      </c>
      <c r="G1008" s="3">
        <v>23456891</v>
      </c>
      <c r="H1008" s="3">
        <v>26400000</v>
      </c>
      <c r="I1008" s="3">
        <v>26400000</v>
      </c>
      <c r="J1008" s="3">
        <v>26400000</v>
      </c>
      <c r="K1008" s="3">
        <v>26400000</v>
      </c>
      <c r="L1008" s="4">
        <v>26400000</v>
      </c>
      <c r="M1008" s="4">
        <v>26400000</v>
      </c>
      <c r="N1008" s="4">
        <v>26400000</v>
      </c>
      <c r="O1008" s="4">
        <v>26400000</v>
      </c>
      <c r="P1008" s="4">
        <v>26400000</v>
      </c>
      <c r="Q1008" s="4">
        <v>26400000</v>
      </c>
      <c r="R1008" s="4">
        <v>26400000</v>
      </c>
      <c r="S1008" s="4">
        <v>26400000</v>
      </c>
      <c r="T1008" s="4">
        <v>26400000</v>
      </c>
      <c r="U1008" s="4">
        <v>26400000</v>
      </c>
      <c r="V1008" s="4">
        <v>26400000</v>
      </c>
      <c r="W1008" s="4">
        <v>26400000</v>
      </c>
      <c r="X1008" s="4">
        <v>26400000</v>
      </c>
      <c r="Y1008" s="4">
        <v>26400000</v>
      </c>
    </row>
    <row r="1009" spans="1:25" ht="19.5" customHeight="1" x14ac:dyDescent="0.25">
      <c r="A1009" s="2" t="s">
        <v>2439</v>
      </c>
      <c r="B1009" s="2" t="s">
        <v>54</v>
      </c>
      <c r="C1009" s="2" t="s">
        <v>54</v>
      </c>
      <c r="D1009" s="2" t="s">
        <v>2579</v>
      </c>
      <c r="E1009" s="2" t="s">
        <v>2580</v>
      </c>
      <c r="F1009" s="3">
        <v>42926835.460000001</v>
      </c>
      <c r="G1009" s="4">
        <v>44748768</v>
      </c>
      <c r="H1009" s="4">
        <v>44748768</v>
      </c>
      <c r="I1009" s="4">
        <v>44748768</v>
      </c>
      <c r="J1009" s="4">
        <v>44748768</v>
      </c>
      <c r="K1009" s="4">
        <v>44748768</v>
      </c>
      <c r="L1009" s="4">
        <v>44748768</v>
      </c>
      <c r="M1009" s="4">
        <v>44748768</v>
      </c>
      <c r="N1009" s="4">
        <v>44748768</v>
      </c>
      <c r="O1009" s="4">
        <v>44748768</v>
      </c>
      <c r="P1009" s="4">
        <v>45748768</v>
      </c>
      <c r="Q1009" s="4">
        <v>44748768</v>
      </c>
      <c r="R1009" s="4">
        <v>48248768</v>
      </c>
      <c r="S1009" s="4">
        <v>47248768</v>
      </c>
      <c r="T1009" s="4">
        <v>48248768</v>
      </c>
      <c r="U1009" s="4">
        <v>47248768</v>
      </c>
      <c r="V1009" s="4">
        <v>48248768</v>
      </c>
      <c r="W1009" s="4">
        <v>47248768</v>
      </c>
      <c r="X1009" s="4">
        <v>48248768</v>
      </c>
      <c r="Y1009" s="4">
        <v>47248768</v>
      </c>
    </row>
    <row r="1010" spans="1:25" ht="19.5" customHeight="1" x14ac:dyDescent="0.25">
      <c r="A1010" s="2" t="s">
        <v>2439</v>
      </c>
      <c r="B1010" s="2" t="s">
        <v>54</v>
      </c>
      <c r="C1010" s="2" t="s">
        <v>54</v>
      </c>
      <c r="D1010" s="2" t="s">
        <v>2581</v>
      </c>
      <c r="E1010" s="2" t="s">
        <v>2582</v>
      </c>
      <c r="F1010" s="3">
        <v>145564622.49000001</v>
      </c>
      <c r="G1010" s="3">
        <v>134207628</v>
      </c>
      <c r="H1010" s="3">
        <v>212194327</v>
      </c>
      <c r="I1010" s="3">
        <v>207694327</v>
      </c>
      <c r="J1010" s="3">
        <v>212194327</v>
      </c>
      <c r="K1010" s="3">
        <v>207694327</v>
      </c>
      <c r="L1010" s="4">
        <v>212194327</v>
      </c>
      <c r="M1010" s="4">
        <v>207694327</v>
      </c>
      <c r="N1010" s="4">
        <v>212194327</v>
      </c>
      <c r="O1010" s="4">
        <v>207694327</v>
      </c>
      <c r="P1010" s="4">
        <v>212194327</v>
      </c>
      <c r="Q1010" s="4">
        <v>207694327</v>
      </c>
      <c r="R1010" s="4">
        <v>222194327</v>
      </c>
      <c r="S1010" s="4">
        <v>217694327</v>
      </c>
      <c r="T1010" s="4">
        <v>222194327</v>
      </c>
      <c r="U1010" s="4">
        <v>217694327</v>
      </c>
      <c r="V1010" s="4">
        <v>222194327</v>
      </c>
      <c r="W1010" s="4">
        <v>217694327</v>
      </c>
      <c r="X1010" s="4">
        <v>222194327</v>
      </c>
      <c r="Y1010" s="4">
        <v>217694327</v>
      </c>
    </row>
    <row r="1011" spans="1:25" ht="19.5" customHeight="1" x14ac:dyDescent="0.25">
      <c r="A1011" s="2" t="s">
        <v>2439</v>
      </c>
      <c r="B1011" s="2" t="s">
        <v>54</v>
      </c>
      <c r="C1011" s="2" t="s">
        <v>54</v>
      </c>
      <c r="D1011" s="2" t="s">
        <v>2583</v>
      </c>
      <c r="E1011" s="2" t="s">
        <v>1550</v>
      </c>
      <c r="F1011" s="3">
        <v>21599639.309999999</v>
      </c>
      <c r="G1011" s="3">
        <v>23922517</v>
      </c>
      <c r="H1011" s="3">
        <v>23922517</v>
      </c>
      <c r="I1011" s="3">
        <v>23922517</v>
      </c>
      <c r="J1011" s="3">
        <v>23922517</v>
      </c>
      <c r="K1011" s="3">
        <v>23922517</v>
      </c>
      <c r="L1011" s="4">
        <v>23922517</v>
      </c>
      <c r="M1011" s="4">
        <v>23922517</v>
      </c>
      <c r="N1011" s="4">
        <v>23922517</v>
      </c>
      <c r="O1011" s="4">
        <v>23922517</v>
      </c>
      <c r="P1011" s="4">
        <v>23922517</v>
      </c>
      <c r="Q1011" s="4">
        <v>23922517</v>
      </c>
      <c r="R1011" s="4">
        <v>23922517</v>
      </c>
      <c r="S1011" s="4">
        <v>23922517</v>
      </c>
      <c r="T1011" s="4">
        <v>23922517</v>
      </c>
      <c r="U1011" s="4">
        <v>23922517</v>
      </c>
      <c r="V1011" s="4">
        <v>23922517</v>
      </c>
      <c r="W1011" s="4">
        <v>23922517</v>
      </c>
      <c r="X1011" s="4">
        <v>23922517</v>
      </c>
      <c r="Y1011" s="4">
        <v>23922517</v>
      </c>
    </row>
    <row r="1012" spans="1:25" ht="19.5" customHeight="1" x14ac:dyDescent="0.25">
      <c r="A1012" s="2" t="s">
        <v>2439</v>
      </c>
      <c r="B1012" s="2" t="s">
        <v>54</v>
      </c>
      <c r="C1012" s="2" t="s">
        <v>54</v>
      </c>
      <c r="D1012" s="2" t="s">
        <v>2584</v>
      </c>
      <c r="E1012" s="2" t="s">
        <v>2585</v>
      </c>
      <c r="F1012" s="3">
        <v>12557988.23</v>
      </c>
      <c r="G1012" s="3">
        <v>13500000</v>
      </c>
      <c r="H1012" s="3">
        <v>13500000</v>
      </c>
      <c r="I1012" s="3">
        <v>13500000</v>
      </c>
      <c r="J1012" s="3">
        <v>13500000</v>
      </c>
      <c r="K1012" s="3">
        <v>13500000</v>
      </c>
      <c r="L1012" s="4">
        <v>13500000</v>
      </c>
      <c r="M1012" s="4">
        <v>13500000</v>
      </c>
      <c r="N1012" s="4">
        <v>13500000</v>
      </c>
      <c r="O1012" s="4">
        <v>13500000</v>
      </c>
      <c r="P1012" s="4">
        <v>13500000</v>
      </c>
      <c r="Q1012" s="4">
        <v>13500000</v>
      </c>
      <c r="R1012" s="4">
        <v>13500000</v>
      </c>
      <c r="S1012" s="4">
        <v>13500000</v>
      </c>
      <c r="T1012" s="4">
        <v>13500000</v>
      </c>
      <c r="U1012" s="4">
        <v>13500000</v>
      </c>
      <c r="V1012" s="4">
        <v>13500000</v>
      </c>
      <c r="W1012" s="4">
        <v>13500000</v>
      </c>
      <c r="X1012" s="4">
        <v>13500000</v>
      </c>
      <c r="Y1012" s="4">
        <v>13500000</v>
      </c>
    </row>
    <row r="1013" spans="1:25" ht="19.5" customHeight="1" x14ac:dyDescent="0.25">
      <c r="A1013" s="2" t="s">
        <v>2439</v>
      </c>
      <c r="B1013" s="2" t="s">
        <v>54</v>
      </c>
      <c r="C1013" s="2" t="s">
        <v>54</v>
      </c>
      <c r="D1013" s="2" t="s">
        <v>2586</v>
      </c>
      <c r="E1013" s="2" t="s">
        <v>2587</v>
      </c>
      <c r="F1013" s="3">
        <v>3708740.36</v>
      </c>
      <c r="G1013" s="4">
        <v>4230000</v>
      </c>
      <c r="H1013" s="4">
        <v>4230000</v>
      </c>
      <c r="I1013" s="4">
        <v>4230000</v>
      </c>
      <c r="J1013" s="4">
        <v>5720000</v>
      </c>
      <c r="K1013" s="4">
        <v>5720000</v>
      </c>
      <c r="L1013" s="4">
        <v>5720000</v>
      </c>
      <c r="M1013" s="4">
        <v>5720000</v>
      </c>
      <c r="N1013" s="4">
        <v>5720000</v>
      </c>
      <c r="O1013" s="4">
        <v>5720000</v>
      </c>
      <c r="P1013" s="4">
        <v>5720000</v>
      </c>
      <c r="Q1013" s="4">
        <v>5720000</v>
      </c>
      <c r="R1013" s="4">
        <v>5720000</v>
      </c>
      <c r="S1013" s="4">
        <v>5720000</v>
      </c>
      <c r="T1013" s="4">
        <v>5720000</v>
      </c>
      <c r="U1013" s="4">
        <v>5720000</v>
      </c>
      <c r="V1013" s="4">
        <v>5720000</v>
      </c>
      <c r="W1013" s="4">
        <v>5720000</v>
      </c>
      <c r="X1013" s="4">
        <v>5720000</v>
      </c>
      <c r="Y1013" s="4">
        <v>5720000</v>
      </c>
    </row>
    <row r="1014" spans="1:25" ht="19.5" customHeight="1" x14ac:dyDescent="0.25">
      <c r="A1014" s="2" t="s">
        <v>2439</v>
      </c>
      <c r="B1014" s="2" t="s">
        <v>54</v>
      </c>
      <c r="C1014" s="2" t="s">
        <v>54</v>
      </c>
      <c r="D1014" s="2" t="s">
        <v>2588</v>
      </c>
      <c r="E1014" s="2" t="s">
        <v>2589</v>
      </c>
      <c r="F1014" s="3">
        <v>140816805.56999999</v>
      </c>
      <c r="G1014" s="3">
        <v>141285241</v>
      </c>
      <c r="H1014" s="3">
        <v>141285241</v>
      </c>
      <c r="I1014" s="3">
        <v>141285241</v>
      </c>
      <c r="J1014" s="3">
        <v>141285241</v>
      </c>
      <c r="K1014" s="3">
        <v>141285241</v>
      </c>
      <c r="L1014" s="4">
        <v>141285241</v>
      </c>
      <c r="M1014" s="4">
        <v>141285241</v>
      </c>
      <c r="N1014" s="4">
        <v>141285241</v>
      </c>
      <c r="O1014" s="4">
        <v>141285241</v>
      </c>
      <c r="P1014" s="4">
        <v>141285241</v>
      </c>
      <c r="Q1014" s="4">
        <v>141285241</v>
      </c>
      <c r="R1014" s="4">
        <v>141285241</v>
      </c>
      <c r="S1014" s="4">
        <v>141285241</v>
      </c>
      <c r="T1014" s="4">
        <v>141285241</v>
      </c>
      <c r="U1014" s="4">
        <v>141285241</v>
      </c>
      <c r="V1014" s="4">
        <v>141285241</v>
      </c>
      <c r="W1014" s="4">
        <v>141285241</v>
      </c>
      <c r="X1014" s="4">
        <v>141285241</v>
      </c>
      <c r="Y1014" s="4">
        <v>141285241</v>
      </c>
    </row>
    <row r="1015" spans="1:25" ht="19.5" customHeight="1" x14ac:dyDescent="0.25">
      <c r="A1015" s="2" t="s">
        <v>2439</v>
      </c>
      <c r="B1015" s="2" t="s">
        <v>54</v>
      </c>
      <c r="C1015" s="2" t="s">
        <v>54</v>
      </c>
      <c r="D1015" s="2" t="s">
        <v>2590</v>
      </c>
      <c r="E1015" s="2" t="s">
        <v>2591</v>
      </c>
      <c r="F1015" s="3">
        <v>839550</v>
      </c>
      <c r="G1015" s="3">
        <v>1000000</v>
      </c>
      <c r="H1015" s="3">
        <v>1000000</v>
      </c>
      <c r="I1015" s="3">
        <v>1000000</v>
      </c>
      <c r="J1015" s="3">
        <v>1000000</v>
      </c>
      <c r="K1015" s="3">
        <v>1000000</v>
      </c>
      <c r="L1015" s="4">
        <v>1000000</v>
      </c>
      <c r="M1015" s="4">
        <v>1000000</v>
      </c>
      <c r="N1015" s="4">
        <v>1000000</v>
      </c>
      <c r="O1015" s="4">
        <v>1000000</v>
      </c>
      <c r="P1015" s="4">
        <v>1000000</v>
      </c>
      <c r="Q1015" s="4">
        <v>1000000</v>
      </c>
      <c r="R1015" s="4">
        <v>1000000</v>
      </c>
      <c r="S1015" s="4">
        <v>1000000</v>
      </c>
      <c r="T1015" s="4">
        <v>1000000</v>
      </c>
      <c r="U1015" s="4">
        <v>1000000</v>
      </c>
      <c r="V1015" s="4">
        <v>1000000</v>
      </c>
      <c r="W1015" s="4">
        <v>1000000</v>
      </c>
      <c r="X1015" s="4">
        <v>1000000</v>
      </c>
      <c r="Y1015" s="4">
        <v>1000000</v>
      </c>
    </row>
    <row r="1016" spans="1:25" ht="19.5" customHeight="1" x14ac:dyDescent="0.25">
      <c r="A1016" s="2" t="s">
        <v>2439</v>
      </c>
      <c r="B1016" s="2" t="s">
        <v>54</v>
      </c>
      <c r="C1016" s="2" t="s">
        <v>54</v>
      </c>
      <c r="D1016" s="2" t="s">
        <v>2592</v>
      </c>
      <c r="E1016" s="2" t="s">
        <v>2593</v>
      </c>
      <c r="F1016" s="3">
        <v>150000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4">
        <v>0</v>
      </c>
      <c r="M1016" s="4">
        <v>0</v>
      </c>
      <c r="N1016" s="4">
        <v>0</v>
      </c>
      <c r="O1016" s="4">
        <v>0</v>
      </c>
      <c r="P1016" s="4">
        <v>0</v>
      </c>
      <c r="Q1016" s="4">
        <v>0</v>
      </c>
      <c r="R1016" s="4">
        <v>0</v>
      </c>
      <c r="S1016" s="4">
        <v>0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</row>
    <row r="1017" spans="1:25" ht="19.5" customHeight="1" x14ac:dyDescent="0.25">
      <c r="A1017" s="2" t="s">
        <v>2439</v>
      </c>
      <c r="B1017" s="2" t="s">
        <v>54</v>
      </c>
      <c r="C1017" s="2" t="s">
        <v>54</v>
      </c>
      <c r="D1017" s="2" t="s">
        <v>2594</v>
      </c>
      <c r="E1017" s="2" t="s">
        <v>2595</v>
      </c>
      <c r="F1017" s="4">
        <v>82193.48</v>
      </c>
      <c r="G1017" s="3">
        <v>0</v>
      </c>
      <c r="H1017" s="3">
        <v>0</v>
      </c>
      <c r="I1017" s="3">
        <v>0</v>
      </c>
      <c r="J1017" s="3">
        <v>150000</v>
      </c>
      <c r="K1017" s="3">
        <v>150000</v>
      </c>
      <c r="L1017" s="4">
        <v>150000</v>
      </c>
      <c r="M1017" s="4">
        <v>150000</v>
      </c>
      <c r="N1017" s="4">
        <v>150000</v>
      </c>
      <c r="O1017" s="4">
        <v>150000</v>
      </c>
      <c r="P1017" s="4">
        <v>150000</v>
      </c>
      <c r="Q1017" s="4">
        <v>150000</v>
      </c>
      <c r="R1017" s="4">
        <v>1200000</v>
      </c>
      <c r="S1017" s="4">
        <v>150000</v>
      </c>
      <c r="T1017" s="4">
        <v>1200000</v>
      </c>
      <c r="U1017" s="4">
        <v>150000</v>
      </c>
      <c r="V1017" s="4">
        <v>1200000</v>
      </c>
      <c r="W1017" s="4">
        <v>150000</v>
      </c>
      <c r="X1017" s="4">
        <v>1200000</v>
      </c>
      <c r="Y1017" s="4">
        <v>150000</v>
      </c>
    </row>
    <row r="1018" spans="1:25" ht="19.5" customHeight="1" x14ac:dyDescent="0.25">
      <c r="A1018" s="2" t="s">
        <v>2439</v>
      </c>
      <c r="B1018" s="2" t="s">
        <v>54</v>
      </c>
      <c r="C1018" s="2" t="s">
        <v>54</v>
      </c>
      <c r="D1018" s="2" t="s">
        <v>2598</v>
      </c>
      <c r="E1018" s="2" t="s">
        <v>2599</v>
      </c>
      <c r="F1018" s="3">
        <v>125502.85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4">
        <v>259685</v>
      </c>
      <c r="M1018" s="4">
        <v>0</v>
      </c>
      <c r="N1018" s="4">
        <v>259685</v>
      </c>
      <c r="O1018" s="4">
        <v>0</v>
      </c>
      <c r="P1018" s="4">
        <v>259685</v>
      </c>
      <c r="Q1018" s="4">
        <v>0</v>
      </c>
      <c r="R1018" s="4">
        <v>259685</v>
      </c>
      <c r="S1018" s="4">
        <v>0</v>
      </c>
      <c r="T1018" s="4">
        <v>259685</v>
      </c>
      <c r="U1018" s="4">
        <v>0</v>
      </c>
      <c r="V1018" s="4">
        <v>259685</v>
      </c>
      <c r="W1018" s="4">
        <v>0</v>
      </c>
      <c r="X1018" s="4">
        <v>259685</v>
      </c>
      <c r="Y1018" s="4">
        <v>0</v>
      </c>
    </row>
    <row r="1019" spans="1:25" ht="19.5" customHeight="1" x14ac:dyDescent="0.25">
      <c r="A1019" s="2" t="s">
        <v>2439</v>
      </c>
      <c r="B1019" s="2" t="s">
        <v>54</v>
      </c>
      <c r="C1019" s="2" t="s">
        <v>54</v>
      </c>
      <c r="D1019" s="2" t="s">
        <v>2600</v>
      </c>
      <c r="E1019" s="2" t="s">
        <v>2601</v>
      </c>
      <c r="F1019" s="3">
        <v>888888</v>
      </c>
      <c r="G1019" s="3">
        <v>500000</v>
      </c>
      <c r="H1019" s="3">
        <v>1000000</v>
      </c>
      <c r="I1019" s="3">
        <v>1000000</v>
      </c>
      <c r="J1019" s="3">
        <v>1000000</v>
      </c>
      <c r="K1019" s="3">
        <v>1000000</v>
      </c>
      <c r="L1019" s="4">
        <v>1000000</v>
      </c>
      <c r="M1019" s="4">
        <v>1000000</v>
      </c>
      <c r="N1019" s="4">
        <v>1000000</v>
      </c>
      <c r="O1019" s="4">
        <v>1000000</v>
      </c>
      <c r="P1019" s="4">
        <v>1000000</v>
      </c>
      <c r="Q1019" s="4">
        <v>1000000</v>
      </c>
      <c r="R1019" s="4">
        <v>1000000</v>
      </c>
      <c r="S1019" s="4">
        <v>1000000</v>
      </c>
      <c r="T1019" s="4">
        <v>1000000</v>
      </c>
      <c r="U1019" s="4">
        <v>1000000</v>
      </c>
      <c r="V1019" s="4">
        <v>1000000</v>
      </c>
      <c r="W1019" s="4">
        <v>1000000</v>
      </c>
      <c r="X1019" s="4">
        <v>1000000</v>
      </c>
      <c r="Y1019" s="4">
        <v>1000000</v>
      </c>
    </row>
    <row r="1020" spans="1:25" ht="19.5" customHeight="1" x14ac:dyDescent="0.25">
      <c r="A1020" s="2" t="s">
        <v>2439</v>
      </c>
      <c r="B1020" s="2" t="s">
        <v>54</v>
      </c>
      <c r="C1020" s="2" t="s">
        <v>54</v>
      </c>
      <c r="D1020" s="2" t="s">
        <v>2603</v>
      </c>
      <c r="E1020" s="2" t="s">
        <v>2604</v>
      </c>
      <c r="F1020" s="3">
        <v>7408340.04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4">
        <v>0</v>
      </c>
      <c r="M1020" s="4">
        <v>0</v>
      </c>
      <c r="N1020" s="4">
        <v>0</v>
      </c>
      <c r="O1020" s="4">
        <v>0</v>
      </c>
      <c r="P1020" s="4">
        <v>0</v>
      </c>
      <c r="Q1020" s="4">
        <v>0</v>
      </c>
      <c r="R1020" s="4">
        <v>0</v>
      </c>
      <c r="S1020" s="4">
        <v>0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</row>
    <row r="1021" spans="1:25" ht="19.5" customHeight="1" x14ac:dyDescent="0.25">
      <c r="A1021" s="2" t="s">
        <v>2439</v>
      </c>
      <c r="B1021" s="2" t="s">
        <v>54</v>
      </c>
      <c r="C1021" s="2" t="s">
        <v>54</v>
      </c>
      <c r="D1021" s="8" t="s">
        <v>2596</v>
      </c>
      <c r="E1021" s="2" t="s">
        <v>2597</v>
      </c>
      <c r="F1021" s="4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4">
        <v>0</v>
      </c>
      <c r="M1021" s="4">
        <v>0</v>
      </c>
      <c r="N1021" s="4">
        <v>0</v>
      </c>
      <c r="O1021" s="4">
        <v>0</v>
      </c>
      <c r="P1021" s="4">
        <v>0</v>
      </c>
      <c r="Q1021" s="4">
        <v>0</v>
      </c>
      <c r="R1021" s="4">
        <v>2500000</v>
      </c>
      <c r="S1021" s="4">
        <v>2500000</v>
      </c>
      <c r="T1021" s="4">
        <v>2500000</v>
      </c>
      <c r="U1021" s="4">
        <v>2500000</v>
      </c>
      <c r="V1021" s="4">
        <v>2500000</v>
      </c>
      <c r="W1021" s="4">
        <v>2500000</v>
      </c>
      <c r="X1021" s="4">
        <v>2500000</v>
      </c>
      <c r="Y1021" s="4">
        <v>2500000</v>
      </c>
    </row>
    <row r="1022" spans="1:25" ht="19.5" customHeight="1" x14ac:dyDescent="0.25">
      <c r="A1022" s="2" t="s">
        <v>2439</v>
      </c>
      <c r="B1022" s="2" t="s">
        <v>54</v>
      </c>
      <c r="C1022" s="2" t="s">
        <v>54</v>
      </c>
      <c r="D1022" s="2" t="s">
        <v>2605</v>
      </c>
      <c r="E1022" s="2" t="s">
        <v>998</v>
      </c>
      <c r="F1022" s="4">
        <v>11013484.74</v>
      </c>
      <c r="G1022" s="3">
        <v>12995121</v>
      </c>
      <c r="H1022" s="3">
        <v>12461768</v>
      </c>
      <c r="I1022" s="3">
        <v>12832766</v>
      </c>
      <c r="J1022" s="3">
        <v>12461768</v>
      </c>
      <c r="K1022" s="3">
        <v>12832766</v>
      </c>
      <c r="L1022" s="4">
        <v>12461768</v>
      </c>
      <c r="M1022" s="4">
        <v>12832766</v>
      </c>
      <c r="N1022" s="4">
        <v>12461768</v>
      </c>
      <c r="O1022" s="4">
        <v>12832766</v>
      </c>
      <c r="P1022" s="4">
        <v>12461768</v>
      </c>
      <c r="Q1022" s="4">
        <v>12832766</v>
      </c>
      <c r="R1022" s="4">
        <v>12461768</v>
      </c>
      <c r="S1022" s="4">
        <v>12832766</v>
      </c>
      <c r="T1022" s="4">
        <v>12461768</v>
      </c>
      <c r="U1022" s="4">
        <v>12832766</v>
      </c>
      <c r="V1022" s="4">
        <v>12461768</v>
      </c>
      <c r="W1022" s="4">
        <v>12832766</v>
      </c>
      <c r="X1022" s="4">
        <v>12461768</v>
      </c>
      <c r="Y1022" s="4">
        <v>12832766</v>
      </c>
    </row>
    <row r="1023" spans="1:25" ht="19.5" customHeight="1" x14ac:dyDescent="0.25">
      <c r="A1023" s="2" t="s">
        <v>2439</v>
      </c>
      <c r="B1023" s="2" t="s">
        <v>54</v>
      </c>
      <c r="C1023" s="2" t="s">
        <v>54</v>
      </c>
      <c r="D1023" s="2" t="s">
        <v>2606</v>
      </c>
      <c r="E1023" s="2" t="s">
        <v>2607</v>
      </c>
      <c r="F1023" s="3">
        <v>43350201.850000001</v>
      </c>
      <c r="G1023" s="3">
        <v>37119931</v>
      </c>
      <c r="H1023" s="3">
        <v>38975628</v>
      </c>
      <c r="I1023" s="3">
        <v>38975628</v>
      </c>
      <c r="J1023" s="3">
        <v>38975628</v>
      </c>
      <c r="K1023" s="3">
        <v>38975628</v>
      </c>
      <c r="L1023" s="4">
        <v>38975628</v>
      </c>
      <c r="M1023" s="4">
        <v>38975628</v>
      </c>
      <c r="N1023" s="4">
        <v>38975628</v>
      </c>
      <c r="O1023" s="4">
        <v>38975628</v>
      </c>
      <c r="P1023" s="4">
        <v>39975628</v>
      </c>
      <c r="Q1023" s="4">
        <v>38975628</v>
      </c>
      <c r="R1023" s="4">
        <v>39975628</v>
      </c>
      <c r="S1023" s="4">
        <v>38975628</v>
      </c>
      <c r="T1023" s="4">
        <v>39975628</v>
      </c>
      <c r="U1023" s="4">
        <v>38975628</v>
      </c>
      <c r="V1023" s="4">
        <v>39975628</v>
      </c>
      <c r="W1023" s="4">
        <v>38975628</v>
      </c>
      <c r="X1023" s="4">
        <v>39975628</v>
      </c>
      <c r="Y1023" s="4">
        <v>38975628</v>
      </c>
    </row>
    <row r="1024" spans="1:25" ht="19.5" customHeight="1" x14ac:dyDescent="0.25">
      <c r="A1024" s="2" t="s">
        <v>2439</v>
      </c>
      <c r="B1024" s="2" t="s">
        <v>54</v>
      </c>
      <c r="C1024" s="2" t="s">
        <v>54</v>
      </c>
      <c r="D1024" s="2" t="s">
        <v>2608</v>
      </c>
      <c r="E1024" s="2" t="s">
        <v>2609</v>
      </c>
      <c r="F1024" s="3">
        <v>41326226.32</v>
      </c>
      <c r="G1024" s="3">
        <v>38750000</v>
      </c>
      <c r="H1024" s="3">
        <v>43530000</v>
      </c>
      <c r="I1024" s="3">
        <v>43500000</v>
      </c>
      <c r="J1024" s="3">
        <v>43530000</v>
      </c>
      <c r="K1024" s="3">
        <v>43500000</v>
      </c>
      <c r="L1024" s="4">
        <v>43530000</v>
      </c>
      <c r="M1024" s="4">
        <v>43500000</v>
      </c>
      <c r="N1024" s="4">
        <v>43530000</v>
      </c>
      <c r="O1024" s="4">
        <v>43500000</v>
      </c>
      <c r="P1024" s="4">
        <v>43530000</v>
      </c>
      <c r="Q1024" s="4">
        <v>43500000</v>
      </c>
      <c r="R1024" s="4">
        <v>43530000</v>
      </c>
      <c r="S1024" s="4">
        <v>43500000</v>
      </c>
      <c r="T1024" s="4">
        <v>43530000</v>
      </c>
      <c r="U1024" s="4">
        <v>43500000</v>
      </c>
      <c r="V1024" s="4">
        <v>43530000</v>
      </c>
      <c r="W1024" s="4">
        <v>43500000</v>
      </c>
      <c r="X1024" s="4">
        <v>43530000</v>
      </c>
      <c r="Y1024" s="4">
        <v>43500000</v>
      </c>
    </row>
    <row r="1025" spans="1:25" ht="19.5" customHeight="1" x14ac:dyDescent="0.25">
      <c r="A1025" s="2" t="s">
        <v>2439</v>
      </c>
      <c r="B1025" s="2" t="s">
        <v>227</v>
      </c>
      <c r="C1025" s="2" t="s">
        <v>2610</v>
      </c>
      <c r="D1025" s="2" t="s">
        <v>2611</v>
      </c>
      <c r="E1025" s="2" t="s">
        <v>2612</v>
      </c>
      <c r="F1025" s="3">
        <v>0</v>
      </c>
      <c r="G1025" s="3">
        <v>0</v>
      </c>
      <c r="H1025" s="3">
        <v>500000</v>
      </c>
      <c r="I1025" s="3">
        <v>500000</v>
      </c>
      <c r="J1025" s="3">
        <v>500000</v>
      </c>
      <c r="K1025" s="3">
        <v>500000</v>
      </c>
      <c r="L1025" s="4">
        <v>500000</v>
      </c>
      <c r="M1025" s="4">
        <v>500000</v>
      </c>
      <c r="N1025" s="4">
        <v>500000</v>
      </c>
      <c r="O1025" s="4">
        <v>500000</v>
      </c>
      <c r="P1025" s="4">
        <v>500000</v>
      </c>
      <c r="Q1025" s="4">
        <v>500000</v>
      </c>
      <c r="R1025" s="4">
        <v>500000</v>
      </c>
      <c r="S1025" s="4">
        <v>500000</v>
      </c>
      <c r="T1025" s="4">
        <v>500000</v>
      </c>
      <c r="U1025" s="4">
        <v>500000</v>
      </c>
      <c r="V1025" s="4">
        <v>500000</v>
      </c>
      <c r="W1025" s="4">
        <v>500000</v>
      </c>
      <c r="X1025" s="4">
        <v>500000</v>
      </c>
      <c r="Y1025" s="4">
        <v>500000</v>
      </c>
    </row>
    <row r="1026" spans="1:25" ht="19.5" customHeight="1" x14ac:dyDescent="0.25">
      <c r="A1026" s="2" t="s">
        <v>2439</v>
      </c>
      <c r="B1026" s="2" t="s">
        <v>243</v>
      </c>
      <c r="C1026" s="2" t="s">
        <v>2613</v>
      </c>
      <c r="D1026" s="2" t="s">
        <v>2614</v>
      </c>
      <c r="E1026" s="2" t="s">
        <v>2615</v>
      </c>
      <c r="F1026" s="4">
        <v>1649755.11</v>
      </c>
      <c r="G1026" s="3">
        <v>5000000</v>
      </c>
      <c r="H1026" s="3">
        <v>2000000</v>
      </c>
      <c r="I1026" s="3">
        <v>2000000</v>
      </c>
      <c r="J1026" s="3">
        <v>2000000</v>
      </c>
      <c r="K1026" s="3">
        <v>2000000</v>
      </c>
      <c r="L1026" s="4">
        <v>2000000</v>
      </c>
      <c r="M1026" s="4">
        <v>2000000</v>
      </c>
      <c r="N1026" s="4">
        <v>2000000</v>
      </c>
      <c r="O1026" s="4">
        <v>2000000</v>
      </c>
      <c r="P1026" s="4">
        <v>2000000</v>
      </c>
      <c r="Q1026" s="4">
        <v>2000000</v>
      </c>
      <c r="R1026" s="4">
        <v>2000000</v>
      </c>
      <c r="S1026" s="4">
        <v>2000000</v>
      </c>
      <c r="T1026" s="4">
        <v>2000000</v>
      </c>
      <c r="U1026" s="4">
        <v>2000000</v>
      </c>
      <c r="V1026" s="4">
        <v>2000000</v>
      </c>
      <c r="W1026" s="4">
        <v>2000000</v>
      </c>
      <c r="X1026" s="4">
        <v>2000000</v>
      </c>
      <c r="Y1026" s="4">
        <v>2000000</v>
      </c>
    </row>
    <row r="1027" spans="1:25" ht="19.5" customHeight="1" x14ac:dyDescent="0.25">
      <c r="A1027" s="2" t="s">
        <v>2616</v>
      </c>
      <c r="B1027" s="2" t="s">
        <v>16</v>
      </c>
      <c r="C1027" s="2" t="s">
        <v>2617</v>
      </c>
      <c r="D1027" s="2" t="s">
        <v>2618</v>
      </c>
      <c r="E1027" s="2" t="s">
        <v>2619</v>
      </c>
      <c r="F1027" s="3">
        <v>135435.53</v>
      </c>
      <c r="G1027" s="3">
        <v>150000</v>
      </c>
      <c r="H1027" s="3">
        <v>150000</v>
      </c>
      <c r="I1027" s="3">
        <v>150000</v>
      </c>
      <c r="J1027" s="3">
        <v>150000</v>
      </c>
      <c r="K1027" s="3">
        <v>150000</v>
      </c>
      <c r="L1027" s="4">
        <v>150000</v>
      </c>
      <c r="M1027" s="4">
        <v>150000</v>
      </c>
      <c r="N1027" s="4">
        <v>150000</v>
      </c>
      <c r="O1027" s="4">
        <v>150000</v>
      </c>
      <c r="P1027" s="4">
        <v>150000</v>
      </c>
      <c r="Q1027" s="4">
        <v>150000</v>
      </c>
      <c r="R1027" s="4">
        <v>150000</v>
      </c>
      <c r="S1027" s="4">
        <v>150000</v>
      </c>
      <c r="T1027" s="4">
        <v>150000</v>
      </c>
      <c r="U1027" s="4">
        <v>150000</v>
      </c>
      <c r="V1027" s="4">
        <v>150000</v>
      </c>
      <c r="W1027" s="4">
        <v>150000</v>
      </c>
      <c r="X1027" s="4">
        <v>150000</v>
      </c>
      <c r="Y1027" s="4">
        <v>150000</v>
      </c>
    </row>
    <row r="1028" spans="1:25" ht="19.5" customHeight="1" x14ac:dyDescent="0.25">
      <c r="A1028" s="2" t="s">
        <v>2616</v>
      </c>
      <c r="B1028" s="2" t="s">
        <v>16</v>
      </c>
      <c r="C1028" s="2" t="s">
        <v>2620</v>
      </c>
      <c r="D1028" s="2" t="s">
        <v>2621</v>
      </c>
      <c r="E1028" s="2" t="s">
        <v>2622</v>
      </c>
      <c r="F1028" s="3">
        <v>5397.7</v>
      </c>
      <c r="G1028" s="3">
        <v>10000</v>
      </c>
      <c r="H1028" s="3">
        <v>10000</v>
      </c>
      <c r="I1028" s="3">
        <v>10000</v>
      </c>
      <c r="J1028" s="3">
        <v>10000</v>
      </c>
      <c r="K1028" s="3">
        <v>10000</v>
      </c>
      <c r="L1028" s="4">
        <v>10000</v>
      </c>
      <c r="M1028" s="4">
        <v>10000</v>
      </c>
      <c r="N1028" s="4">
        <v>10000</v>
      </c>
      <c r="O1028" s="4">
        <v>10000</v>
      </c>
      <c r="P1028" s="4">
        <v>10000</v>
      </c>
      <c r="Q1028" s="4">
        <v>10000</v>
      </c>
      <c r="R1028" s="4">
        <v>10000</v>
      </c>
      <c r="S1028" s="4">
        <v>10000</v>
      </c>
      <c r="T1028" s="4">
        <v>10000</v>
      </c>
      <c r="U1028" s="4">
        <v>10000</v>
      </c>
      <c r="V1028" s="4">
        <v>10000</v>
      </c>
      <c r="W1028" s="4">
        <v>10000</v>
      </c>
      <c r="X1028" s="4">
        <v>10000</v>
      </c>
      <c r="Y1028" s="4">
        <v>10000</v>
      </c>
    </row>
    <row r="1029" spans="1:25" ht="19.5" customHeight="1" x14ac:dyDescent="0.25">
      <c r="A1029" s="2" t="s">
        <v>2616</v>
      </c>
      <c r="B1029" s="2" t="s">
        <v>54</v>
      </c>
      <c r="C1029" s="2" t="s">
        <v>54</v>
      </c>
      <c r="D1029" s="2" t="s">
        <v>2623</v>
      </c>
      <c r="E1029" s="2" t="s">
        <v>2624</v>
      </c>
      <c r="F1029" s="3">
        <v>541318.01</v>
      </c>
      <c r="G1029" s="3">
        <v>625000</v>
      </c>
      <c r="H1029" s="3">
        <v>625000</v>
      </c>
      <c r="I1029" s="3">
        <v>625000</v>
      </c>
      <c r="J1029" s="3">
        <v>625000</v>
      </c>
      <c r="K1029" s="3">
        <v>625000</v>
      </c>
      <c r="L1029" s="4">
        <v>625000</v>
      </c>
      <c r="M1029" s="4">
        <v>625000</v>
      </c>
      <c r="N1029" s="4">
        <v>625000</v>
      </c>
      <c r="O1029" s="4">
        <v>625000</v>
      </c>
      <c r="P1029" s="4">
        <v>625000</v>
      </c>
      <c r="Q1029" s="4">
        <v>625000</v>
      </c>
      <c r="R1029" s="4">
        <v>625000</v>
      </c>
      <c r="S1029" s="4">
        <v>625000</v>
      </c>
      <c r="T1029" s="4">
        <v>625000</v>
      </c>
      <c r="U1029" s="4">
        <v>625000</v>
      </c>
      <c r="V1029" s="4">
        <v>625000</v>
      </c>
      <c r="W1029" s="4">
        <v>625000</v>
      </c>
      <c r="X1029" s="4">
        <v>625000</v>
      </c>
      <c r="Y1029" s="4">
        <v>625000</v>
      </c>
    </row>
    <row r="1030" spans="1:25" ht="19.5" customHeight="1" x14ac:dyDescent="0.25">
      <c r="A1030" s="2" t="s">
        <v>2625</v>
      </c>
      <c r="B1030" s="2" t="s">
        <v>54</v>
      </c>
      <c r="C1030" s="2" t="s">
        <v>54</v>
      </c>
      <c r="D1030" s="2" t="s">
        <v>2626</v>
      </c>
      <c r="E1030" s="2" t="s">
        <v>22</v>
      </c>
      <c r="F1030" s="3">
        <v>4774</v>
      </c>
      <c r="G1030" s="3">
        <v>550000</v>
      </c>
      <c r="H1030" s="3">
        <v>371848</v>
      </c>
      <c r="I1030" s="3">
        <v>575083</v>
      </c>
      <c r="J1030" s="3">
        <v>371848</v>
      </c>
      <c r="K1030" s="3">
        <v>575083</v>
      </c>
      <c r="L1030" s="4">
        <v>371848</v>
      </c>
      <c r="M1030" s="4">
        <v>575083</v>
      </c>
      <c r="N1030" s="4">
        <v>371848</v>
      </c>
      <c r="O1030" s="4">
        <v>575083</v>
      </c>
      <c r="P1030" s="4">
        <v>371848</v>
      </c>
      <c r="Q1030" s="4">
        <v>575083</v>
      </c>
      <c r="R1030" s="4">
        <v>371848</v>
      </c>
      <c r="S1030" s="4">
        <v>575083</v>
      </c>
      <c r="T1030" s="4">
        <v>371848</v>
      </c>
      <c r="U1030" s="4">
        <v>575083</v>
      </c>
      <c r="V1030" s="4">
        <v>371848</v>
      </c>
      <c r="W1030" s="4">
        <v>575083</v>
      </c>
      <c r="X1030" s="4">
        <v>371848</v>
      </c>
      <c r="Y1030" s="4">
        <v>575083</v>
      </c>
    </row>
    <row r="1031" spans="1:25" ht="19.5" customHeight="1" x14ac:dyDescent="0.25">
      <c r="A1031" s="2" t="s">
        <v>2627</v>
      </c>
      <c r="B1031" s="2" t="s">
        <v>16</v>
      </c>
      <c r="C1031" s="2" t="s">
        <v>2628</v>
      </c>
      <c r="D1031" s="2" t="s">
        <v>2629</v>
      </c>
      <c r="E1031" s="2" t="s">
        <v>2630</v>
      </c>
      <c r="F1031" s="3">
        <v>9941502.4000000004</v>
      </c>
      <c r="G1031" s="3">
        <v>10924650</v>
      </c>
      <c r="H1031" s="3">
        <v>11015310</v>
      </c>
      <c r="I1031" s="3">
        <v>10979027</v>
      </c>
      <c r="J1031" s="3">
        <v>11015310</v>
      </c>
      <c r="K1031" s="3">
        <v>10979027</v>
      </c>
      <c r="L1031" s="4">
        <v>11015310</v>
      </c>
      <c r="M1031" s="4">
        <v>10979027</v>
      </c>
      <c r="N1031" s="4">
        <v>11015310</v>
      </c>
      <c r="O1031" s="4">
        <v>10979027</v>
      </c>
      <c r="P1031" s="4">
        <v>11015310</v>
      </c>
      <c r="Q1031" s="4">
        <v>10979027</v>
      </c>
      <c r="R1031" s="4">
        <v>11015310</v>
      </c>
      <c r="S1031" s="4">
        <v>10979027</v>
      </c>
      <c r="T1031" s="4">
        <v>11015310</v>
      </c>
      <c r="U1031" s="4">
        <v>10979027</v>
      </c>
      <c r="V1031" s="4">
        <v>11015310</v>
      </c>
      <c r="W1031" s="4">
        <v>10979027</v>
      </c>
      <c r="X1031" s="4">
        <v>11015310</v>
      </c>
      <c r="Y1031" s="4">
        <v>10979027</v>
      </c>
    </row>
    <row r="1032" spans="1:25" ht="19.5" customHeight="1" x14ac:dyDescent="0.25">
      <c r="A1032" s="2" t="s">
        <v>2627</v>
      </c>
      <c r="B1032" s="2" t="s">
        <v>16</v>
      </c>
      <c r="C1032" s="2" t="s">
        <v>2631</v>
      </c>
      <c r="D1032" s="2" t="s">
        <v>2632</v>
      </c>
      <c r="E1032" s="2" t="s">
        <v>2633</v>
      </c>
      <c r="F1032" s="3">
        <v>7950</v>
      </c>
      <c r="G1032" s="3">
        <v>4261</v>
      </c>
      <c r="H1032" s="3">
        <v>7000</v>
      </c>
      <c r="I1032" s="3">
        <v>7000</v>
      </c>
      <c r="J1032" s="3">
        <v>7000</v>
      </c>
      <c r="K1032" s="3">
        <v>7000</v>
      </c>
      <c r="L1032" s="4">
        <v>7000</v>
      </c>
      <c r="M1032" s="4">
        <v>7000</v>
      </c>
      <c r="N1032" s="4">
        <v>7000</v>
      </c>
      <c r="O1032" s="4">
        <v>7000</v>
      </c>
      <c r="P1032" s="4">
        <v>7000</v>
      </c>
      <c r="Q1032" s="4">
        <v>7000</v>
      </c>
      <c r="R1032" s="4">
        <v>7000</v>
      </c>
      <c r="S1032" s="4">
        <v>7000</v>
      </c>
      <c r="T1032" s="4">
        <v>7000</v>
      </c>
      <c r="U1032" s="4">
        <v>7000</v>
      </c>
      <c r="V1032" s="4">
        <v>7000</v>
      </c>
      <c r="W1032" s="4">
        <v>7000</v>
      </c>
      <c r="X1032" s="4">
        <v>7000</v>
      </c>
      <c r="Y1032" s="4">
        <v>7000</v>
      </c>
    </row>
    <row r="1033" spans="1:25" ht="19.5" customHeight="1" x14ac:dyDescent="0.25">
      <c r="A1033" s="2" t="s">
        <v>2627</v>
      </c>
      <c r="B1033" s="2" t="s">
        <v>16</v>
      </c>
      <c r="C1033" s="2" t="s">
        <v>2634</v>
      </c>
      <c r="D1033" s="2" t="s">
        <v>2635</v>
      </c>
      <c r="E1033" s="2" t="s">
        <v>2636</v>
      </c>
      <c r="F1033" s="3">
        <v>284012.39</v>
      </c>
      <c r="G1033" s="3">
        <v>350000</v>
      </c>
      <c r="H1033" s="3">
        <v>350000</v>
      </c>
      <c r="I1033" s="3">
        <v>350000</v>
      </c>
      <c r="J1033" s="3">
        <v>350000</v>
      </c>
      <c r="K1033" s="3">
        <v>350000</v>
      </c>
      <c r="L1033" s="4">
        <v>350000</v>
      </c>
      <c r="M1033" s="4">
        <v>350000</v>
      </c>
      <c r="N1033" s="4">
        <v>350000</v>
      </c>
      <c r="O1033" s="4">
        <v>350000</v>
      </c>
      <c r="P1033" s="4">
        <v>350000</v>
      </c>
      <c r="Q1033" s="4">
        <v>350000</v>
      </c>
      <c r="R1033" s="4">
        <v>350000</v>
      </c>
      <c r="S1033" s="4">
        <v>350000</v>
      </c>
      <c r="T1033" s="4">
        <v>350000</v>
      </c>
      <c r="U1033" s="4">
        <v>350000</v>
      </c>
      <c r="V1033" s="4">
        <v>350000</v>
      </c>
      <c r="W1033" s="4">
        <v>350000</v>
      </c>
      <c r="X1033" s="4">
        <v>350000</v>
      </c>
      <c r="Y1033" s="4">
        <v>350000</v>
      </c>
    </row>
    <row r="1034" spans="1:25" ht="19.5" customHeight="1" x14ac:dyDescent="0.25">
      <c r="A1034" s="2" t="s">
        <v>2627</v>
      </c>
      <c r="B1034" s="2" t="s">
        <v>16</v>
      </c>
      <c r="C1034" s="2" t="s">
        <v>2637</v>
      </c>
      <c r="D1034" s="2" t="s">
        <v>2638</v>
      </c>
      <c r="E1034" s="2" t="s">
        <v>2639</v>
      </c>
      <c r="F1034" s="3">
        <v>0</v>
      </c>
      <c r="G1034" s="3">
        <v>8224</v>
      </c>
      <c r="H1034" s="3">
        <v>5000</v>
      </c>
      <c r="I1034" s="3">
        <v>5000</v>
      </c>
      <c r="J1034" s="3">
        <v>5000</v>
      </c>
      <c r="K1034" s="3">
        <v>5000</v>
      </c>
      <c r="L1034" s="4">
        <v>5000</v>
      </c>
      <c r="M1034" s="4">
        <v>5000</v>
      </c>
      <c r="N1034" s="4">
        <v>5000</v>
      </c>
      <c r="O1034" s="4">
        <v>5000</v>
      </c>
      <c r="P1034" s="4">
        <v>5000</v>
      </c>
      <c r="Q1034" s="4">
        <v>5000</v>
      </c>
      <c r="R1034" s="4">
        <v>5000</v>
      </c>
      <c r="S1034" s="4">
        <v>5000</v>
      </c>
      <c r="T1034" s="4">
        <v>5000</v>
      </c>
      <c r="U1034" s="4">
        <v>5000</v>
      </c>
      <c r="V1034" s="4">
        <v>5000</v>
      </c>
      <c r="W1034" s="4">
        <v>5000</v>
      </c>
      <c r="X1034" s="4">
        <v>5000</v>
      </c>
      <c r="Y1034" s="4">
        <v>5000</v>
      </c>
    </row>
    <row r="1035" spans="1:25" ht="19.5" customHeight="1" x14ac:dyDescent="0.25">
      <c r="A1035" s="2" t="s">
        <v>2627</v>
      </c>
      <c r="B1035" s="2" t="s">
        <v>16</v>
      </c>
      <c r="C1035" s="2" t="s">
        <v>2640</v>
      </c>
      <c r="D1035" s="2" t="s">
        <v>2641</v>
      </c>
      <c r="E1035" s="2" t="s">
        <v>2642</v>
      </c>
      <c r="F1035" s="3">
        <v>134475.21</v>
      </c>
      <c r="G1035" s="3">
        <v>151000</v>
      </c>
      <c r="H1035" s="3">
        <v>105000</v>
      </c>
      <c r="I1035" s="3">
        <v>105000</v>
      </c>
      <c r="J1035" s="3">
        <v>105000</v>
      </c>
      <c r="K1035" s="3">
        <v>105000</v>
      </c>
      <c r="L1035" s="4">
        <v>105000</v>
      </c>
      <c r="M1035" s="4">
        <v>105000</v>
      </c>
      <c r="N1035" s="4">
        <v>105000</v>
      </c>
      <c r="O1035" s="4">
        <v>105000</v>
      </c>
      <c r="P1035" s="4">
        <v>105000</v>
      </c>
      <c r="Q1035" s="4">
        <v>105000</v>
      </c>
      <c r="R1035" s="4">
        <v>105000</v>
      </c>
      <c r="S1035" s="4">
        <v>105000</v>
      </c>
      <c r="T1035" s="4">
        <v>105000</v>
      </c>
      <c r="U1035" s="4">
        <v>105000</v>
      </c>
      <c r="V1035" s="4">
        <v>105000</v>
      </c>
      <c r="W1035" s="4">
        <v>105000</v>
      </c>
      <c r="X1035" s="4">
        <v>105000</v>
      </c>
      <c r="Y1035" s="4">
        <v>105000</v>
      </c>
    </row>
    <row r="1036" spans="1:25" ht="19.5" customHeight="1" x14ac:dyDescent="0.25">
      <c r="A1036" s="2" t="s">
        <v>2627</v>
      </c>
      <c r="B1036" s="2" t="s">
        <v>16</v>
      </c>
      <c r="C1036" s="2" t="s">
        <v>2643</v>
      </c>
      <c r="D1036" s="2" t="s">
        <v>2644</v>
      </c>
      <c r="E1036" s="2" t="s">
        <v>2645</v>
      </c>
      <c r="F1036" s="3">
        <v>23227.37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</row>
    <row r="1037" spans="1:25" ht="19.5" customHeight="1" x14ac:dyDescent="0.25">
      <c r="A1037" s="2" t="s">
        <v>2627</v>
      </c>
      <c r="B1037" s="2" t="s">
        <v>44</v>
      </c>
      <c r="C1037" s="2" t="s">
        <v>2646</v>
      </c>
      <c r="D1037" s="2" t="s">
        <v>2647</v>
      </c>
      <c r="E1037" s="2" t="s">
        <v>1819</v>
      </c>
      <c r="F1037" s="3">
        <v>1639208.26</v>
      </c>
      <c r="G1037" s="3">
        <v>2260715</v>
      </c>
      <c r="H1037" s="3">
        <v>1155203</v>
      </c>
      <c r="I1037" s="3">
        <v>1026530</v>
      </c>
      <c r="J1037" s="3">
        <v>1155203</v>
      </c>
      <c r="K1037" s="3">
        <v>1026530</v>
      </c>
      <c r="L1037" s="4">
        <v>1155203</v>
      </c>
      <c r="M1037" s="4">
        <v>1026530</v>
      </c>
      <c r="N1037" s="4">
        <v>1155203</v>
      </c>
      <c r="O1037" s="4">
        <v>1026530</v>
      </c>
      <c r="P1037" s="4">
        <v>1155203</v>
      </c>
      <c r="Q1037" s="4">
        <v>1026530</v>
      </c>
      <c r="R1037" s="4">
        <v>1155203</v>
      </c>
      <c r="S1037" s="4">
        <v>1026530</v>
      </c>
      <c r="T1037" s="4">
        <v>1155203</v>
      </c>
      <c r="U1037" s="4">
        <v>1026530</v>
      </c>
      <c r="V1037" s="4">
        <v>1155203</v>
      </c>
      <c r="W1037" s="4">
        <v>1026530</v>
      </c>
      <c r="X1037" s="4">
        <v>1155203</v>
      </c>
      <c r="Y1037" s="4">
        <v>1026530</v>
      </c>
    </row>
    <row r="1038" spans="1:25" ht="19.5" customHeight="1" x14ac:dyDescent="0.25">
      <c r="A1038" s="2" t="s">
        <v>2627</v>
      </c>
      <c r="B1038" s="2" t="s">
        <v>887</v>
      </c>
      <c r="C1038" s="2" t="s">
        <v>2648</v>
      </c>
      <c r="D1038" s="2" t="s">
        <v>2649</v>
      </c>
      <c r="E1038" s="2" t="s">
        <v>2650</v>
      </c>
      <c r="F1038" s="3">
        <v>220799.54</v>
      </c>
      <c r="G1038" s="3">
        <v>313500</v>
      </c>
      <c r="H1038" s="3">
        <v>308000</v>
      </c>
      <c r="I1038" s="3">
        <v>323500</v>
      </c>
      <c r="J1038" s="3">
        <v>308000</v>
      </c>
      <c r="K1038" s="3">
        <v>323500</v>
      </c>
      <c r="L1038" s="4">
        <v>308000</v>
      </c>
      <c r="M1038" s="4">
        <v>323500</v>
      </c>
      <c r="N1038" s="4">
        <v>308000</v>
      </c>
      <c r="O1038" s="4">
        <v>323500</v>
      </c>
      <c r="P1038" s="4">
        <v>308000</v>
      </c>
      <c r="Q1038" s="4">
        <v>323500</v>
      </c>
      <c r="R1038" s="4">
        <v>308000</v>
      </c>
      <c r="S1038" s="4">
        <v>323500</v>
      </c>
      <c r="T1038" s="4">
        <v>308000</v>
      </c>
      <c r="U1038" s="4">
        <v>323500</v>
      </c>
      <c r="V1038" s="4">
        <v>308000</v>
      </c>
      <c r="W1038" s="4">
        <v>323500</v>
      </c>
      <c r="X1038" s="4">
        <v>308000</v>
      </c>
      <c r="Y1038" s="4">
        <v>323500</v>
      </c>
    </row>
    <row r="1039" spans="1:25" ht="19.5" customHeight="1" x14ac:dyDescent="0.25">
      <c r="A1039" s="2" t="s">
        <v>2627</v>
      </c>
      <c r="B1039" s="2" t="s">
        <v>54</v>
      </c>
      <c r="C1039" s="2" t="s">
        <v>54</v>
      </c>
      <c r="D1039" s="2" t="s">
        <v>2651</v>
      </c>
      <c r="E1039" s="2" t="s">
        <v>2652</v>
      </c>
      <c r="F1039" s="3">
        <v>177767679.69999999</v>
      </c>
      <c r="G1039" s="3">
        <v>183018785</v>
      </c>
      <c r="H1039" s="3">
        <v>185879257</v>
      </c>
      <c r="I1039" s="3">
        <v>190389942</v>
      </c>
      <c r="J1039" s="3">
        <v>185879257</v>
      </c>
      <c r="K1039" s="3">
        <v>190389942</v>
      </c>
      <c r="L1039" s="4">
        <v>185879257</v>
      </c>
      <c r="M1039" s="4">
        <v>190389942</v>
      </c>
      <c r="N1039" s="4">
        <v>185879257</v>
      </c>
      <c r="O1039" s="4">
        <v>190389942</v>
      </c>
      <c r="P1039" s="4">
        <v>185879257</v>
      </c>
      <c r="Q1039" s="4">
        <v>190389942</v>
      </c>
      <c r="R1039" s="4">
        <v>185879257</v>
      </c>
      <c r="S1039" s="4">
        <v>190389942</v>
      </c>
      <c r="T1039" s="4">
        <v>185879257</v>
      </c>
      <c r="U1039" s="4">
        <v>190389942</v>
      </c>
      <c r="V1039" s="4">
        <v>185879257</v>
      </c>
      <c r="W1039" s="4">
        <v>190389942</v>
      </c>
      <c r="X1039" s="4">
        <v>185879257</v>
      </c>
      <c r="Y1039" s="4">
        <v>190389942</v>
      </c>
    </row>
    <row r="1040" spans="1:25" ht="19.5" customHeight="1" x14ac:dyDescent="0.25">
      <c r="A1040" s="2" t="s">
        <v>2627</v>
      </c>
      <c r="B1040" s="2" t="s">
        <v>54</v>
      </c>
      <c r="C1040" s="2" t="s">
        <v>54</v>
      </c>
      <c r="D1040" s="2" t="s">
        <v>2653</v>
      </c>
      <c r="E1040" s="2" t="s">
        <v>2654</v>
      </c>
      <c r="F1040" s="3">
        <v>457134.02</v>
      </c>
      <c r="G1040" s="3">
        <v>614970</v>
      </c>
      <c r="H1040" s="3">
        <v>1346891</v>
      </c>
      <c r="I1040" s="3">
        <v>1438123</v>
      </c>
      <c r="J1040" s="3">
        <v>1346891</v>
      </c>
      <c r="K1040" s="3">
        <v>1438123</v>
      </c>
      <c r="L1040" s="4">
        <v>1346891</v>
      </c>
      <c r="M1040" s="4">
        <v>1438123</v>
      </c>
      <c r="N1040" s="4">
        <v>1346891</v>
      </c>
      <c r="O1040" s="4">
        <v>1438123</v>
      </c>
      <c r="P1040" s="4">
        <v>1346891</v>
      </c>
      <c r="Q1040" s="4">
        <v>1438123</v>
      </c>
      <c r="R1040" s="4">
        <v>1346891</v>
      </c>
      <c r="S1040" s="4">
        <v>1438123</v>
      </c>
      <c r="T1040" s="4">
        <v>1346891</v>
      </c>
      <c r="U1040" s="4">
        <v>1438123</v>
      </c>
      <c r="V1040" s="4">
        <v>1346891</v>
      </c>
      <c r="W1040" s="4">
        <v>1438123</v>
      </c>
      <c r="X1040" s="4">
        <v>1346891</v>
      </c>
      <c r="Y1040" s="4">
        <v>1438123</v>
      </c>
    </row>
    <row r="1041" spans="1:25" ht="19.5" customHeight="1" x14ac:dyDescent="0.25">
      <c r="A1041" s="2" t="s">
        <v>2627</v>
      </c>
      <c r="B1041" s="2" t="s">
        <v>54</v>
      </c>
      <c r="C1041" s="2" t="s">
        <v>54</v>
      </c>
      <c r="D1041" s="2" t="s">
        <v>2655</v>
      </c>
      <c r="E1041" s="2" t="s">
        <v>202</v>
      </c>
      <c r="F1041" s="3">
        <v>200000</v>
      </c>
      <c r="G1041" s="3">
        <v>200000</v>
      </c>
      <c r="H1041" s="3">
        <v>200000</v>
      </c>
      <c r="I1041" s="3">
        <v>200000</v>
      </c>
      <c r="J1041" s="3">
        <v>200000</v>
      </c>
      <c r="K1041" s="3">
        <v>200000</v>
      </c>
      <c r="L1041" s="4">
        <v>200000</v>
      </c>
      <c r="M1041" s="4">
        <v>200000</v>
      </c>
      <c r="N1041" s="4">
        <v>200000</v>
      </c>
      <c r="O1041" s="4">
        <v>200000</v>
      </c>
      <c r="P1041" s="4">
        <v>200000</v>
      </c>
      <c r="Q1041" s="4">
        <v>200000</v>
      </c>
      <c r="R1041" s="4">
        <v>200000</v>
      </c>
      <c r="S1041" s="4">
        <v>200000</v>
      </c>
      <c r="T1041" s="4">
        <v>200000</v>
      </c>
      <c r="U1041" s="4">
        <v>200000</v>
      </c>
      <c r="V1041" s="4">
        <v>350000</v>
      </c>
      <c r="W1041" s="4">
        <v>350000</v>
      </c>
      <c r="X1041" s="4">
        <v>350000</v>
      </c>
      <c r="Y1041" s="4">
        <v>350000</v>
      </c>
    </row>
    <row r="1042" spans="1:25" ht="19.5" customHeight="1" x14ac:dyDescent="0.25">
      <c r="A1042" s="2" t="s">
        <v>2627</v>
      </c>
      <c r="B1042" s="2" t="s">
        <v>54</v>
      </c>
      <c r="C1042" s="2" t="s">
        <v>54</v>
      </c>
      <c r="D1042" s="2" t="s">
        <v>2656</v>
      </c>
      <c r="E1042" s="2" t="s">
        <v>2657</v>
      </c>
      <c r="F1042" s="3">
        <v>4702950.45</v>
      </c>
      <c r="G1042" s="3">
        <v>5435625</v>
      </c>
      <c r="H1042" s="3">
        <v>3829540</v>
      </c>
      <c r="I1042" s="3">
        <v>3843940</v>
      </c>
      <c r="J1042" s="3">
        <v>3829540</v>
      </c>
      <c r="K1042" s="3">
        <v>3843940</v>
      </c>
      <c r="L1042" s="4">
        <v>3829540</v>
      </c>
      <c r="M1042" s="4">
        <v>3843940</v>
      </c>
      <c r="N1042" s="4">
        <v>3829540</v>
      </c>
      <c r="O1042" s="4">
        <v>3843940</v>
      </c>
      <c r="P1042" s="4">
        <v>3829540</v>
      </c>
      <c r="Q1042" s="4">
        <v>3843940</v>
      </c>
      <c r="R1042" s="4">
        <v>3829540</v>
      </c>
      <c r="S1042" s="4">
        <v>3843940</v>
      </c>
      <c r="T1042" s="4">
        <v>3829540</v>
      </c>
      <c r="U1042" s="4">
        <v>3843940</v>
      </c>
      <c r="V1042" s="4">
        <v>3829540</v>
      </c>
      <c r="W1042" s="4">
        <v>3843940</v>
      </c>
      <c r="X1042" s="4">
        <v>3829540</v>
      </c>
      <c r="Y1042" s="4">
        <v>3843940</v>
      </c>
    </row>
    <row r="1043" spans="1:25" ht="19.5" customHeight="1" x14ac:dyDescent="0.25">
      <c r="A1043" s="2" t="s">
        <v>2658</v>
      </c>
      <c r="B1043" s="2" t="s">
        <v>16</v>
      </c>
      <c r="C1043" s="2" t="s">
        <v>762</v>
      </c>
      <c r="D1043" s="2" t="s">
        <v>2659</v>
      </c>
      <c r="E1043" s="2" t="s">
        <v>2660</v>
      </c>
      <c r="F1043" s="3">
        <v>769868.46</v>
      </c>
      <c r="G1043" s="3">
        <v>905914</v>
      </c>
      <c r="H1043" s="3">
        <v>944885</v>
      </c>
      <c r="I1043" s="3">
        <v>947645</v>
      </c>
      <c r="J1043" s="3">
        <v>944885</v>
      </c>
      <c r="K1043" s="3">
        <v>947645</v>
      </c>
      <c r="L1043" s="4">
        <v>944885</v>
      </c>
      <c r="M1043" s="4">
        <v>947645</v>
      </c>
      <c r="N1043" s="4">
        <v>944885</v>
      </c>
      <c r="O1043" s="4">
        <v>947645</v>
      </c>
      <c r="P1043" s="4">
        <v>1031108</v>
      </c>
      <c r="Q1043" s="4">
        <v>1036458</v>
      </c>
      <c r="R1043" s="4">
        <v>1031108</v>
      </c>
      <c r="S1043" s="4">
        <v>1036458</v>
      </c>
      <c r="T1043" s="4">
        <v>1031108</v>
      </c>
      <c r="U1043" s="4">
        <v>1036458</v>
      </c>
      <c r="V1043" s="4">
        <v>1031108</v>
      </c>
      <c r="W1043" s="4">
        <v>1036458</v>
      </c>
      <c r="X1043" s="4">
        <v>1031108</v>
      </c>
      <c r="Y1043" s="4">
        <v>1036458</v>
      </c>
    </row>
    <row r="1044" spans="1:25" ht="19.5" customHeight="1" x14ac:dyDescent="0.25">
      <c r="A1044" s="2" t="s">
        <v>2661</v>
      </c>
      <c r="B1044" s="2" t="s">
        <v>16</v>
      </c>
      <c r="C1044" s="2" t="s">
        <v>2662</v>
      </c>
      <c r="D1044" s="2" t="s">
        <v>2663</v>
      </c>
      <c r="E1044" s="2" t="s">
        <v>2664</v>
      </c>
      <c r="F1044" s="3">
        <v>514317.2</v>
      </c>
      <c r="G1044" s="3">
        <v>453000</v>
      </c>
      <c r="H1044" s="3">
        <v>699000</v>
      </c>
      <c r="I1044" s="3">
        <v>699000</v>
      </c>
      <c r="J1044" s="3">
        <v>699000</v>
      </c>
      <c r="K1044" s="3">
        <v>699000</v>
      </c>
      <c r="L1044" s="4">
        <v>699000</v>
      </c>
      <c r="M1044" s="4">
        <v>699000</v>
      </c>
      <c r="N1044" s="4">
        <v>699000</v>
      </c>
      <c r="O1044" s="4">
        <v>699000</v>
      </c>
      <c r="P1044" s="4">
        <v>699000</v>
      </c>
      <c r="Q1044" s="4">
        <v>699000</v>
      </c>
      <c r="R1044" s="4">
        <v>699000</v>
      </c>
      <c r="S1044" s="4">
        <v>699000</v>
      </c>
      <c r="T1044" s="4">
        <v>699000</v>
      </c>
      <c r="U1044" s="4">
        <v>699000</v>
      </c>
      <c r="V1044" s="4">
        <v>699000</v>
      </c>
      <c r="W1044" s="4">
        <v>699000</v>
      </c>
      <c r="X1044" s="4">
        <v>699000</v>
      </c>
      <c r="Y1044" s="4">
        <v>699000</v>
      </c>
    </row>
    <row r="1045" spans="1:25" ht="19.5" customHeight="1" x14ac:dyDescent="0.25">
      <c r="A1045" s="2" t="s">
        <v>2661</v>
      </c>
      <c r="B1045" s="2" t="s">
        <v>16</v>
      </c>
      <c r="C1045" s="2" t="s">
        <v>343</v>
      </c>
      <c r="D1045" s="2" t="s">
        <v>2665</v>
      </c>
      <c r="E1045" s="2" t="s">
        <v>345</v>
      </c>
      <c r="F1045" s="3">
        <v>0</v>
      </c>
      <c r="G1045" s="3">
        <v>0</v>
      </c>
      <c r="H1045" s="3">
        <v>125000</v>
      </c>
      <c r="I1045" s="3">
        <v>125000</v>
      </c>
      <c r="J1045" s="3">
        <v>125000</v>
      </c>
      <c r="K1045" s="3">
        <v>125000</v>
      </c>
      <c r="L1045" s="4">
        <v>125000</v>
      </c>
      <c r="M1045" s="4">
        <v>125000</v>
      </c>
      <c r="N1045" s="4">
        <v>125000</v>
      </c>
      <c r="O1045" s="4">
        <v>125000</v>
      </c>
      <c r="P1045" s="4">
        <v>125000</v>
      </c>
      <c r="Q1045" s="4">
        <v>125000</v>
      </c>
      <c r="R1045" s="4">
        <v>125000</v>
      </c>
      <c r="S1045" s="4">
        <v>125000</v>
      </c>
      <c r="T1045" s="4">
        <v>125000</v>
      </c>
      <c r="U1045" s="4">
        <v>125000</v>
      </c>
      <c r="V1045" s="4">
        <v>125000</v>
      </c>
      <c r="W1045" s="4">
        <v>125000</v>
      </c>
      <c r="X1045" s="4">
        <v>125000</v>
      </c>
      <c r="Y1045" s="4">
        <v>125000</v>
      </c>
    </row>
    <row r="1046" spans="1:25" ht="19.5" customHeight="1" x14ac:dyDescent="0.25">
      <c r="A1046" s="2" t="s">
        <v>2661</v>
      </c>
      <c r="B1046" s="2" t="s">
        <v>44</v>
      </c>
      <c r="C1046" s="2" t="s">
        <v>2666</v>
      </c>
      <c r="D1046" s="2" t="s">
        <v>2667</v>
      </c>
      <c r="E1046" s="2" t="s">
        <v>2668</v>
      </c>
      <c r="F1046" s="3">
        <v>848721.46</v>
      </c>
      <c r="G1046" s="3">
        <v>380000</v>
      </c>
      <c r="H1046" s="3">
        <v>50000</v>
      </c>
      <c r="I1046" s="3">
        <v>50000</v>
      </c>
      <c r="J1046" s="3">
        <v>50000</v>
      </c>
      <c r="K1046" s="3">
        <v>50000</v>
      </c>
      <c r="L1046" s="4">
        <v>50000</v>
      </c>
      <c r="M1046" s="4">
        <v>50000</v>
      </c>
      <c r="N1046" s="4">
        <v>50000</v>
      </c>
      <c r="O1046" s="4">
        <v>50000</v>
      </c>
      <c r="P1046" s="4">
        <v>50000</v>
      </c>
      <c r="Q1046" s="4">
        <v>50000</v>
      </c>
      <c r="R1046" s="4">
        <v>50000</v>
      </c>
      <c r="S1046" s="4">
        <v>50000</v>
      </c>
      <c r="T1046" s="4">
        <v>50000</v>
      </c>
      <c r="U1046" s="4">
        <v>50000</v>
      </c>
      <c r="V1046" s="4">
        <v>50000</v>
      </c>
      <c r="W1046" s="4">
        <v>50000</v>
      </c>
      <c r="X1046" s="4">
        <v>50000</v>
      </c>
      <c r="Y1046" s="4">
        <v>50000</v>
      </c>
    </row>
    <row r="1047" spans="1:25" ht="19.5" customHeight="1" x14ac:dyDescent="0.25">
      <c r="A1047" s="2" t="s">
        <v>2669</v>
      </c>
      <c r="B1047" s="2" t="s">
        <v>16</v>
      </c>
      <c r="C1047" s="2" t="s">
        <v>2670</v>
      </c>
      <c r="D1047" s="2" t="s">
        <v>2671</v>
      </c>
      <c r="E1047" s="2" t="s">
        <v>2672</v>
      </c>
      <c r="F1047" s="3">
        <v>3546321.68</v>
      </c>
      <c r="G1047" s="3">
        <v>4202887</v>
      </c>
      <c r="H1047" s="3">
        <v>4252887</v>
      </c>
      <c r="I1047" s="3">
        <v>4252887</v>
      </c>
      <c r="J1047" s="3">
        <v>4252887</v>
      </c>
      <c r="K1047" s="3">
        <v>4252887</v>
      </c>
      <c r="L1047" s="4">
        <v>4252887</v>
      </c>
      <c r="M1047" s="4">
        <v>4252887</v>
      </c>
      <c r="N1047" s="4">
        <v>4252887</v>
      </c>
      <c r="O1047" s="4">
        <v>4252887</v>
      </c>
      <c r="P1047" s="4">
        <v>4252887</v>
      </c>
      <c r="Q1047" s="4">
        <v>4252887</v>
      </c>
      <c r="R1047" s="4">
        <v>4252887</v>
      </c>
      <c r="S1047" s="4">
        <v>4252887</v>
      </c>
      <c r="T1047" s="4">
        <v>4252887</v>
      </c>
      <c r="U1047" s="4">
        <v>4252887</v>
      </c>
      <c r="V1047" s="4">
        <v>4252887</v>
      </c>
      <c r="W1047" s="4">
        <v>4252887</v>
      </c>
      <c r="X1047" s="4">
        <v>4252887</v>
      </c>
      <c r="Y1047" s="4">
        <v>4252887</v>
      </c>
    </row>
    <row r="1048" spans="1:25" ht="19.5" customHeight="1" x14ac:dyDescent="0.25">
      <c r="A1048" s="2" t="s">
        <v>2669</v>
      </c>
      <c r="B1048" s="2" t="s">
        <v>16</v>
      </c>
      <c r="C1048" s="2" t="s">
        <v>2673</v>
      </c>
      <c r="D1048" s="2" t="s">
        <v>2674</v>
      </c>
      <c r="E1048" s="2" t="s">
        <v>2675</v>
      </c>
      <c r="F1048" s="3">
        <v>4977199.1399999997</v>
      </c>
      <c r="G1048" s="3">
        <v>5696898</v>
      </c>
      <c r="H1048" s="3">
        <v>5696898</v>
      </c>
      <c r="I1048" s="3">
        <v>5698898</v>
      </c>
      <c r="J1048" s="3">
        <v>5696898</v>
      </c>
      <c r="K1048" s="3">
        <v>5698898</v>
      </c>
      <c r="L1048" s="4">
        <v>5696898</v>
      </c>
      <c r="M1048" s="4">
        <v>5698898</v>
      </c>
      <c r="N1048" s="4">
        <v>5696898</v>
      </c>
      <c r="O1048" s="4">
        <v>5698898</v>
      </c>
      <c r="P1048" s="4">
        <v>5696898</v>
      </c>
      <c r="Q1048" s="4">
        <v>5698898</v>
      </c>
      <c r="R1048" s="4">
        <v>5696898</v>
      </c>
      <c r="S1048" s="4">
        <v>5698898</v>
      </c>
      <c r="T1048" s="4">
        <v>5696898</v>
      </c>
      <c r="U1048" s="4">
        <v>5698898</v>
      </c>
      <c r="V1048" s="4">
        <v>5696898</v>
      </c>
      <c r="W1048" s="4">
        <v>5698898</v>
      </c>
      <c r="X1048" s="4">
        <v>5696898</v>
      </c>
      <c r="Y1048" s="4">
        <v>5698898</v>
      </c>
    </row>
    <row r="1049" spans="1:25" ht="19.5" customHeight="1" x14ac:dyDescent="0.25">
      <c r="A1049" s="2" t="s">
        <v>2669</v>
      </c>
      <c r="B1049" s="2" t="s">
        <v>16</v>
      </c>
      <c r="C1049" s="2" t="s">
        <v>2676</v>
      </c>
      <c r="D1049" s="2" t="s">
        <v>2677</v>
      </c>
      <c r="E1049" s="2" t="s">
        <v>2678</v>
      </c>
      <c r="F1049" s="3">
        <v>1274194</v>
      </c>
      <c r="G1049" s="3">
        <v>1274194</v>
      </c>
      <c r="H1049" s="3">
        <v>1274194</v>
      </c>
      <c r="I1049" s="3">
        <v>1274194</v>
      </c>
      <c r="J1049" s="3">
        <v>1274194</v>
      </c>
      <c r="K1049" s="3">
        <v>1274194</v>
      </c>
      <c r="L1049" s="4">
        <v>1274194</v>
      </c>
      <c r="M1049" s="4">
        <v>1274194</v>
      </c>
      <c r="N1049" s="4">
        <v>1274194</v>
      </c>
      <c r="O1049" s="4">
        <v>1274194</v>
      </c>
      <c r="P1049" s="4">
        <v>1274194</v>
      </c>
      <c r="Q1049" s="4">
        <v>1274194</v>
      </c>
      <c r="R1049" s="4">
        <v>1274194</v>
      </c>
      <c r="S1049" s="4">
        <v>1274194</v>
      </c>
      <c r="T1049" s="4">
        <v>1274194</v>
      </c>
      <c r="U1049" s="4">
        <v>1274194</v>
      </c>
      <c r="V1049" s="4">
        <v>1274194</v>
      </c>
      <c r="W1049" s="4">
        <v>1274194</v>
      </c>
      <c r="X1049" s="4">
        <v>1274194</v>
      </c>
      <c r="Y1049" s="4">
        <v>1274194</v>
      </c>
    </row>
    <row r="1050" spans="1:25" ht="19.5" customHeight="1" x14ac:dyDescent="0.25">
      <c r="A1050" s="2" t="s">
        <v>2669</v>
      </c>
      <c r="B1050" s="2" t="s">
        <v>44</v>
      </c>
      <c r="C1050" s="2" t="s">
        <v>2679</v>
      </c>
      <c r="D1050" s="2" t="s">
        <v>2680</v>
      </c>
      <c r="E1050" s="2" t="s">
        <v>2681</v>
      </c>
      <c r="F1050" s="3">
        <v>5186825.51</v>
      </c>
      <c r="G1050" s="4">
        <v>6422565</v>
      </c>
      <c r="H1050" s="4">
        <v>5366565</v>
      </c>
      <c r="I1050" s="4">
        <v>5366565</v>
      </c>
      <c r="J1050" s="4">
        <v>5366565</v>
      </c>
      <c r="K1050" s="4">
        <v>5366565</v>
      </c>
      <c r="L1050" s="4">
        <v>5366565</v>
      </c>
      <c r="M1050" s="4">
        <v>5366565</v>
      </c>
      <c r="N1050" s="4">
        <v>5366565</v>
      </c>
      <c r="O1050" s="4">
        <v>5366565</v>
      </c>
      <c r="P1050" s="4">
        <v>5366565</v>
      </c>
      <c r="Q1050" s="4">
        <v>5366565</v>
      </c>
      <c r="R1050" s="4">
        <v>5366565</v>
      </c>
      <c r="S1050" s="4">
        <v>5366565</v>
      </c>
      <c r="T1050" s="4">
        <v>5366565</v>
      </c>
      <c r="U1050" s="4">
        <v>5366565</v>
      </c>
      <c r="V1050" s="4">
        <v>5366565</v>
      </c>
      <c r="W1050" s="4">
        <v>5366565</v>
      </c>
      <c r="X1050" s="4">
        <v>5366565</v>
      </c>
      <c r="Y1050" s="4">
        <v>5366565</v>
      </c>
    </row>
    <row r="1051" spans="1:25" ht="19.5" customHeight="1" x14ac:dyDescent="0.25">
      <c r="A1051" s="2" t="s">
        <v>2669</v>
      </c>
      <c r="B1051" s="2" t="s">
        <v>54</v>
      </c>
      <c r="C1051" s="2" t="s">
        <v>54</v>
      </c>
      <c r="D1051" s="2" t="s">
        <v>2682</v>
      </c>
      <c r="E1051" s="2" t="s">
        <v>22</v>
      </c>
      <c r="F1051" s="3">
        <v>4708060.5</v>
      </c>
      <c r="G1051" s="3">
        <v>4030746</v>
      </c>
      <c r="H1051" s="3">
        <v>4293122</v>
      </c>
      <c r="I1051" s="3">
        <v>4293122</v>
      </c>
      <c r="J1051" s="3">
        <v>4293122</v>
      </c>
      <c r="K1051" s="3">
        <v>4293122</v>
      </c>
      <c r="L1051" s="4">
        <v>4293122</v>
      </c>
      <c r="M1051" s="4">
        <v>4293122</v>
      </c>
      <c r="N1051" s="4">
        <v>4293122</v>
      </c>
      <c r="O1051" s="4">
        <v>4293122</v>
      </c>
      <c r="P1051" s="4">
        <v>4293122</v>
      </c>
      <c r="Q1051" s="4">
        <v>4293122</v>
      </c>
      <c r="R1051" s="4">
        <v>4293122</v>
      </c>
      <c r="S1051" s="4">
        <v>4293122</v>
      </c>
      <c r="T1051" s="4">
        <v>4293122</v>
      </c>
      <c r="U1051" s="4">
        <v>4293122</v>
      </c>
      <c r="V1051" s="4">
        <v>4293122</v>
      </c>
      <c r="W1051" s="4">
        <v>4293122</v>
      </c>
      <c r="X1051" s="4">
        <v>4293122</v>
      </c>
      <c r="Y1051" s="4">
        <v>4293122</v>
      </c>
    </row>
    <row r="1052" spans="1:25" ht="19.5" customHeight="1" x14ac:dyDescent="0.25">
      <c r="A1052" s="2" t="s">
        <v>2669</v>
      </c>
      <c r="B1052" s="2" t="s">
        <v>54</v>
      </c>
      <c r="C1052" s="2" t="s">
        <v>54</v>
      </c>
      <c r="D1052" s="2" t="s">
        <v>2683</v>
      </c>
      <c r="E1052" s="2" t="s">
        <v>2684</v>
      </c>
      <c r="F1052" s="3">
        <v>295114</v>
      </c>
      <c r="G1052" s="3">
        <v>300114</v>
      </c>
      <c r="H1052" s="3">
        <v>305000</v>
      </c>
      <c r="I1052" s="3">
        <v>305000</v>
      </c>
      <c r="J1052" s="3">
        <v>305000</v>
      </c>
      <c r="K1052" s="3">
        <v>305000</v>
      </c>
      <c r="L1052" s="4">
        <v>305000</v>
      </c>
      <c r="M1052" s="4">
        <v>305000</v>
      </c>
      <c r="N1052" s="4">
        <v>305000</v>
      </c>
      <c r="O1052" s="4">
        <v>305000</v>
      </c>
      <c r="P1052" s="4">
        <v>305000</v>
      </c>
      <c r="Q1052" s="4">
        <v>305000</v>
      </c>
      <c r="R1052" s="4">
        <v>305000</v>
      </c>
      <c r="S1052" s="4">
        <v>305000</v>
      </c>
      <c r="T1052" s="4">
        <v>305000</v>
      </c>
      <c r="U1052" s="4">
        <v>305000</v>
      </c>
      <c r="V1052" s="4">
        <v>305000</v>
      </c>
      <c r="W1052" s="4">
        <v>305000</v>
      </c>
      <c r="X1052" s="4">
        <v>305000</v>
      </c>
      <c r="Y1052" s="4">
        <v>305000</v>
      </c>
    </row>
    <row r="1053" spans="1:25" ht="19.5" customHeight="1" x14ac:dyDescent="0.25">
      <c r="A1053" s="6" t="s">
        <v>2669</v>
      </c>
      <c r="B1053" s="6" t="s">
        <v>54</v>
      </c>
      <c r="C1053" s="6" t="s">
        <v>54</v>
      </c>
      <c r="D1053" s="7" t="s">
        <v>2685</v>
      </c>
      <c r="E1053" s="6" t="s">
        <v>2488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0</v>
      </c>
      <c r="N1053" s="9">
        <v>0</v>
      </c>
      <c r="O1053" s="9">
        <v>0</v>
      </c>
      <c r="P1053" s="4">
        <v>8000000</v>
      </c>
      <c r="Q1053" s="4">
        <v>8000000</v>
      </c>
      <c r="R1053" s="4">
        <v>8000000</v>
      </c>
      <c r="S1053" s="4">
        <v>8000000</v>
      </c>
      <c r="T1053" s="4">
        <v>8000000</v>
      </c>
      <c r="U1053" s="4">
        <v>8000000</v>
      </c>
      <c r="V1053" s="4">
        <v>0</v>
      </c>
      <c r="W1053" s="4">
        <v>0</v>
      </c>
      <c r="X1053" s="4">
        <v>0</v>
      </c>
      <c r="Y1053" s="4">
        <v>0</v>
      </c>
    </row>
    <row r="1054" spans="1:25" ht="19.5" customHeight="1" x14ac:dyDescent="0.25">
      <c r="A1054" s="2" t="s">
        <v>2669</v>
      </c>
      <c r="B1054" s="2" t="s">
        <v>54</v>
      </c>
      <c r="C1054" s="2" t="s">
        <v>54</v>
      </c>
      <c r="D1054" s="2" t="s">
        <v>2686</v>
      </c>
      <c r="E1054" s="2" t="s">
        <v>2687</v>
      </c>
      <c r="F1054" s="3">
        <v>492000</v>
      </c>
      <c r="G1054" s="3">
        <v>500000</v>
      </c>
      <c r="H1054" s="3">
        <v>480000</v>
      </c>
      <c r="I1054" s="3">
        <v>480000</v>
      </c>
      <c r="J1054" s="3">
        <v>480000</v>
      </c>
      <c r="K1054" s="3">
        <v>480000</v>
      </c>
      <c r="L1054" s="4">
        <v>480000</v>
      </c>
      <c r="M1054" s="4">
        <v>480000</v>
      </c>
      <c r="N1054" s="4">
        <v>480000</v>
      </c>
      <c r="O1054" s="4">
        <v>480000</v>
      </c>
      <c r="P1054" s="4">
        <v>480000</v>
      </c>
      <c r="Q1054" s="4">
        <v>480000</v>
      </c>
      <c r="R1054" s="4">
        <v>480000</v>
      </c>
      <c r="S1054" s="4">
        <v>480000</v>
      </c>
      <c r="T1054" s="4">
        <v>480000</v>
      </c>
      <c r="U1054" s="4">
        <v>480000</v>
      </c>
      <c r="V1054" s="4">
        <v>480000</v>
      </c>
      <c r="W1054" s="4">
        <v>480000</v>
      </c>
      <c r="X1054" s="4">
        <v>480000</v>
      </c>
      <c r="Y1054" s="4">
        <v>480000</v>
      </c>
    </row>
    <row r="1055" spans="1:25" ht="19.5" customHeight="1" x14ac:dyDescent="0.25">
      <c r="A1055" s="2" t="s">
        <v>2669</v>
      </c>
      <c r="B1055" s="2" t="s">
        <v>243</v>
      </c>
      <c r="C1055" s="2" t="s">
        <v>2688</v>
      </c>
      <c r="D1055" s="2" t="s">
        <v>2689</v>
      </c>
      <c r="E1055" s="2" t="s">
        <v>2690</v>
      </c>
      <c r="F1055" s="4">
        <v>6990.07</v>
      </c>
      <c r="G1055" s="3">
        <v>2000</v>
      </c>
      <c r="H1055" s="3">
        <v>8000</v>
      </c>
      <c r="I1055" s="3">
        <v>8000</v>
      </c>
      <c r="J1055" s="3">
        <v>8000</v>
      </c>
      <c r="K1055" s="3">
        <v>8000</v>
      </c>
      <c r="L1055" s="4">
        <v>8000</v>
      </c>
      <c r="M1055" s="4">
        <v>8000</v>
      </c>
      <c r="N1055" s="4">
        <v>8000</v>
      </c>
      <c r="O1055" s="4">
        <v>8000</v>
      </c>
      <c r="P1055" s="4">
        <v>8000</v>
      </c>
      <c r="Q1055" s="4">
        <v>8000</v>
      </c>
      <c r="R1055" s="4">
        <v>8000</v>
      </c>
      <c r="S1055" s="4">
        <v>8000</v>
      </c>
      <c r="T1055" s="4">
        <v>8000</v>
      </c>
      <c r="U1055" s="4">
        <v>8000</v>
      </c>
      <c r="V1055" s="4">
        <v>8000</v>
      </c>
      <c r="W1055" s="4">
        <v>8000</v>
      </c>
      <c r="X1055" s="4">
        <v>8000</v>
      </c>
      <c r="Y1055" s="4">
        <v>8000</v>
      </c>
    </row>
    <row r="1056" spans="1:25" ht="19.5" customHeight="1" x14ac:dyDescent="0.25">
      <c r="A1056" s="2" t="s">
        <v>2691</v>
      </c>
      <c r="B1056" s="2" t="s">
        <v>2152</v>
      </c>
      <c r="C1056" s="2" t="s">
        <v>2692</v>
      </c>
      <c r="D1056" s="2" t="s">
        <v>2693</v>
      </c>
      <c r="E1056" s="2" t="s">
        <v>22</v>
      </c>
      <c r="F1056" s="3">
        <v>49313419.619999997</v>
      </c>
      <c r="G1056" s="3">
        <v>56241063</v>
      </c>
      <c r="H1056" s="3">
        <v>57344482</v>
      </c>
      <c r="I1056" s="3">
        <v>58581656</v>
      </c>
      <c r="J1056" s="3">
        <v>57344482</v>
      </c>
      <c r="K1056" s="3">
        <v>58581656</v>
      </c>
      <c r="L1056" s="4">
        <v>57344482</v>
      </c>
      <c r="M1056" s="4">
        <v>58581656</v>
      </c>
      <c r="N1056" s="4">
        <v>57344482</v>
      </c>
      <c r="O1056" s="4">
        <v>58581656</v>
      </c>
      <c r="P1056" s="4">
        <v>57344482</v>
      </c>
      <c r="Q1056" s="4">
        <v>58581656</v>
      </c>
      <c r="R1056" s="4">
        <v>57344482</v>
      </c>
      <c r="S1056" s="4">
        <v>58581656</v>
      </c>
      <c r="T1056" s="4">
        <v>57344482</v>
      </c>
      <c r="U1056" s="4">
        <v>58581656</v>
      </c>
      <c r="V1056" s="4">
        <v>57344482</v>
      </c>
      <c r="W1056" s="4">
        <v>58581656</v>
      </c>
      <c r="X1056" s="4">
        <v>57344482</v>
      </c>
      <c r="Y1056" s="4">
        <v>58581656</v>
      </c>
    </row>
    <row r="1057" spans="1:25" ht="19.5" customHeight="1" x14ac:dyDescent="0.25">
      <c r="A1057" s="2" t="s">
        <v>2691</v>
      </c>
      <c r="B1057" s="2" t="s">
        <v>2152</v>
      </c>
      <c r="C1057" s="2" t="s">
        <v>2692</v>
      </c>
      <c r="D1057" s="2" t="s">
        <v>2694</v>
      </c>
      <c r="E1057" s="2" t="s">
        <v>2695</v>
      </c>
      <c r="F1057" s="3">
        <v>25625728.59</v>
      </c>
      <c r="G1057" s="3">
        <v>26700000</v>
      </c>
      <c r="H1057" s="3">
        <v>27925000</v>
      </c>
      <c r="I1057" s="3">
        <v>27925000</v>
      </c>
      <c r="J1057" s="3">
        <v>27925000</v>
      </c>
      <c r="K1057" s="3">
        <v>27925000</v>
      </c>
      <c r="L1057" s="4">
        <v>27925000</v>
      </c>
      <c r="M1057" s="4">
        <v>27925000</v>
      </c>
      <c r="N1057" s="4">
        <v>27925000</v>
      </c>
      <c r="O1057" s="4">
        <v>27925000</v>
      </c>
      <c r="P1057" s="4">
        <v>27925000</v>
      </c>
      <c r="Q1057" s="4">
        <v>27925000</v>
      </c>
      <c r="R1057" s="4">
        <v>27925000</v>
      </c>
      <c r="S1057" s="4">
        <v>27925000</v>
      </c>
      <c r="T1057" s="4">
        <v>27925000</v>
      </c>
      <c r="U1057" s="4">
        <v>27925000</v>
      </c>
      <c r="V1057" s="4">
        <v>27925000</v>
      </c>
      <c r="W1057" s="4">
        <v>27925000</v>
      </c>
      <c r="X1057" s="4">
        <v>27925000</v>
      </c>
      <c r="Y1057" s="4">
        <v>27925000</v>
      </c>
    </row>
    <row r="1058" spans="1:25" ht="19.5" customHeight="1" x14ac:dyDescent="0.25">
      <c r="A1058" s="2" t="s">
        <v>2691</v>
      </c>
      <c r="B1058" s="2" t="s">
        <v>2152</v>
      </c>
      <c r="C1058" s="2" t="s">
        <v>2692</v>
      </c>
      <c r="D1058" s="2" t="s">
        <v>2696</v>
      </c>
      <c r="E1058" s="2" t="s">
        <v>2697</v>
      </c>
      <c r="F1058" s="3">
        <v>70245686.430000007</v>
      </c>
      <c r="G1058" s="3">
        <v>71239582</v>
      </c>
      <c r="H1058" s="3">
        <v>84082171</v>
      </c>
      <c r="I1058" s="3">
        <v>90357570</v>
      </c>
      <c r="J1058" s="3">
        <v>84082171</v>
      </c>
      <c r="K1058" s="3">
        <v>90357570</v>
      </c>
      <c r="L1058" s="4">
        <v>84082171</v>
      </c>
      <c r="M1058" s="4">
        <v>90357570</v>
      </c>
      <c r="N1058" s="4">
        <v>84082171</v>
      </c>
      <c r="O1058" s="4">
        <v>90357570</v>
      </c>
      <c r="P1058" s="4">
        <v>84082171</v>
      </c>
      <c r="Q1058" s="4">
        <v>90357570</v>
      </c>
      <c r="R1058" s="4">
        <v>84082171</v>
      </c>
      <c r="S1058" s="4">
        <v>90357570</v>
      </c>
      <c r="T1058" s="4">
        <v>84082171</v>
      </c>
      <c r="U1058" s="4">
        <v>90357570</v>
      </c>
      <c r="V1058" s="4">
        <v>84082171</v>
      </c>
      <c r="W1058" s="4">
        <v>90357570</v>
      </c>
      <c r="X1058" s="4">
        <v>84082171</v>
      </c>
      <c r="Y1058" s="4">
        <v>90357570</v>
      </c>
    </row>
    <row r="1059" spans="1:25" ht="19.5" customHeight="1" x14ac:dyDescent="0.25">
      <c r="A1059" s="2" t="s">
        <v>2691</v>
      </c>
      <c r="B1059" s="2" t="s">
        <v>2152</v>
      </c>
      <c r="C1059" s="2" t="s">
        <v>2692</v>
      </c>
      <c r="D1059" s="2" t="s">
        <v>2698</v>
      </c>
      <c r="E1059" s="2" t="s">
        <v>2699</v>
      </c>
      <c r="F1059" s="3">
        <v>403100845.66000003</v>
      </c>
      <c r="G1059" s="4">
        <v>157390000</v>
      </c>
      <c r="H1059" s="4">
        <v>158700369</v>
      </c>
      <c r="I1059" s="4">
        <v>162809344</v>
      </c>
      <c r="J1059" s="4">
        <v>158700369</v>
      </c>
      <c r="K1059" s="4">
        <v>162809344</v>
      </c>
      <c r="L1059" s="4">
        <v>158700369</v>
      </c>
      <c r="M1059" s="4">
        <v>162809344</v>
      </c>
      <c r="N1059" s="4">
        <v>158700369</v>
      </c>
      <c r="O1059" s="4">
        <v>162809344</v>
      </c>
      <c r="P1059" s="4">
        <v>158700369</v>
      </c>
      <c r="Q1059" s="4">
        <v>162809344</v>
      </c>
      <c r="R1059" s="4">
        <v>158700369</v>
      </c>
      <c r="S1059" s="4">
        <v>162809344</v>
      </c>
      <c r="T1059" s="4">
        <v>158700369</v>
      </c>
      <c r="U1059" s="4">
        <v>162809344</v>
      </c>
      <c r="V1059" s="4">
        <v>158700369</v>
      </c>
      <c r="W1059" s="4">
        <v>162809344</v>
      </c>
      <c r="X1059" s="4">
        <v>158700369</v>
      </c>
      <c r="Y1059" s="4">
        <v>162809344</v>
      </c>
    </row>
    <row r="1060" spans="1:25" ht="19.5" customHeight="1" x14ac:dyDescent="0.25">
      <c r="A1060" s="2" t="s">
        <v>2691</v>
      </c>
      <c r="B1060" s="2" t="s">
        <v>2152</v>
      </c>
      <c r="C1060" s="2" t="s">
        <v>2692</v>
      </c>
      <c r="D1060" s="2" t="s">
        <v>2700</v>
      </c>
      <c r="E1060" s="2" t="s">
        <v>2701</v>
      </c>
      <c r="F1060" s="3">
        <v>3055118.79</v>
      </c>
      <c r="G1060" s="3">
        <v>3400000</v>
      </c>
      <c r="H1060" s="3">
        <v>4000000</v>
      </c>
      <c r="I1060" s="3">
        <v>4000000</v>
      </c>
      <c r="J1060" s="3">
        <v>4000000</v>
      </c>
      <c r="K1060" s="3">
        <v>4000000</v>
      </c>
      <c r="L1060" s="4">
        <v>4000000</v>
      </c>
      <c r="M1060" s="4">
        <v>4000000</v>
      </c>
      <c r="N1060" s="4">
        <v>4000000</v>
      </c>
      <c r="O1060" s="4">
        <v>4000000</v>
      </c>
      <c r="P1060" s="4">
        <v>4000000</v>
      </c>
      <c r="Q1060" s="4">
        <v>4000000</v>
      </c>
      <c r="R1060" s="4">
        <v>4000000</v>
      </c>
      <c r="S1060" s="4">
        <v>4000000</v>
      </c>
      <c r="T1060" s="4">
        <v>4000000</v>
      </c>
      <c r="U1060" s="4">
        <v>4000000</v>
      </c>
      <c r="V1060" s="4">
        <v>4000000</v>
      </c>
      <c r="W1060" s="4">
        <v>4000000</v>
      </c>
      <c r="X1060" s="4">
        <v>4000000</v>
      </c>
      <c r="Y1060" s="4">
        <v>4000000</v>
      </c>
    </row>
    <row r="1061" spans="1:25" ht="19.5" customHeight="1" x14ac:dyDescent="0.25">
      <c r="A1061" s="2" t="s">
        <v>2691</v>
      </c>
      <c r="B1061" s="2" t="s">
        <v>2152</v>
      </c>
      <c r="C1061" s="2" t="s">
        <v>2702</v>
      </c>
      <c r="D1061" s="2" t="s">
        <v>2703</v>
      </c>
      <c r="E1061" s="2" t="s">
        <v>2704</v>
      </c>
      <c r="F1061" s="3">
        <v>57998216.909999996</v>
      </c>
      <c r="G1061" s="3">
        <v>52723717</v>
      </c>
      <c r="H1061" s="3">
        <v>56311050</v>
      </c>
      <c r="I1061" s="3">
        <v>58328775</v>
      </c>
      <c r="J1061" s="3">
        <v>56311050</v>
      </c>
      <c r="K1061" s="3">
        <v>58328775</v>
      </c>
      <c r="L1061" s="4">
        <v>56311050</v>
      </c>
      <c r="M1061" s="4">
        <v>58328775</v>
      </c>
      <c r="N1061" s="4">
        <v>56311050</v>
      </c>
      <c r="O1061" s="4">
        <v>58328775</v>
      </c>
      <c r="P1061" s="4">
        <v>56311050</v>
      </c>
      <c r="Q1061" s="4">
        <v>58328775</v>
      </c>
      <c r="R1061" s="4">
        <v>56311050</v>
      </c>
      <c r="S1061" s="4">
        <v>58328775</v>
      </c>
      <c r="T1061" s="4">
        <v>56311050</v>
      </c>
      <c r="U1061" s="4">
        <v>58328775</v>
      </c>
      <c r="V1061" s="4">
        <v>56311050</v>
      </c>
      <c r="W1061" s="4">
        <v>58328775</v>
      </c>
      <c r="X1061" s="4">
        <v>56311050</v>
      </c>
      <c r="Y1061" s="4">
        <v>58328775</v>
      </c>
    </row>
    <row r="1062" spans="1:25" ht="19.5" customHeight="1" x14ac:dyDescent="0.25">
      <c r="A1062" s="2" t="s">
        <v>2705</v>
      </c>
      <c r="B1062" s="2" t="s">
        <v>16</v>
      </c>
      <c r="C1062" s="2" t="s">
        <v>2706</v>
      </c>
      <c r="D1062" s="2" t="s">
        <v>2707</v>
      </c>
      <c r="E1062" s="2" t="s">
        <v>2708</v>
      </c>
      <c r="F1062" s="3">
        <v>10000</v>
      </c>
      <c r="G1062" s="3">
        <v>10000</v>
      </c>
      <c r="H1062" s="3">
        <v>10000</v>
      </c>
      <c r="I1062" s="3">
        <v>10000</v>
      </c>
      <c r="J1062" s="3">
        <v>10000</v>
      </c>
      <c r="K1062" s="3">
        <v>10000</v>
      </c>
      <c r="L1062" s="4">
        <v>10000</v>
      </c>
      <c r="M1062" s="4">
        <v>10000</v>
      </c>
      <c r="N1062" s="4">
        <v>10000</v>
      </c>
      <c r="O1062" s="4">
        <v>10000</v>
      </c>
      <c r="P1062" s="4">
        <v>10000</v>
      </c>
      <c r="Q1062" s="4">
        <v>10000</v>
      </c>
      <c r="R1062" s="4">
        <v>10000</v>
      </c>
      <c r="S1062" s="4">
        <v>10000</v>
      </c>
      <c r="T1062" s="4">
        <v>10000</v>
      </c>
      <c r="U1062" s="4">
        <v>10000</v>
      </c>
      <c r="V1062" s="4">
        <v>10000</v>
      </c>
      <c r="W1062" s="4">
        <v>10000</v>
      </c>
      <c r="X1062" s="4">
        <v>10000</v>
      </c>
      <c r="Y1062" s="4">
        <v>10000</v>
      </c>
    </row>
    <row r="1063" spans="1:25" ht="19.5" customHeight="1" x14ac:dyDescent="0.25">
      <c r="A1063" s="2" t="s">
        <v>2705</v>
      </c>
      <c r="B1063" s="2" t="s">
        <v>54</v>
      </c>
      <c r="C1063" s="2" t="s">
        <v>54</v>
      </c>
      <c r="D1063" s="2" t="s">
        <v>2709</v>
      </c>
      <c r="E1063" s="2" t="s">
        <v>22</v>
      </c>
      <c r="F1063" s="3">
        <v>16934342.109999999</v>
      </c>
      <c r="G1063" s="3">
        <v>21362380.129999999</v>
      </c>
      <c r="H1063" s="3">
        <v>21362380</v>
      </c>
      <c r="I1063" s="3">
        <v>21362380</v>
      </c>
      <c r="J1063" s="3">
        <v>21368380</v>
      </c>
      <c r="K1063" s="3">
        <v>21368380</v>
      </c>
      <c r="L1063" s="4">
        <v>21368380</v>
      </c>
      <c r="M1063" s="4">
        <v>21368380</v>
      </c>
      <c r="N1063" s="4">
        <v>21368380</v>
      </c>
      <c r="O1063" s="4">
        <v>21368380</v>
      </c>
      <c r="P1063" s="4">
        <v>21362380</v>
      </c>
      <c r="Q1063" s="4">
        <v>21362380</v>
      </c>
      <c r="R1063" s="4">
        <v>21362380</v>
      </c>
      <c r="S1063" s="4">
        <v>21362380</v>
      </c>
      <c r="T1063" s="4">
        <v>21362380</v>
      </c>
      <c r="U1063" s="4">
        <v>21362380</v>
      </c>
      <c r="V1063" s="4">
        <v>21362380</v>
      </c>
      <c r="W1063" s="4">
        <v>21362380</v>
      </c>
      <c r="X1063" s="4">
        <v>21362380</v>
      </c>
      <c r="Y1063" s="4">
        <v>21362380</v>
      </c>
    </row>
    <row r="1064" spans="1:25" ht="19.5" customHeight="1" x14ac:dyDescent="0.25">
      <c r="A1064" s="2" t="s">
        <v>2705</v>
      </c>
      <c r="B1064" s="2" t="s">
        <v>54</v>
      </c>
      <c r="C1064" s="2" t="s">
        <v>54</v>
      </c>
      <c r="D1064" s="2" t="s">
        <v>2710</v>
      </c>
      <c r="E1064" s="2" t="s">
        <v>2711</v>
      </c>
      <c r="F1064" s="3">
        <v>920805.47</v>
      </c>
      <c r="G1064" s="3">
        <v>1080000</v>
      </c>
      <c r="H1064" s="3">
        <v>1080000</v>
      </c>
      <c r="I1064" s="3">
        <v>1080000</v>
      </c>
      <c r="J1064" s="3">
        <v>1080000</v>
      </c>
      <c r="K1064" s="3">
        <v>1080000</v>
      </c>
      <c r="L1064" s="4">
        <v>1080000</v>
      </c>
      <c r="M1064" s="4">
        <v>1080000</v>
      </c>
      <c r="N1064" s="4">
        <v>1080000</v>
      </c>
      <c r="O1064" s="4">
        <v>1080000</v>
      </c>
      <c r="P1064" s="4">
        <v>1110000</v>
      </c>
      <c r="Q1064" s="4">
        <v>1110000</v>
      </c>
      <c r="R1064" s="4">
        <v>1110000</v>
      </c>
      <c r="S1064" s="4">
        <v>1110000</v>
      </c>
      <c r="T1064" s="4">
        <v>1110000</v>
      </c>
      <c r="U1064" s="4">
        <v>1110000</v>
      </c>
      <c r="V1064" s="4">
        <v>1110000</v>
      </c>
      <c r="W1064" s="4">
        <v>1110000</v>
      </c>
      <c r="X1064" s="4">
        <v>1110000</v>
      </c>
      <c r="Y1064" s="4">
        <v>1110000</v>
      </c>
    </row>
    <row r="1065" spans="1:25" ht="19.5" customHeight="1" x14ac:dyDescent="0.25">
      <c r="A1065" s="2" t="s">
        <v>2705</v>
      </c>
      <c r="B1065" s="2" t="s">
        <v>54</v>
      </c>
      <c r="C1065" s="2" t="s">
        <v>54</v>
      </c>
      <c r="D1065" s="2" t="s">
        <v>2712</v>
      </c>
      <c r="E1065" s="2" t="s">
        <v>2713</v>
      </c>
      <c r="F1065" s="3">
        <v>333678.63</v>
      </c>
      <c r="G1065" s="3">
        <v>447020</v>
      </c>
      <c r="H1065" s="3">
        <v>447020</v>
      </c>
      <c r="I1065" s="3">
        <v>447020</v>
      </c>
      <c r="J1065" s="3">
        <v>447020</v>
      </c>
      <c r="K1065" s="3">
        <v>447020</v>
      </c>
      <c r="L1065" s="4">
        <v>447020</v>
      </c>
      <c r="M1065" s="4">
        <v>447020</v>
      </c>
      <c r="N1065" s="4">
        <v>447020</v>
      </c>
      <c r="O1065" s="4">
        <v>447020</v>
      </c>
      <c r="P1065" s="4">
        <v>447020</v>
      </c>
      <c r="Q1065" s="4">
        <v>447020</v>
      </c>
      <c r="R1065" s="4">
        <v>447020</v>
      </c>
      <c r="S1065" s="4">
        <v>447020</v>
      </c>
      <c r="T1065" s="4">
        <v>447020</v>
      </c>
      <c r="U1065" s="4">
        <v>447020</v>
      </c>
      <c r="V1065" s="4">
        <v>447020</v>
      </c>
      <c r="W1065" s="4">
        <v>447020</v>
      </c>
      <c r="X1065" s="4">
        <v>447020</v>
      </c>
      <c r="Y1065" s="4">
        <v>447020</v>
      </c>
    </row>
    <row r="1066" spans="1:25" ht="19.5" customHeight="1" x14ac:dyDescent="0.25">
      <c r="A1066" s="2" t="s">
        <v>2705</v>
      </c>
      <c r="B1066" s="2" t="s">
        <v>54</v>
      </c>
      <c r="C1066" s="2" t="s">
        <v>54</v>
      </c>
      <c r="D1066" s="2" t="s">
        <v>2714</v>
      </c>
      <c r="E1066" s="2" t="s">
        <v>2715</v>
      </c>
      <c r="F1066" s="3">
        <v>362480.04</v>
      </c>
      <c r="G1066" s="3">
        <v>4837519.96</v>
      </c>
      <c r="H1066" s="3">
        <v>1000000</v>
      </c>
      <c r="I1066" s="3">
        <v>0</v>
      </c>
      <c r="J1066" s="3">
        <v>1000000</v>
      </c>
      <c r="K1066" s="3">
        <v>0</v>
      </c>
      <c r="L1066" s="4">
        <v>1000000</v>
      </c>
      <c r="M1066" s="4">
        <v>0</v>
      </c>
      <c r="N1066" s="4">
        <v>1000000</v>
      </c>
      <c r="O1066" s="4">
        <v>0</v>
      </c>
      <c r="P1066" s="4">
        <v>1000000</v>
      </c>
      <c r="Q1066" s="4">
        <v>0</v>
      </c>
      <c r="R1066" s="4">
        <v>1000000</v>
      </c>
      <c r="S1066" s="4">
        <v>0</v>
      </c>
      <c r="T1066" s="4">
        <v>1000000</v>
      </c>
      <c r="U1066" s="4">
        <v>0</v>
      </c>
      <c r="V1066" s="4">
        <v>1000000</v>
      </c>
      <c r="W1066" s="4">
        <v>0</v>
      </c>
      <c r="X1066" s="4">
        <v>1000000</v>
      </c>
      <c r="Y1066" s="4">
        <v>0</v>
      </c>
    </row>
    <row r="1067" spans="1:25" ht="19.5" customHeight="1" x14ac:dyDescent="0.25">
      <c r="A1067" s="2" t="s">
        <v>2705</v>
      </c>
      <c r="B1067" s="2" t="s">
        <v>54</v>
      </c>
      <c r="C1067" s="2" t="s">
        <v>54</v>
      </c>
      <c r="D1067" s="2" t="s">
        <v>2716</v>
      </c>
      <c r="E1067" s="2" t="s">
        <v>2717</v>
      </c>
      <c r="F1067" s="3">
        <v>316000</v>
      </c>
      <c r="G1067" s="3">
        <v>600000</v>
      </c>
      <c r="H1067" s="3">
        <v>600000</v>
      </c>
      <c r="I1067" s="3">
        <v>600000</v>
      </c>
      <c r="J1067" s="3">
        <v>600000</v>
      </c>
      <c r="K1067" s="3">
        <v>600000</v>
      </c>
      <c r="L1067" s="4">
        <v>600000</v>
      </c>
      <c r="M1067" s="4">
        <v>600000</v>
      </c>
      <c r="N1067" s="4">
        <v>600000</v>
      </c>
      <c r="O1067" s="4">
        <v>600000</v>
      </c>
      <c r="P1067" s="4">
        <v>600000</v>
      </c>
      <c r="Q1067" s="4">
        <v>600000</v>
      </c>
      <c r="R1067" s="4">
        <v>600000</v>
      </c>
      <c r="S1067" s="4">
        <v>600000</v>
      </c>
      <c r="T1067" s="4">
        <v>600000</v>
      </c>
      <c r="U1067" s="4">
        <v>600000</v>
      </c>
      <c r="V1067" s="4">
        <v>600000</v>
      </c>
      <c r="W1067" s="4">
        <v>600000</v>
      </c>
      <c r="X1067" s="4">
        <v>600000</v>
      </c>
      <c r="Y1067" s="4">
        <v>600000</v>
      </c>
    </row>
    <row r="1068" spans="1:25" ht="19.5" customHeight="1" x14ac:dyDescent="0.25">
      <c r="A1068" s="2" t="s">
        <v>2705</v>
      </c>
      <c r="B1068" s="2" t="s">
        <v>54</v>
      </c>
      <c r="C1068" s="2" t="s">
        <v>54</v>
      </c>
      <c r="D1068" s="2" t="s">
        <v>2720</v>
      </c>
      <c r="E1068" s="2" t="s">
        <v>2721</v>
      </c>
      <c r="F1068" s="3">
        <v>7215516.6799999997</v>
      </c>
      <c r="G1068" s="3">
        <v>11033889.539999999</v>
      </c>
      <c r="H1068" s="3">
        <v>11033890</v>
      </c>
      <c r="I1068" s="3">
        <v>11033890</v>
      </c>
      <c r="J1068" s="3">
        <v>11033890</v>
      </c>
      <c r="K1068" s="3">
        <v>11033890</v>
      </c>
      <c r="L1068" s="4">
        <v>11033890</v>
      </c>
      <c r="M1068" s="4">
        <v>11033890</v>
      </c>
      <c r="N1068" s="4">
        <v>11033890</v>
      </c>
      <c r="O1068" s="4">
        <v>11033890</v>
      </c>
      <c r="P1068" s="4">
        <v>11003890</v>
      </c>
      <c r="Q1068" s="4">
        <v>11003890</v>
      </c>
      <c r="R1068" s="4">
        <v>11003890</v>
      </c>
      <c r="S1068" s="4">
        <v>11003890</v>
      </c>
      <c r="T1068" s="4">
        <v>11003890</v>
      </c>
      <c r="U1068" s="4">
        <v>11003890</v>
      </c>
      <c r="V1068" s="4">
        <v>11003890</v>
      </c>
      <c r="W1068" s="4">
        <v>11003890</v>
      </c>
      <c r="X1068" s="4">
        <v>11003890</v>
      </c>
      <c r="Y1068" s="4">
        <v>11003890</v>
      </c>
    </row>
    <row r="1069" spans="1:25" ht="19.5" customHeight="1" x14ac:dyDescent="0.25">
      <c r="A1069" s="2" t="s">
        <v>2705</v>
      </c>
      <c r="B1069" s="2" t="s">
        <v>54</v>
      </c>
      <c r="C1069" s="2" t="s">
        <v>54</v>
      </c>
      <c r="D1069" s="8" t="s">
        <v>2718</v>
      </c>
      <c r="E1069" s="2" t="s">
        <v>3566</v>
      </c>
      <c r="F1069" s="4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4">
        <v>0</v>
      </c>
      <c r="M1069" s="4">
        <v>0</v>
      </c>
      <c r="N1069" s="4">
        <v>0</v>
      </c>
      <c r="O1069" s="4">
        <v>0</v>
      </c>
      <c r="P1069" s="4">
        <v>0</v>
      </c>
      <c r="Q1069" s="4">
        <v>0</v>
      </c>
      <c r="R1069" s="4">
        <v>0</v>
      </c>
      <c r="S1069" s="4">
        <v>0</v>
      </c>
      <c r="T1069" s="4">
        <v>0</v>
      </c>
      <c r="U1069" s="4">
        <v>0</v>
      </c>
      <c r="V1069" s="4">
        <v>100000</v>
      </c>
      <c r="W1069" s="4">
        <v>0</v>
      </c>
      <c r="X1069" s="4">
        <v>100000</v>
      </c>
      <c r="Y1069" s="4">
        <v>0</v>
      </c>
    </row>
    <row r="1070" spans="1:25" ht="19.5" customHeight="1" x14ac:dyDescent="0.25">
      <c r="A1070" s="2" t="s">
        <v>2705</v>
      </c>
      <c r="B1070" s="2" t="s">
        <v>54</v>
      </c>
      <c r="C1070" s="2" t="s">
        <v>54</v>
      </c>
      <c r="D1070" s="2" t="s">
        <v>2722</v>
      </c>
      <c r="E1070" s="2" t="s">
        <v>2723</v>
      </c>
      <c r="F1070" s="3">
        <v>156858.81</v>
      </c>
      <c r="G1070" s="3">
        <v>4073639.26</v>
      </c>
      <c r="H1070" s="3">
        <v>1000000</v>
      </c>
      <c r="I1070" s="3">
        <v>1000000</v>
      </c>
      <c r="J1070" s="3">
        <v>1000000</v>
      </c>
      <c r="K1070" s="3">
        <v>1000000</v>
      </c>
      <c r="L1070" s="4">
        <v>1000000</v>
      </c>
      <c r="M1070" s="4">
        <v>1000000</v>
      </c>
      <c r="N1070" s="4">
        <v>1000000</v>
      </c>
      <c r="O1070" s="4">
        <v>1000000</v>
      </c>
      <c r="P1070" s="4">
        <v>1000000</v>
      </c>
      <c r="Q1070" s="4">
        <v>1000000</v>
      </c>
      <c r="R1070" s="4">
        <v>1000000</v>
      </c>
      <c r="S1070" s="4">
        <v>1000000</v>
      </c>
      <c r="T1070" s="4">
        <v>1000000</v>
      </c>
      <c r="U1070" s="4">
        <v>1000000</v>
      </c>
      <c r="V1070" s="4">
        <v>1000000</v>
      </c>
      <c r="W1070" s="4">
        <v>1000000</v>
      </c>
      <c r="X1070" s="4">
        <v>1000000</v>
      </c>
      <c r="Y1070" s="4">
        <v>1000000</v>
      </c>
    </row>
    <row r="1071" spans="1:25" ht="19.5" customHeight="1" x14ac:dyDescent="0.25">
      <c r="A1071" s="2" t="s">
        <v>2724</v>
      </c>
      <c r="B1071" s="2" t="s">
        <v>16</v>
      </c>
      <c r="C1071" s="2" t="s">
        <v>2725</v>
      </c>
      <c r="D1071" s="2" t="s">
        <v>2726</v>
      </c>
      <c r="E1071" s="2" t="s">
        <v>2727</v>
      </c>
      <c r="F1071" s="3">
        <v>2372825.7000000002</v>
      </c>
      <c r="G1071" s="3">
        <v>5458467</v>
      </c>
      <c r="H1071" s="3">
        <v>7000000</v>
      </c>
      <c r="I1071" s="3">
        <v>7000000</v>
      </c>
      <c r="J1071" s="3">
        <v>7000000</v>
      </c>
      <c r="K1071" s="3">
        <v>7000000</v>
      </c>
      <c r="L1071" s="4">
        <v>7000000</v>
      </c>
      <c r="M1071" s="4">
        <v>7000000</v>
      </c>
      <c r="N1071" s="4">
        <v>7000000</v>
      </c>
      <c r="O1071" s="4">
        <v>7000000</v>
      </c>
      <c r="P1071" s="4">
        <v>7000000</v>
      </c>
      <c r="Q1071" s="4">
        <v>7000000</v>
      </c>
      <c r="R1071" s="4">
        <v>7000000</v>
      </c>
      <c r="S1071" s="4">
        <v>7000000</v>
      </c>
      <c r="T1071" s="4">
        <v>7000000</v>
      </c>
      <c r="U1071" s="4">
        <v>7000000</v>
      </c>
      <c r="V1071" s="4">
        <v>7000000</v>
      </c>
      <c r="W1071" s="4">
        <v>7000000</v>
      </c>
      <c r="X1071" s="4">
        <v>7000000</v>
      </c>
      <c r="Y1071" s="4">
        <v>7000000</v>
      </c>
    </row>
    <row r="1072" spans="1:25" ht="19.5" customHeight="1" x14ac:dyDescent="0.25">
      <c r="A1072" s="2" t="s">
        <v>2724</v>
      </c>
      <c r="B1072" s="2" t="s">
        <v>16</v>
      </c>
      <c r="C1072" s="2" t="s">
        <v>2728</v>
      </c>
      <c r="D1072" s="2" t="s">
        <v>2729</v>
      </c>
      <c r="E1072" s="2" t="s">
        <v>2730</v>
      </c>
      <c r="F1072" s="3">
        <v>2701131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4">
        <v>0</v>
      </c>
      <c r="M1072" s="4">
        <v>0</v>
      </c>
      <c r="N1072" s="4">
        <v>0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</row>
    <row r="1073" spans="1:25" ht="19.5" customHeight="1" x14ac:dyDescent="0.25">
      <c r="A1073" s="2" t="s">
        <v>2724</v>
      </c>
      <c r="B1073" s="2" t="s">
        <v>16</v>
      </c>
      <c r="C1073" s="2" t="s">
        <v>2731</v>
      </c>
      <c r="D1073" s="2" t="s">
        <v>2732</v>
      </c>
      <c r="E1073" s="2" t="s">
        <v>2733</v>
      </c>
      <c r="F1073" s="3">
        <v>53434158.149999999</v>
      </c>
      <c r="G1073" s="3">
        <v>71052464</v>
      </c>
      <c r="H1073" s="3">
        <v>85621440</v>
      </c>
      <c r="I1073" s="3">
        <v>85452765</v>
      </c>
      <c r="J1073" s="3">
        <v>85621440</v>
      </c>
      <c r="K1073" s="3">
        <v>85452765</v>
      </c>
      <c r="L1073" s="4">
        <v>85621440</v>
      </c>
      <c r="M1073" s="4">
        <v>85452765</v>
      </c>
      <c r="N1073" s="4">
        <v>85621440</v>
      </c>
      <c r="O1073" s="4">
        <v>85452765</v>
      </c>
      <c r="P1073" s="4">
        <v>85621440</v>
      </c>
      <c r="Q1073" s="4">
        <v>85452765</v>
      </c>
      <c r="R1073" s="4">
        <v>85621440</v>
      </c>
      <c r="S1073" s="4">
        <v>85452765</v>
      </c>
      <c r="T1073" s="4">
        <v>85621440</v>
      </c>
      <c r="U1073" s="4">
        <v>85452765</v>
      </c>
      <c r="V1073" s="4">
        <v>84195790</v>
      </c>
      <c r="W1073" s="4">
        <v>82970165</v>
      </c>
      <c r="X1073" s="4">
        <v>84195790</v>
      </c>
      <c r="Y1073" s="4">
        <v>82970165</v>
      </c>
    </row>
    <row r="1074" spans="1:25" ht="19.5" customHeight="1" x14ac:dyDescent="0.25">
      <c r="A1074" s="2" t="s">
        <v>2724</v>
      </c>
      <c r="B1074" s="2" t="s">
        <v>16</v>
      </c>
      <c r="C1074" s="2" t="s">
        <v>2734</v>
      </c>
      <c r="D1074" s="2" t="s">
        <v>2735</v>
      </c>
      <c r="E1074" s="2" t="s">
        <v>2736</v>
      </c>
      <c r="F1074" s="4">
        <v>733137225.352</v>
      </c>
      <c r="G1074" s="3">
        <v>516994085</v>
      </c>
      <c r="H1074" s="3">
        <v>547500000</v>
      </c>
      <c r="I1074" s="3">
        <v>605000000</v>
      </c>
      <c r="J1074" s="3">
        <v>547500000</v>
      </c>
      <c r="K1074" s="3">
        <v>605000000</v>
      </c>
      <c r="L1074" s="4">
        <v>547500000</v>
      </c>
      <c r="M1074" s="4">
        <v>605000000</v>
      </c>
      <c r="N1074" s="4">
        <v>547500000</v>
      </c>
      <c r="O1074" s="4">
        <v>605000000</v>
      </c>
      <c r="P1074" s="4">
        <v>552500000</v>
      </c>
      <c r="Q1074" s="4">
        <v>615150000</v>
      </c>
      <c r="R1074" s="4">
        <v>552500000</v>
      </c>
      <c r="S1074" s="4">
        <v>615150000</v>
      </c>
      <c r="T1074" s="4">
        <v>552500000</v>
      </c>
      <c r="U1074" s="4">
        <v>615150000</v>
      </c>
      <c r="V1074" s="4">
        <v>552500000</v>
      </c>
      <c r="W1074" s="4">
        <v>615150000</v>
      </c>
      <c r="X1074" s="4">
        <v>552500000</v>
      </c>
      <c r="Y1074" s="4">
        <v>615150000</v>
      </c>
    </row>
    <row r="1075" spans="1:25" ht="19.5" customHeight="1" x14ac:dyDescent="0.25">
      <c r="A1075" s="2" t="s">
        <v>2724</v>
      </c>
      <c r="B1075" s="2" t="s">
        <v>16</v>
      </c>
      <c r="C1075" s="2" t="s">
        <v>2734</v>
      </c>
      <c r="D1075" s="2" t="s">
        <v>2737</v>
      </c>
      <c r="E1075" s="2" t="s">
        <v>2738</v>
      </c>
      <c r="F1075" s="3">
        <v>28042641.02</v>
      </c>
      <c r="G1075" s="3">
        <v>44375000</v>
      </c>
      <c r="H1075" s="3">
        <v>98332700</v>
      </c>
      <c r="I1075" s="3">
        <v>80747100</v>
      </c>
      <c r="J1075" s="3">
        <v>98332700</v>
      </c>
      <c r="K1075" s="3">
        <v>80747100</v>
      </c>
      <c r="L1075" s="4">
        <v>98332700</v>
      </c>
      <c r="M1075" s="4">
        <v>80747100</v>
      </c>
      <c r="N1075" s="4">
        <v>98332700</v>
      </c>
      <c r="O1075" s="4">
        <v>80747100</v>
      </c>
      <c r="P1075" s="4">
        <v>98332700</v>
      </c>
      <c r="Q1075" s="4">
        <v>80747100</v>
      </c>
      <c r="R1075" s="4">
        <v>98332700</v>
      </c>
      <c r="S1075" s="4">
        <v>80747100</v>
      </c>
      <c r="T1075" s="4">
        <v>98332700</v>
      </c>
      <c r="U1075" s="4">
        <v>80747100</v>
      </c>
      <c r="V1075" s="4">
        <v>98332700</v>
      </c>
      <c r="W1075" s="4">
        <v>80747100</v>
      </c>
      <c r="X1075" s="4">
        <v>98332700</v>
      </c>
      <c r="Y1075" s="4">
        <v>80747100</v>
      </c>
    </row>
    <row r="1076" spans="1:25" ht="19.5" customHeight="1" x14ac:dyDescent="0.25">
      <c r="A1076" s="2" t="s">
        <v>2724</v>
      </c>
      <c r="B1076" s="2" t="s">
        <v>16</v>
      </c>
      <c r="C1076" s="2" t="s">
        <v>2734</v>
      </c>
      <c r="D1076" s="2" t="s">
        <v>2739</v>
      </c>
      <c r="E1076" s="2" t="s">
        <v>2740</v>
      </c>
      <c r="F1076" s="3">
        <v>5838622.9800000004</v>
      </c>
      <c r="G1076" s="3">
        <v>12000000</v>
      </c>
      <c r="H1076" s="3">
        <v>16000000</v>
      </c>
      <c r="I1076" s="3">
        <v>16000000</v>
      </c>
      <c r="J1076" s="3">
        <v>16000000</v>
      </c>
      <c r="K1076" s="3">
        <v>16000000</v>
      </c>
      <c r="L1076" s="4">
        <v>16000000</v>
      </c>
      <c r="M1076" s="4">
        <v>16000000</v>
      </c>
      <c r="N1076" s="4">
        <v>16000000</v>
      </c>
      <c r="O1076" s="4">
        <v>16000000</v>
      </c>
      <c r="P1076" s="4">
        <v>16000000</v>
      </c>
      <c r="Q1076" s="4">
        <v>16000000</v>
      </c>
      <c r="R1076" s="4">
        <v>16000000</v>
      </c>
      <c r="S1076" s="4">
        <v>16000000</v>
      </c>
      <c r="T1076" s="4">
        <v>16000000</v>
      </c>
      <c r="U1076" s="4">
        <v>16000000</v>
      </c>
      <c r="V1076" s="4">
        <v>16000000</v>
      </c>
      <c r="W1076" s="4">
        <v>16000000</v>
      </c>
      <c r="X1076" s="4">
        <v>16000000</v>
      </c>
      <c r="Y1076" s="4">
        <v>16000000</v>
      </c>
    </row>
    <row r="1077" spans="1:25" ht="19.5" customHeight="1" x14ac:dyDescent="0.25">
      <c r="A1077" s="2" t="s">
        <v>2724</v>
      </c>
      <c r="B1077" s="2" t="s">
        <v>16</v>
      </c>
      <c r="C1077" s="2" t="s">
        <v>2741</v>
      </c>
      <c r="D1077" s="2" t="s">
        <v>2742</v>
      </c>
      <c r="E1077" s="2" t="s">
        <v>2743</v>
      </c>
      <c r="F1077" s="3">
        <v>8837201.5999999996</v>
      </c>
      <c r="G1077" s="3">
        <v>12000000</v>
      </c>
      <c r="H1077" s="3">
        <v>12000000</v>
      </c>
      <c r="I1077" s="3">
        <v>12000000</v>
      </c>
      <c r="J1077" s="3">
        <v>12000000</v>
      </c>
      <c r="K1077" s="3">
        <v>12000000</v>
      </c>
      <c r="L1077" s="4">
        <v>12000000</v>
      </c>
      <c r="M1077" s="4">
        <v>12000000</v>
      </c>
      <c r="N1077" s="4">
        <v>12000000</v>
      </c>
      <c r="O1077" s="4">
        <v>12000000</v>
      </c>
      <c r="P1077" s="4">
        <v>12000000</v>
      </c>
      <c r="Q1077" s="4">
        <v>12000000</v>
      </c>
      <c r="R1077" s="4">
        <v>12000000</v>
      </c>
      <c r="S1077" s="4">
        <v>12000000</v>
      </c>
      <c r="T1077" s="4">
        <v>12000000</v>
      </c>
      <c r="U1077" s="4">
        <v>12000000</v>
      </c>
      <c r="V1077" s="4">
        <v>12000000</v>
      </c>
      <c r="W1077" s="4">
        <v>12000000</v>
      </c>
      <c r="X1077" s="4">
        <v>12000000</v>
      </c>
      <c r="Y1077" s="4">
        <v>12000000</v>
      </c>
    </row>
    <row r="1078" spans="1:25" ht="19.5" customHeight="1" x14ac:dyDescent="0.25">
      <c r="A1078" s="2" t="s">
        <v>2724</v>
      </c>
      <c r="B1078" s="2" t="s">
        <v>16</v>
      </c>
      <c r="C1078" s="2" t="s">
        <v>2744</v>
      </c>
      <c r="D1078" s="2" t="s">
        <v>2745</v>
      </c>
      <c r="E1078" s="2" t="s">
        <v>2746</v>
      </c>
      <c r="F1078" s="3">
        <v>822016218.11000001</v>
      </c>
      <c r="G1078" s="3">
        <v>1080868119</v>
      </c>
      <c r="H1078" s="3">
        <v>932000000</v>
      </c>
      <c r="I1078" s="3">
        <v>971000000</v>
      </c>
      <c r="J1078" s="3">
        <v>932000000</v>
      </c>
      <c r="K1078" s="3">
        <v>971000000</v>
      </c>
      <c r="L1078" s="4">
        <v>932000000</v>
      </c>
      <c r="M1078" s="4">
        <v>971000000</v>
      </c>
      <c r="N1078" s="4">
        <v>932000000</v>
      </c>
      <c r="O1078" s="4">
        <v>971000000</v>
      </c>
      <c r="P1078" s="4">
        <v>932000000</v>
      </c>
      <c r="Q1078" s="4">
        <v>971000000</v>
      </c>
      <c r="R1078" s="4">
        <v>932000000</v>
      </c>
      <c r="S1078" s="4">
        <v>971000000</v>
      </c>
      <c r="T1078" s="4">
        <v>932000000</v>
      </c>
      <c r="U1078" s="4">
        <v>971000000</v>
      </c>
      <c r="V1078" s="4">
        <v>931200000</v>
      </c>
      <c r="W1078" s="4">
        <v>980800000</v>
      </c>
      <c r="X1078" s="4">
        <v>931200000</v>
      </c>
      <c r="Y1078" s="4">
        <v>980800000</v>
      </c>
    </row>
    <row r="1079" spans="1:25" ht="19.5" customHeight="1" x14ac:dyDescent="0.25">
      <c r="A1079" s="2" t="s">
        <v>2724</v>
      </c>
      <c r="B1079" s="2" t="s">
        <v>16</v>
      </c>
      <c r="C1079" s="2" t="s">
        <v>2747</v>
      </c>
      <c r="D1079" s="2" t="s">
        <v>2748</v>
      </c>
      <c r="E1079" s="2" t="s">
        <v>2749</v>
      </c>
      <c r="F1079" s="3">
        <v>419721920.19</v>
      </c>
      <c r="G1079" s="3">
        <v>424877857</v>
      </c>
      <c r="H1079" s="3">
        <v>415000000</v>
      </c>
      <c r="I1079" s="3">
        <v>415000000</v>
      </c>
      <c r="J1079" s="3">
        <v>415000000</v>
      </c>
      <c r="K1079" s="3">
        <v>415000000</v>
      </c>
      <c r="L1079" s="4">
        <v>415000000</v>
      </c>
      <c r="M1079" s="4">
        <v>415000000</v>
      </c>
      <c r="N1079" s="4">
        <v>415000000</v>
      </c>
      <c r="O1079" s="4">
        <v>415000000</v>
      </c>
      <c r="P1079" s="4">
        <v>415000000</v>
      </c>
      <c r="Q1079" s="4">
        <v>415000000</v>
      </c>
      <c r="R1079" s="4">
        <v>415000000</v>
      </c>
      <c r="S1079" s="4">
        <v>415000000</v>
      </c>
      <c r="T1079" s="4">
        <v>415000000</v>
      </c>
      <c r="U1079" s="4">
        <v>415000000</v>
      </c>
      <c r="V1079" s="4">
        <v>415000000</v>
      </c>
      <c r="W1079" s="4">
        <v>415000000</v>
      </c>
      <c r="X1079" s="4">
        <v>415000000</v>
      </c>
      <c r="Y1079" s="4">
        <v>415000000</v>
      </c>
    </row>
    <row r="1080" spans="1:25" ht="19.5" customHeight="1" x14ac:dyDescent="0.25">
      <c r="A1080" s="2" t="s">
        <v>2724</v>
      </c>
      <c r="B1080" s="2" t="s">
        <v>16</v>
      </c>
      <c r="C1080" s="2" t="s">
        <v>2750</v>
      </c>
      <c r="D1080" s="2" t="s">
        <v>2751</v>
      </c>
      <c r="E1080" s="2" t="s">
        <v>2752</v>
      </c>
      <c r="F1080" s="3">
        <v>0</v>
      </c>
      <c r="G1080" s="3">
        <v>0</v>
      </c>
      <c r="H1080" s="3">
        <v>900000000</v>
      </c>
      <c r="I1080" s="3">
        <v>300000000</v>
      </c>
      <c r="J1080" s="3">
        <v>900000000</v>
      </c>
      <c r="K1080" s="3">
        <v>300000000</v>
      </c>
      <c r="L1080" s="4">
        <v>900000000</v>
      </c>
      <c r="M1080" s="4">
        <v>300000000</v>
      </c>
      <c r="N1080" s="4">
        <v>900000000</v>
      </c>
      <c r="O1080" s="4">
        <v>300000000</v>
      </c>
      <c r="P1080" s="4">
        <v>900000000</v>
      </c>
      <c r="Q1080" s="4">
        <v>300000000</v>
      </c>
      <c r="R1080" s="4">
        <v>900000000</v>
      </c>
      <c r="S1080" s="4">
        <v>300000000</v>
      </c>
      <c r="T1080" s="4">
        <v>900000000</v>
      </c>
      <c r="U1080" s="4">
        <v>300000000</v>
      </c>
      <c r="V1080" s="4">
        <v>900000000</v>
      </c>
      <c r="W1080" s="4">
        <v>300000000</v>
      </c>
      <c r="X1080" s="4">
        <v>900000000</v>
      </c>
      <c r="Y1080" s="4">
        <v>300000000</v>
      </c>
    </row>
    <row r="1081" spans="1:25" ht="19.5" customHeight="1" x14ac:dyDescent="0.25">
      <c r="A1081" s="2" t="s">
        <v>2724</v>
      </c>
      <c r="B1081" s="2" t="s">
        <v>16</v>
      </c>
      <c r="C1081" s="2" t="s">
        <v>2753</v>
      </c>
      <c r="D1081" s="2" t="s">
        <v>2754</v>
      </c>
      <c r="E1081" s="2" t="s">
        <v>2755</v>
      </c>
      <c r="F1081" s="4">
        <v>834564060</v>
      </c>
      <c r="G1081" s="3">
        <v>966187400</v>
      </c>
      <c r="H1081" s="3">
        <v>1013000000</v>
      </c>
      <c r="I1081" s="3">
        <v>966000000</v>
      </c>
      <c r="J1081" s="3">
        <v>1013000000</v>
      </c>
      <c r="K1081" s="3">
        <v>966000000</v>
      </c>
      <c r="L1081" s="4">
        <v>1013000000</v>
      </c>
      <c r="M1081" s="4">
        <v>966000000</v>
      </c>
      <c r="N1081" s="4">
        <v>1013000000</v>
      </c>
      <c r="O1081" s="4">
        <v>966000000</v>
      </c>
      <c r="P1081" s="4">
        <v>1013000000</v>
      </c>
      <c r="Q1081" s="4">
        <v>966000000</v>
      </c>
      <c r="R1081" s="4">
        <v>1013000000</v>
      </c>
      <c r="S1081" s="4">
        <v>966000000</v>
      </c>
      <c r="T1081" s="4">
        <v>1013000000</v>
      </c>
      <c r="U1081" s="4">
        <v>966000000</v>
      </c>
      <c r="V1081" s="4">
        <v>991000000</v>
      </c>
      <c r="W1081" s="4">
        <v>951000000</v>
      </c>
      <c r="X1081" s="4">
        <v>991000000</v>
      </c>
      <c r="Y1081" s="4">
        <v>951000000</v>
      </c>
    </row>
    <row r="1082" spans="1:25" ht="19.5" customHeight="1" x14ac:dyDescent="0.25">
      <c r="A1082" s="2" t="s">
        <v>2724</v>
      </c>
      <c r="B1082" s="2" t="s">
        <v>16</v>
      </c>
      <c r="C1082" s="2" t="s">
        <v>2756</v>
      </c>
      <c r="D1082" s="8" t="s">
        <v>2757</v>
      </c>
      <c r="E1082" s="2" t="s">
        <v>2758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4">
        <v>10500000</v>
      </c>
      <c r="M1082" s="4">
        <v>10500000</v>
      </c>
      <c r="N1082" s="4">
        <v>10500000</v>
      </c>
      <c r="O1082" s="4">
        <v>10500000</v>
      </c>
      <c r="P1082" s="4">
        <v>10500000</v>
      </c>
      <c r="Q1082" s="4">
        <v>10500000</v>
      </c>
      <c r="R1082" s="4">
        <v>10500000</v>
      </c>
      <c r="S1082" s="4">
        <v>10500000</v>
      </c>
      <c r="T1082" s="4">
        <v>10500000</v>
      </c>
      <c r="U1082" s="4">
        <v>10500000</v>
      </c>
      <c r="V1082" s="4">
        <v>10500000</v>
      </c>
      <c r="W1082" s="4">
        <v>10500000</v>
      </c>
      <c r="X1082" s="4">
        <v>10500000</v>
      </c>
      <c r="Y1082" s="4">
        <v>10500000</v>
      </c>
    </row>
    <row r="1083" spans="1:25" ht="19.5" customHeight="1" x14ac:dyDescent="0.25">
      <c r="A1083" s="2" t="s">
        <v>2724</v>
      </c>
      <c r="B1083" s="2" t="s">
        <v>16</v>
      </c>
      <c r="C1083" s="2" t="s">
        <v>2759</v>
      </c>
      <c r="D1083" s="2" t="s">
        <v>2760</v>
      </c>
      <c r="E1083" s="2" t="s">
        <v>2761</v>
      </c>
      <c r="F1083" s="3">
        <v>252049361.52000001</v>
      </c>
      <c r="G1083" s="3">
        <v>196735771</v>
      </c>
      <c r="H1083" s="3">
        <v>158392748</v>
      </c>
      <c r="I1083" s="3">
        <v>102289260</v>
      </c>
      <c r="J1083" s="3">
        <v>158392748</v>
      </c>
      <c r="K1083" s="3">
        <v>102289260</v>
      </c>
      <c r="L1083" s="4">
        <v>158392748</v>
      </c>
      <c r="M1083" s="4">
        <v>102289260</v>
      </c>
      <c r="N1083" s="4">
        <v>158392748</v>
      </c>
      <c r="O1083" s="4">
        <v>102289260</v>
      </c>
      <c r="P1083" s="4">
        <v>158392748</v>
      </c>
      <c r="Q1083" s="4">
        <v>102289260</v>
      </c>
      <c r="R1083" s="4">
        <v>158392748</v>
      </c>
      <c r="S1083" s="4">
        <v>102289260</v>
      </c>
      <c r="T1083" s="4">
        <v>158392748</v>
      </c>
      <c r="U1083" s="4">
        <v>102289260</v>
      </c>
      <c r="V1083" s="4">
        <v>216671003</v>
      </c>
      <c r="W1083" s="4">
        <v>241843358</v>
      </c>
      <c r="X1083" s="4">
        <v>216671003</v>
      </c>
      <c r="Y1083" s="4">
        <v>241843358</v>
      </c>
    </row>
    <row r="1084" spans="1:25" ht="19.5" customHeight="1" x14ac:dyDescent="0.25">
      <c r="A1084" s="2" t="s">
        <v>2724</v>
      </c>
      <c r="B1084" s="2" t="s">
        <v>44</v>
      </c>
      <c r="C1084" s="2" t="s">
        <v>2762</v>
      </c>
      <c r="D1084" s="2" t="s">
        <v>2763</v>
      </c>
      <c r="E1084" s="2" t="s">
        <v>2764</v>
      </c>
      <c r="F1084" s="3">
        <v>8799030.8800000008</v>
      </c>
      <c r="G1084" s="3">
        <v>15552893</v>
      </c>
      <c r="H1084" s="3">
        <v>10083900</v>
      </c>
      <c r="I1084" s="3">
        <v>9660200</v>
      </c>
      <c r="J1084" s="3">
        <v>10083900</v>
      </c>
      <c r="K1084" s="3">
        <v>9660200</v>
      </c>
      <c r="L1084" s="4">
        <v>10083900</v>
      </c>
      <c r="M1084" s="4">
        <v>9660200</v>
      </c>
      <c r="N1084" s="4">
        <v>10083900</v>
      </c>
      <c r="O1084" s="4">
        <v>9660200</v>
      </c>
      <c r="P1084" s="4">
        <v>10083900</v>
      </c>
      <c r="Q1084" s="4">
        <v>9660200</v>
      </c>
      <c r="R1084" s="4">
        <v>10083900</v>
      </c>
      <c r="S1084" s="4">
        <v>9660200</v>
      </c>
      <c r="T1084" s="4">
        <v>10083900</v>
      </c>
      <c r="U1084" s="4">
        <v>9660200</v>
      </c>
      <c r="V1084" s="4">
        <v>10083900</v>
      </c>
      <c r="W1084" s="4">
        <v>9660200</v>
      </c>
      <c r="X1084" s="4">
        <v>10083900</v>
      </c>
      <c r="Y1084" s="4">
        <v>9660200</v>
      </c>
    </row>
    <row r="1085" spans="1:25" ht="19.5" customHeight="1" x14ac:dyDescent="0.25">
      <c r="A1085" s="2" t="s">
        <v>2724</v>
      </c>
      <c r="B1085" s="2" t="s">
        <v>44</v>
      </c>
      <c r="C1085" s="2" t="s">
        <v>2765</v>
      </c>
      <c r="D1085" s="2" t="s">
        <v>2766</v>
      </c>
      <c r="E1085" s="2" t="s">
        <v>2767</v>
      </c>
      <c r="F1085" s="3">
        <v>6599506394.6160002</v>
      </c>
      <c r="G1085" s="3">
        <v>9285724215</v>
      </c>
      <c r="H1085" s="3">
        <v>10639171307</v>
      </c>
      <c r="I1085" s="3">
        <v>8122425803</v>
      </c>
      <c r="J1085" s="3">
        <v>10639171307</v>
      </c>
      <c r="K1085" s="3">
        <v>8122425803</v>
      </c>
      <c r="L1085" s="4">
        <v>10666371307</v>
      </c>
      <c r="M1085" s="4">
        <v>8149625803</v>
      </c>
      <c r="N1085" s="4">
        <v>10666371307</v>
      </c>
      <c r="O1085" s="4">
        <v>8149625803</v>
      </c>
      <c r="P1085" s="4">
        <v>10680175369</v>
      </c>
      <c r="Q1085" s="4">
        <v>8174548367</v>
      </c>
      <c r="R1085" s="4">
        <v>10680175369</v>
      </c>
      <c r="S1085" s="4">
        <v>8174548367</v>
      </c>
      <c r="T1085" s="4">
        <v>10680175369</v>
      </c>
      <c r="U1085" s="4">
        <v>8174548367</v>
      </c>
      <c r="V1085" s="4">
        <v>11004684967</v>
      </c>
      <c r="W1085" s="4">
        <v>8661585383</v>
      </c>
      <c r="X1085" s="4">
        <v>11004684967</v>
      </c>
      <c r="Y1085" s="4">
        <v>8661585383</v>
      </c>
    </row>
    <row r="1086" spans="1:25" ht="19.5" customHeight="1" x14ac:dyDescent="0.25">
      <c r="A1086" s="2" t="s">
        <v>2724</v>
      </c>
      <c r="B1086" s="2" t="s">
        <v>44</v>
      </c>
      <c r="C1086" s="2" t="s">
        <v>2765</v>
      </c>
      <c r="D1086" s="2" t="s">
        <v>2768</v>
      </c>
      <c r="E1086" s="2" t="s">
        <v>2525</v>
      </c>
      <c r="F1086" s="3">
        <v>322759916.66000003</v>
      </c>
      <c r="G1086" s="3">
        <v>407513907</v>
      </c>
      <c r="H1086" s="3">
        <v>543733300</v>
      </c>
      <c r="I1086" s="3">
        <v>509264400</v>
      </c>
      <c r="J1086" s="3">
        <v>543733300</v>
      </c>
      <c r="K1086" s="3">
        <v>509264400</v>
      </c>
      <c r="L1086" s="4">
        <v>543733300</v>
      </c>
      <c r="M1086" s="4">
        <v>509264400</v>
      </c>
      <c r="N1086" s="4">
        <v>543733300</v>
      </c>
      <c r="O1086" s="4">
        <v>509264400</v>
      </c>
      <c r="P1086" s="4">
        <v>543733300</v>
      </c>
      <c r="Q1086" s="4">
        <v>509264400</v>
      </c>
      <c r="R1086" s="4">
        <v>543733300</v>
      </c>
      <c r="S1086" s="4">
        <v>509264400</v>
      </c>
      <c r="T1086" s="4">
        <v>543733300</v>
      </c>
      <c r="U1086" s="4">
        <v>509264400</v>
      </c>
      <c r="V1086" s="4">
        <v>543733300</v>
      </c>
      <c r="W1086" s="4">
        <v>509264400</v>
      </c>
      <c r="X1086" s="4">
        <v>543733300</v>
      </c>
      <c r="Y1086" s="4">
        <v>509264400</v>
      </c>
    </row>
    <row r="1087" spans="1:25" ht="19.5" customHeight="1" x14ac:dyDescent="0.25">
      <c r="A1087" s="2" t="s">
        <v>2724</v>
      </c>
      <c r="B1087" s="2" t="s">
        <v>44</v>
      </c>
      <c r="C1087" s="2" t="s">
        <v>2769</v>
      </c>
      <c r="D1087" s="2" t="s">
        <v>2770</v>
      </c>
      <c r="E1087" s="2" t="s">
        <v>2771</v>
      </c>
      <c r="F1087" s="3">
        <v>83509.570000000007</v>
      </c>
      <c r="G1087" s="3">
        <v>1596559</v>
      </c>
      <c r="H1087" s="3">
        <v>3000000</v>
      </c>
      <c r="I1087" s="3">
        <v>3000000</v>
      </c>
      <c r="J1087" s="3">
        <v>3000000</v>
      </c>
      <c r="K1087" s="3">
        <v>3000000</v>
      </c>
      <c r="L1087" s="4">
        <v>3000000</v>
      </c>
      <c r="M1087" s="4">
        <v>3000000</v>
      </c>
      <c r="N1087" s="4">
        <v>3000000</v>
      </c>
      <c r="O1087" s="4">
        <v>3000000</v>
      </c>
      <c r="P1087" s="4">
        <v>3000000</v>
      </c>
      <c r="Q1087" s="4">
        <v>3000000</v>
      </c>
      <c r="R1087" s="4">
        <v>3000000</v>
      </c>
      <c r="S1087" s="4">
        <v>3000000</v>
      </c>
      <c r="T1087" s="4">
        <v>3000000</v>
      </c>
      <c r="U1087" s="4">
        <v>3000000</v>
      </c>
      <c r="V1087" s="4">
        <v>3000000</v>
      </c>
      <c r="W1087" s="4">
        <v>3000000</v>
      </c>
      <c r="X1087" s="4">
        <v>3000000</v>
      </c>
      <c r="Y1087" s="4">
        <v>3000000</v>
      </c>
    </row>
    <row r="1088" spans="1:25" ht="19.5" customHeight="1" x14ac:dyDescent="0.25">
      <c r="A1088" s="2" t="s">
        <v>2724</v>
      </c>
      <c r="B1088" s="2" t="s">
        <v>44</v>
      </c>
      <c r="C1088" s="2" t="s">
        <v>2772</v>
      </c>
      <c r="D1088" s="2" t="s">
        <v>2773</v>
      </c>
      <c r="E1088" s="2" t="s">
        <v>2774</v>
      </c>
      <c r="F1088" s="3">
        <v>161870455.22999999</v>
      </c>
      <c r="G1088" s="3">
        <v>243701597</v>
      </c>
      <c r="H1088" s="3">
        <v>241692200</v>
      </c>
      <c r="I1088" s="3">
        <v>241692200</v>
      </c>
      <c r="J1088" s="3">
        <v>241692200</v>
      </c>
      <c r="K1088" s="3">
        <v>241692200</v>
      </c>
      <c r="L1088" s="4">
        <v>241692200</v>
      </c>
      <c r="M1088" s="4">
        <v>241692200</v>
      </c>
      <c r="N1088" s="4">
        <v>241692200</v>
      </c>
      <c r="O1088" s="4">
        <v>241692200</v>
      </c>
      <c r="P1088" s="4">
        <v>241692200</v>
      </c>
      <c r="Q1088" s="4">
        <v>241692200</v>
      </c>
      <c r="R1088" s="4">
        <v>241692200</v>
      </c>
      <c r="S1088" s="4">
        <v>241692200</v>
      </c>
      <c r="T1088" s="4">
        <v>241692200</v>
      </c>
      <c r="U1088" s="4">
        <v>241692200</v>
      </c>
      <c r="V1088" s="4">
        <v>241692200</v>
      </c>
      <c r="W1088" s="4">
        <v>241692200</v>
      </c>
      <c r="X1088" s="4">
        <v>241692200</v>
      </c>
      <c r="Y1088" s="4">
        <v>241692200</v>
      </c>
    </row>
    <row r="1089" spans="1:25" ht="19.5" customHeight="1" x14ac:dyDescent="0.25">
      <c r="A1089" s="2" t="s">
        <v>2724</v>
      </c>
      <c r="B1089" s="2" t="s">
        <v>54</v>
      </c>
      <c r="C1089" s="2" t="s">
        <v>54</v>
      </c>
      <c r="D1089" s="2" t="s">
        <v>2775</v>
      </c>
      <c r="E1089" s="2" t="s">
        <v>1052</v>
      </c>
      <c r="F1089" s="3">
        <v>149748742.28</v>
      </c>
      <c r="G1089" s="3">
        <v>147571100</v>
      </c>
      <c r="H1089" s="3">
        <v>174630600</v>
      </c>
      <c r="I1089" s="3">
        <v>175966900</v>
      </c>
      <c r="J1089" s="3">
        <v>174630600</v>
      </c>
      <c r="K1089" s="3">
        <v>175966900</v>
      </c>
      <c r="L1089" s="4">
        <v>174630600</v>
      </c>
      <c r="M1089" s="4">
        <v>175966900</v>
      </c>
      <c r="N1089" s="4">
        <v>174630600</v>
      </c>
      <c r="O1089" s="4">
        <v>175966900</v>
      </c>
      <c r="P1089" s="4">
        <v>158301609</v>
      </c>
      <c r="Q1089" s="4">
        <v>158837954</v>
      </c>
      <c r="R1089" s="4">
        <v>158301609</v>
      </c>
      <c r="S1089" s="4">
        <v>158837954</v>
      </c>
      <c r="T1089" s="4">
        <v>158301609</v>
      </c>
      <c r="U1089" s="4">
        <v>158837954</v>
      </c>
      <c r="V1089" s="4">
        <v>158301609</v>
      </c>
      <c r="W1089" s="4">
        <v>158837954</v>
      </c>
      <c r="X1089" s="4">
        <v>158301609</v>
      </c>
      <c r="Y1089" s="4">
        <v>158837954</v>
      </c>
    </row>
    <row r="1090" spans="1:25" ht="19.5" customHeight="1" x14ac:dyDescent="0.25">
      <c r="A1090" s="2" t="s">
        <v>2724</v>
      </c>
      <c r="B1090" s="2" t="s">
        <v>54</v>
      </c>
      <c r="C1090" s="2" t="s">
        <v>54</v>
      </c>
      <c r="D1090" s="2" t="s">
        <v>2776</v>
      </c>
      <c r="E1090" s="2" t="s">
        <v>2777</v>
      </c>
      <c r="F1090" s="3">
        <v>2500000</v>
      </c>
      <c r="G1090" s="3">
        <v>2500000</v>
      </c>
      <c r="H1090" s="3">
        <v>0</v>
      </c>
      <c r="I1090" s="3">
        <v>0</v>
      </c>
      <c r="J1090" s="3">
        <v>1000000</v>
      </c>
      <c r="K1090" s="3">
        <v>0</v>
      </c>
      <c r="L1090" s="4">
        <v>1000000</v>
      </c>
      <c r="M1090" s="4">
        <v>0</v>
      </c>
      <c r="N1090" s="4">
        <v>1000000</v>
      </c>
      <c r="O1090" s="4">
        <v>0</v>
      </c>
      <c r="P1090" s="4">
        <v>1000000</v>
      </c>
      <c r="Q1090" s="4">
        <v>0</v>
      </c>
      <c r="R1090" s="4">
        <v>2500000</v>
      </c>
      <c r="S1090" s="4">
        <v>0</v>
      </c>
      <c r="T1090" s="4">
        <v>2500000</v>
      </c>
      <c r="U1090" s="4">
        <v>0</v>
      </c>
      <c r="V1090" s="4">
        <v>2500000</v>
      </c>
      <c r="W1090" s="4">
        <v>0</v>
      </c>
      <c r="X1090" s="4">
        <v>2500000</v>
      </c>
      <c r="Y1090" s="4">
        <v>0</v>
      </c>
    </row>
    <row r="1091" spans="1:25" ht="19.5" customHeight="1" x14ac:dyDescent="0.25">
      <c r="A1091" s="2" t="s">
        <v>2724</v>
      </c>
      <c r="B1091" s="2" t="s">
        <v>54</v>
      </c>
      <c r="C1091" s="2" t="s">
        <v>54</v>
      </c>
      <c r="D1091" s="2" t="s">
        <v>2778</v>
      </c>
      <c r="E1091" s="2" t="s">
        <v>2779</v>
      </c>
      <c r="F1091" s="3">
        <v>14111993687.922001</v>
      </c>
      <c r="G1091" s="3">
        <v>15300589680</v>
      </c>
      <c r="H1091" s="3">
        <v>15027588738</v>
      </c>
      <c r="I1091" s="3">
        <v>18777589109</v>
      </c>
      <c r="J1091" s="3">
        <v>15091088738</v>
      </c>
      <c r="K1091" s="3">
        <v>18891089109</v>
      </c>
      <c r="L1091" s="4">
        <v>15091088738</v>
      </c>
      <c r="M1091" s="4">
        <v>18891089109</v>
      </c>
      <c r="N1091" s="4">
        <v>15091088738</v>
      </c>
      <c r="O1091" s="4">
        <v>18891089109</v>
      </c>
      <c r="P1091" s="4">
        <v>14715643868</v>
      </c>
      <c r="Q1091" s="4">
        <v>19142071526</v>
      </c>
      <c r="R1091" s="4">
        <v>14716836877</v>
      </c>
      <c r="S1091" s="4">
        <v>19144085180</v>
      </c>
      <c r="T1091" s="4">
        <v>14716836877</v>
      </c>
      <c r="U1091" s="4">
        <v>19144085180</v>
      </c>
      <c r="V1091" s="4">
        <v>14548812079</v>
      </c>
      <c r="W1091" s="4">
        <v>18540178346</v>
      </c>
      <c r="X1091" s="4">
        <v>14548812079</v>
      </c>
      <c r="Y1091" s="4">
        <v>18540178346</v>
      </c>
    </row>
    <row r="1092" spans="1:25" ht="19.5" customHeight="1" x14ac:dyDescent="0.25">
      <c r="A1092" s="2" t="s">
        <v>2724</v>
      </c>
      <c r="B1092" s="2" t="s">
        <v>54</v>
      </c>
      <c r="C1092" s="2" t="s">
        <v>54</v>
      </c>
      <c r="D1092" s="2" t="s">
        <v>2780</v>
      </c>
      <c r="E1092" s="2" t="s">
        <v>2781</v>
      </c>
      <c r="F1092" s="3">
        <v>476676968.73000002</v>
      </c>
      <c r="G1092" s="3">
        <v>388430886</v>
      </c>
      <c r="H1092" s="3">
        <v>489144862</v>
      </c>
      <c r="I1092" s="3">
        <v>566626746</v>
      </c>
      <c r="J1092" s="3">
        <v>489144862</v>
      </c>
      <c r="K1092" s="3">
        <v>566626746</v>
      </c>
      <c r="L1092" s="4">
        <v>489144862</v>
      </c>
      <c r="M1092" s="4">
        <v>566626746</v>
      </c>
      <c r="N1092" s="4">
        <v>489144862</v>
      </c>
      <c r="O1092" s="4">
        <v>566626746</v>
      </c>
      <c r="P1092" s="4">
        <v>489144862</v>
      </c>
      <c r="Q1092" s="4">
        <v>566626746</v>
      </c>
      <c r="R1092" s="4">
        <v>489144862</v>
      </c>
      <c r="S1092" s="4">
        <v>566626746</v>
      </c>
      <c r="T1092" s="4">
        <v>489144862</v>
      </c>
      <c r="U1092" s="4">
        <v>566626746</v>
      </c>
      <c r="V1092" s="4">
        <v>494158753</v>
      </c>
      <c r="W1092" s="4">
        <v>590346922</v>
      </c>
      <c r="X1092" s="4">
        <v>494158753</v>
      </c>
      <c r="Y1092" s="4">
        <v>590346922</v>
      </c>
    </row>
    <row r="1093" spans="1:25" ht="19.5" customHeight="1" x14ac:dyDescent="0.25">
      <c r="A1093" s="2" t="s">
        <v>2724</v>
      </c>
      <c r="B1093" s="2" t="s">
        <v>54</v>
      </c>
      <c r="C1093" s="2" t="s">
        <v>54</v>
      </c>
      <c r="D1093" s="2" t="s">
        <v>2782</v>
      </c>
      <c r="E1093" s="2" t="s">
        <v>2783</v>
      </c>
      <c r="F1093" s="4">
        <v>500000</v>
      </c>
      <c r="G1093" s="3">
        <v>500000</v>
      </c>
      <c r="H1093" s="3">
        <v>0</v>
      </c>
      <c r="I1093" s="3">
        <v>0</v>
      </c>
      <c r="J1093" s="3">
        <v>1000000</v>
      </c>
      <c r="K1093" s="3">
        <v>1000000</v>
      </c>
      <c r="L1093" s="4">
        <v>1000000</v>
      </c>
      <c r="M1093" s="4">
        <v>1000000</v>
      </c>
      <c r="N1093" s="4">
        <v>1000000</v>
      </c>
      <c r="O1093" s="4">
        <v>1000000</v>
      </c>
      <c r="P1093" s="4">
        <v>1000000</v>
      </c>
      <c r="Q1093" s="4">
        <v>1000000</v>
      </c>
      <c r="R1093" s="4">
        <v>1000000</v>
      </c>
      <c r="S1093" s="4">
        <v>1000000</v>
      </c>
      <c r="T1093" s="4">
        <v>1000000</v>
      </c>
      <c r="U1093" s="4">
        <v>1000000</v>
      </c>
      <c r="V1093" s="4">
        <v>1000000</v>
      </c>
      <c r="W1093" s="4">
        <v>1000000</v>
      </c>
      <c r="X1093" s="4">
        <v>1000000</v>
      </c>
      <c r="Y1093" s="4">
        <v>1000000</v>
      </c>
    </row>
    <row r="1094" spans="1:25" ht="19.5" customHeight="1" x14ac:dyDescent="0.25">
      <c r="A1094" s="2" t="s">
        <v>2724</v>
      </c>
      <c r="B1094" s="2" t="s">
        <v>54</v>
      </c>
      <c r="C1094" s="2" t="s">
        <v>54</v>
      </c>
      <c r="D1094" s="2" t="s">
        <v>2784</v>
      </c>
      <c r="E1094" s="2" t="s">
        <v>2785</v>
      </c>
      <c r="F1094" s="4">
        <v>0</v>
      </c>
      <c r="G1094" s="3">
        <v>500000</v>
      </c>
      <c r="H1094" s="3">
        <v>0</v>
      </c>
      <c r="I1094" s="3">
        <v>0</v>
      </c>
      <c r="J1094" s="3">
        <v>250000</v>
      </c>
      <c r="K1094" s="3">
        <v>250000</v>
      </c>
      <c r="L1094" s="4">
        <v>250000</v>
      </c>
      <c r="M1094" s="4">
        <v>250000</v>
      </c>
      <c r="N1094" s="4">
        <v>250000</v>
      </c>
      <c r="O1094" s="4">
        <v>250000</v>
      </c>
      <c r="P1094" s="4">
        <v>250000</v>
      </c>
      <c r="Q1094" s="4">
        <v>250000</v>
      </c>
      <c r="R1094" s="4">
        <v>250000</v>
      </c>
      <c r="S1094" s="4">
        <v>250000</v>
      </c>
      <c r="T1094" s="4">
        <v>250000</v>
      </c>
      <c r="U1094" s="4">
        <v>250000</v>
      </c>
      <c r="V1094" s="4">
        <v>250000</v>
      </c>
      <c r="W1094" s="4">
        <v>250000</v>
      </c>
      <c r="X1094" s="4">
        <v>250000</v>
      </c>
      <c r="Y1094" s="4">
        <v>250000</v>
      </c>
    </row>
    <row r="1095" spans="1:25" ht="19.5" customHeight="1" x14ac:dyDescent="0.25">
      <c r="A1095" s="2" t="s">
        <v>2724</v>
      </c>
      <c r="B1095" s="2" t="s">
        <v>227</v>
      </c>
      <c r="C1095" s="2" t="s">
        <v>2786</v>
      </c>
      <c r="D1095" s="2" t="s">
        <v>2787</v>
      </c>
      <c r="E1095" s="2" t="s">
        <v>2788</v>
      </c>
      <c r="F1095" s="3">
        <v>839671.48</v>
      </c>
      <c r="G1095" s="3">
        <v>3000000</v>
      </c>
      <c r="H1095" s="3">
        <v>1000000</v>
      </c>
      <c r="I1095" s="3">
        <v>1000000</v>
      </c>
      <c r="J1095" s="3">
        <v>1000000</v>
      </c>
      <c r="K1095" s="3">
        <v>1000000</v>
      </c>
      <c r="L1095" s="4">
        <v>1000000</v>
      </c>
      <c r="M1095" s="4">
        <v>1000000</v>
      </c>
      <c r="N1095" s="4">
        <v>1000000</v>
      </c>
      <c r="O1095" s="4">
        <v>1000000</v>
      </c>
      <c r="P1095" s="4">
        <v>1000000</v>
      </c>
      <c r="Q1095" s="4">
        <v>1000000</v>
      </c>
      <c r="R1095" s="4">
        <v>1000000</v>
      </c>
      <c r="S1095" s="4">
        <v>1000000</v>
      </c>
      <c r="T1095" s="4">
        <v>1000000</v>
      </c>
      <c r="U1095" s="4">
        <v>1000000</v>
      </c>
      <c r="V1095" s="4">
        <v>1000000</v>
      </c>
      <c r="W1095" s="4">
        <v>1000000</v>
      </c>
      <c r="X1095" s="4">
        <v>1000000</v>
      </c>
      <c r="Y1095" s="4">
        <v>1000000</v>
      </c>
    </row>
    <row r="1096" spans="1:25" ht="19.5" customHeight="1" x14ac:dyDescent="0.25">
      <c r="A1096" s="2" t="s">
        <v>2789</v>
      </c>
      <c r="B1096" s="2" t="s">
        <v>16</v>
      </c>
      <c r="C1096" s="2" t="s">
        <v>2790</v>
      </c>
      <c r="D1096" s="2" t="s">
        <v>2791</v>
      </c>
      <c r="E1096" s="2" t="s">
        <v>22</v>
      </c>
      <c r="F1096" s="3">
        <v>10268015.220000001</v>
      </c>
      <c r="G1096" s="4">
        <v>10729000</v>
      </c>
      <c r="H1096" s="4">
        <v>12294149</v>
      </c>
      <c r="I1096" s="4">
        <v>12551618</v>
      </c>
      <c r="J1096" s="4">
        <v>12294149</v>
      </c>
      <c r="K1096" s="4">
        <v>12551618</v>
      </c>
      <c r="L1096" s="4">
        <v>12294149</v>
      </c>
      <c r="M1096" s="4">
        <v>12551618</v>
      </c>
      <c r="N1096" s="4">
        <v>12294149</v>
      </c>
      <c r="O1096" s="4">
        <v>12551618</v>
      </c>
      <c r="P1096" s="4">
        <v>12294149</v>
      </c>
      <c r="Q1096" s="4">
        <v>12551618</v>
      </c>
      <c r="R1096" s="4">
        <v>12294149</v>
      </c>
      <c r="S1096" s="4">
        <v>12551618</v>
      </c>
      <c r="T1096" s="4">
        <v>12294149</v>
      </c>
      <c r="U1096" s="4">
        <v>12551618</v>
      </c>
      <c r="V1096" s="4">
        <v>12299149</v>
      </c>
      <c r="W1096" s="4">
        <v>12551618</v>
      </c>
      <c r="X1096" s="4">
        <v>12299149</v>
      </c>
      <c r="Y1096" s="4">
        <v>12551618</v>
      </c>
    </row>
    <row r="1097" spans="1:25" ht="19.5" customHeight="1" x14ac:dyDescent="0.25">
      <c r="A1097" s="2" t="s">
        <v>2792</v>
      </c>
      <c r="B1097" s="2" t="s">
        <v>16</v>
      </c>
      <c r="C1097" s="2" t="s">
        <v>2443</v>
      </c>
      <c r="D1097" s="2" t="s">
        <v>2793</v>
      </c>
      <c r="E1097" s="2" t="s">
        <v>2445</v>
      </c>
      <c r="F1097" s="3">
        <v>487708.7</v>
      </c>
      <c r="G1097" s="3">
        <v>600000</v>
      </c>
      <c r="H1097" s="3">
        <v>1100000</v>
      </c>
      <c r="I1097" s="3">
        <v>1100000</v>
      </c>
      <c r="J1097" s="3">
        <v>1100000</v>
      </c>
      <c r="K1097" s="3">
        <v>1100000</v>
      </c>
      <c r="L1097" s="4">
        <v>1100000</v>
      </c>
      <c r="M1097" s="4">
        <v>1100000</v>
      </c>
      <c r="N1097" s="4">
        <v>1100000</v>
      </c>
      <c r="O1097" s="4">
        <v>1100000</v>
      </c>
      <c r="P1097" s="4">
        <v>0</v>
      </c>
      <c r="Q1097" s="4">
        <v>0</v>
      </c>
      <c r="R1097" s="4">
        <v>0</v>
      </c>
      <c r="S1097" s="4">
        <v>0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</row>
    <row r="1098" spans="1:25" ht="19.5" customHeight="1" x14ac:dyDescent="0.25">
      <c r="A1098" s="2" t="s">
        <v>2792</v>
      </c>
      <c r="B1098" s="2" t="s">
        <v>16</v>
      </c>
      <c r="C1098" s="2" t="s">
        <v>2794</v>
      </c>
      <c r="D1098" s="2" t="s">
        <v>2795</v>
      </c>
      <c r="E1098" s="2" t="s">
        <v>2796</v>
      </c>
      <c r="F1098" s="3">
        <v>33922234.520000003</v>
      </c>
      <c r="G1098" s="3">
        <v>32600000</v>
      </c>
      <c r="H1098" s="3">
        <v>20600000</v>
      </c>
      <c r="I1098" s="3">
        <v>20600000</v>
      </c>
      <c r="J1098" s="3">
        <v>20600000</v>
      </c>
      <c r="K1098" s="3">
        <v>20600000</v>
      </c>
      <c r="L1098" s="4">
        <v>20600000</v>
      </c>
      <c r="M1098" s="4">
        <v>20600000</v>
      </c>
      <c r="N1098" s="4">
        <v>20600000</v>
      </c>
      <c r="O1098" s="4">
        <v>20600000</v>
      </c>
      <c r="P1098" s="4">
        <v>20600000</v>
      </c>
      <c r="Q1098" s="4">
        <v>20600000</v>
      </c>
      <c r="R1098" s="4">
        <v>20600000</v>
      </c>
      <c r="S1098" s="4">
        <v>20600000</v>
      </c>
      <c r="T1098" s="4">
        <v>20600000</v>
      </c>
      <c r="U1098" s="4">
        <v>20600000</v>
      </c>
      <c r="V1098" s="4">
        <v>20600000</v>
      </c>
      <c r="W1098" s="4">
        <v>20600000</v>
      </c>
      <c r="X1098" s="4">
        <v>20600000</v>
      </c>
      <c r="Y1098" s="4">
        <v>20600000</v>
      </c>
    </row>
    <row r="1099" spans="1:25" ht="19.5" customHeight="1" x14ac:dyDescent="0.25">
      <c r="A1099" s="2" t="s">
        <v>2792</v>
      </c>
      <c r="B1099" s="2" t="s">
        <v>16</v>
      </c>
      <c r="C1099" s="2" t="s">
        <v>2797</v>
      </c>
      <c r="D1099" s="2" t="s">
        <v>2798</v>
      </c>
      <c r="E1099" s="2" t="s">
        <v>2799</v>
      </c>
      <c r="F1099" s="3">
        <v>6726286.8300000001</v>
      </c>
      <c r="G1099" s="3">
        <v>8000000</v>
      </c>
      <c r="H1099" s="3">
        <v>9000000</v>
      </c>
      <c r="I1099" s="3">
        <v>9000000</v>
      </c>
      <c r="J1099" s="3">
        <v>9000000</v>
      </c>
      <c r="K1099" s="3">
        <v>9000000</v>
      </c>
      <c r="L1099" s="4">
        <v>9000000</v>
      </c>
      <c r="M1099" s="4">
        <v>9000000</v>
      </c>
      <c r="N1099" s="4">
        <v>9000000</v>
      </c>
      <c r="O1099" s="4">
        <v>9000000</v>
      </c>
      <c r="P1099" s="4">
        <v>9000000</v>
      </c>
      <c r="Q1099" s="4">
        <v>9000000</v>
      </c>
      <c r="R1099" s="4">
        <v>9000000</v>
      </c>
      <c r="S1099" s="4">
        <v>9000000</v>
      </c>
      <c r="T1099" s="4">
        <v>9000000</v>
      </c>
      <c r="U1099" s="4">
        <v>9000000</v>
      </c>
      <c r="V1099" s="4">
        <v>9000000</v>
      </c>
      <c r="W1099" s="4">
        <v>9000000</v>
      </c>
      <c r="X1099" s="4">
        <v>9000000</v>
      </c>
      <c r="Y1099" s="4">
        <v>9000000</v>
      </c>
    </row>
    <row r="1100" spans="1:25" ht="19.5" customHeight="1" x14ac:dyDescent="0.25">
      <c r="A1100" s="2" t="s">
        <v>2792</v>
      </c>
      <c r="B1100" s="2" t="s">
        <v>16</v>
      </c>
      <c r="C1100" s="2" t="s">
        <v>2800</v>
      </c>
      <c r="D1100" s="2" t="s">
        <v>2801</v>
      </c>
      <c r="E1100" s="2" t="s">
        <v>2802</v>
      </c>
      <c r="F1100" s="3">
        <v>7053020.4199999999</v>
      </c>
      <c r="G1100" s="3">
        <v>7850000</v>
      </c>
      <c r="H1100" s="3">
        <v>10010000</v>
      </c>
      <c r="I1100" s="3">
        <v>10010000</v>
      </c>
      <c r="J1100" s="3">
        <v>10010000</v>
      </c>
      <c r="K1100" s="3">
        <v>10010000</v>
      </c>
      <c r="L1100" s="4">
        <v>10010000</v>
      </c>
      <c r="M1100" s="4">
        <v>10010000</v>
      </c>
      <c r="N1100" s="4">
        <v>10010000</v>
      </c>
      <c r="O1100" s="4">
        <v>10010000</v>
      </c>
      <c r="P1100" s="4">
        <v>10010000</v>
      </c>
      <c r="Q1100" s="4">
        <v>10010000</v>
      </c>
      <c r="R1100" s="4">
        <v>10010000</v>
      </c>
      <c r="S1100" s="4">
        <v>10010000</v>
      </c>
      <c r="T1100" s="4">
        <v>10010000</v>
      </c>
      <c r="U1100" s="4">
        <v>10010000</v>
      </c>
      <c r="V1100" s="4">
        <v>10010000</v>
      </c>
      <c r="W1100" s="4">
        <v>10010000</v>
      </c>
      <c r="X1100" s="4">
        <v>10010000</v>
      </c>
      <c r="Y1100" s="4">
        <v>10010000</v>
      </c>
    </row>
    <row r="1101" spans="1:25" ht="19.5" customHeight="1" x14ac:dyDescent="0.25">
      <c r="A1101" s="2" t="s">
        <v>2792</v>
      </c>
      <c r="B1101" s="2" t="s">
        <v>16</v>
      </c>
      <c r="C1101" s="2" t="s">
        <v>35</v>
      </c>
      <c r="D1101" s="2" t="s">
        <v>2803</v>
      </c>
      <c r="E1101" s="2" t="s">
        <v>2804</v>
      </c>
      <c r="F1101" s="4">
        <v>0</v>
      </c>
      <c r="G1101" s="3">
        <v>12500000</v>
      </c>
      <c r="H1101" s="3">
        <v>2000000</v>
      </c>
      <c r="I1101" s="3">
        <v>0</v>
      </c>
      <c r="J1101" s="3">
        <v>4500000</v>
      </c>
      <c r="K1101" s="3">
        <v>2500000</v>
      </c>
      <c r="L1101" s="4">
        <v>4500000</v>
      </c>
      <c r="M1101" s="4">
        <v>2500000</v>
      </c>
      <c r="N1101" s="4">
        <v>4500000</v>
      </c>
      <c r="O1101" s="4">
        <v>2500000</v>
      </c>
      <c r="P1101" s="4">
        <v>4500000</v>
      </c>
      <c r="Q1101" s="4">
        <v>2500000</v>
      </c>
      <c r="R1101" s="4">
        <v>4500000</v>
      </c>
      <c r="S1101" s="4">
        <v>2500000</v>
      </c>
      <c r="T1101" s="4">
        <v>4500000</v>
      </c>
      <c r="U1101" s="4">
        <v>2500000</v>
      </c>
      <c r="V1101" s="4">
        <v>7000000</v>
      </c>
      <c r="W1101" s="4">
        <v>0</v>
      </c>
      <c r="X1101" s="4">
        <v>7000000</v>
      </c>
      <c r="Y1101" s="4">
        <v>0</v>
      </c>
    </row>
    <row r="1102" spans="1:25" ht="19.5" customHeight="1" x14ac:dyDescent="0.25">
      <c r="A1102" s="2" t="s">
        <v>2792</v>
      </c>
      <c r="B1102" s="2" t="s">
        <v>16</v>
      </c>
      <c r="C1102" s="2" t="s">
        <v>2805</v>
      </c>
      <c r="D1102" s="2" t="s">
        <v>2806</v>
      </c>
      <c r="E1102" s="2" t="s">
        <v>2807</v>
      </c>
      <c r="F1102" s="3">
        <v>5125006.75</v>
      </c>
      <c r="G1102" s="3">
        <v>6085000</v>
      </c>
      <c r="H1102" s="3">
        <v>6085000</v>
      </c>
      <c r="I1102" s="3">
        <v>6085000</v>
      </c>
      <c r="J1102" s="3">
        <v>6085000</v>
      </c>
      <c r="K1102" s="3">
        <v>6085000</v>
      </c>
      <c r="L1102" s="4">
        <v>6085000</v>
      </c>
      <c r="M1102" s="4">
        <v>6085000</v>
      </c>
      <c r="N1102" s="4">
        <v>6085000</v>
      </c>
      <c r="O1102" s="4">
        <v>6085000</v>
      </c>
      <c r="P1102" s="4">
        <v>6085000</v>
      </c>
      <c r="Q1102" s="4">
        <v>6085000</v>
      </c>
      <c r="R1102" s="4">
        <v>6085000</v>
      </c>
      <c r="S1102" s="4">
        <v>6085000</v>
      </c>
      <c r="T1102" s="4">
        <v>6085000</v>
      </c>
      <c r="U1102" s="4">
        <v>6085000</v>
      </c>
      <c r="V1102" s="4">
        <v>6085000</v>
      </c>
      <c r="W1102" s="4">
        <v>6085000</v>
      </c>
      <c r="X1102" s="4">
        <v>6085000</v>
      </c>
      <c r="Y1102" s="4">
        <v>6085000</v>
      </c>
    </row>
    <row r="1103" spans="1:25" ht="19.5" customHeight="1" x14ac:dyDescent="0.25">
      <c r="A1103" s="2" t="s">
        <v>2792</v>
      </c>
      <c r="B1103" s="2" t="s">
        <v>16</v>
      </c>
      <c r="C1103" s="2" t="s">
        <v>2808</v>
      </c>
      <c r="D1103" s="2" t="s">
        <v>2809</v>
      </c>
      <c r="E1103" s="2" t="s">
        <v>2810</v>
      </c>
      <c r="F1103" s="3">
        <v>1312588.1200000001</v>
      </c>
      <c r="G1103" s="3">
        <v>1820000</v>
      </c>
      <c r="H1103" s="3">
        <v>1820000</v>
      </c>
      <c r="I1103" s="3">
        <v>1820000</v>
      </c>
      <c r="J1103" s="3">
        <v>1820000</v>
      </c>
      <c r="K1103" s="3">
        <v>1820000</v>
      </c>
      <c r="L1103" s="4">
        <v>1820000</v>
      </c>
      <c r="M1103" s="4">
        <v>1820000</v>
      </c>
      <c r="N1103" s="4">
        <v>1820000</v>
      </c>
      <c r="O1103" s="4">
        <v>1820000</v>
      </c>
      <c r="P1103" s="4">
        <v>1820000</v>
      </c>
      <c r="Q1103" s="4">
        <v>1820000</v>
      </c>
      <c r="R1103" s="4">
        <v>1820000</v>
      </c>
      <c r="S1103" s="4">
        <v>1820000</v>
      </c>
      <c r="T1103" s="4">
        <v>1820000</v>
      </c>
      <c r="U1103" s="4">
        <v>1820000</v>
      </c>
      <c r="V1103" s="4">
        <v>1820000</v>
      </c>
      <c r="W1103" s="4">
        <v>1820000</v>
      </c>
      <c r="X1103" s="4">
        <v>1820000</v>
      </c>
      <c r="Y1103" s="4">
        <v>1820000</v>
      </c>
    </row>
    <row r="1104" spans="1:25" ht="19.5" customHeight="1" x14ac:dyDescent="0.25">
      <c r="A1104" s="2" t="s">
        <v>2792</v>
      </c>
      <c r="B1104" s="2" t="s">
        <v>16</v>
      </c>
      <c r="C1104" s="2" t="s">
        <v>1563</v>
      </c>
      <c r="D1104" s="2" t="s">
        <v>2811</v>
      </c>
      <c r="E1104" s="2" t="s">
        <v>2812</v>
      </c>
      <c r="F1104" s="3">
        <v>5999999.9900000002</v>
      </c>
      <c r="G1104" s="3">
        <v>6000000</v>
      </c>
      <c r="H1104" s="3">
        <v>6000000</v>
      </c>
      <c r="I1104" s="3">
        <v>6000000</v>
      </c>
      <c r="J1104" s="3">
        <v>6000000</v>
      </c>
      <c r="K1104" s="3">
        <v>6000000</v>
      </c>
      <c r="L1104" s="4">
        <v>6000000</v>
      </c>
      <c r="M1104" s="4">
        <v>6000000</v>
      </c>
      <c r="N1104" s="4">
        <v>6000000</v>
      </c>
      <c r="O1104" s="4">
        <v>6000000</v>
      </c>
      <c r="P1104" s="4">
        <v>6000000</v>
      </c>
      <c r="Q1104" s="4">
        <v>6000000</v>
      </c>
      <c r="R1104" s="4">
        <v>6000000</v>
      </c>
      <c r="S1104" s="4">
        <v>6000000</v>
      </c>
      <c r="T1104" s="4">
        <v>6000000</v>
      </c>
      <c r="U1104" s="4">
        <v>6000000</v>
      </c>
      <c r="V1104" s="4">
        <v>6000000</v>
      </c>
      <c r="W1104" s="4">
        <v>6000000</v>
      </c>
      <c r="X1104" s="4">
        <v>6000000</v>
      </c>
      <c r="Y1104" s="4">
        <v>6000000</v>
      </c>
    </row>
    <row r="1105" spans="1:25" ht="19.5" customHeight="1" x14ac:dyDescent="0.25">
      <c r="A1105" s="2" t="s">
        <v>2792</v>
      </c>
      <c r="B1105" s="2" t="s">
        <v>16</v>
      </c>
      <c r="C1105" s="2" t="s">
        <v>1563</v>
      </c>
      <c r="D1105" s="2" t="s">
        <v>2813</v>
      </c>
      <c r="E1105" s="2" t="s">
        <v>2814</v>
      </c>
      <c r="F1105" s="3">
        <v>11750000</v>
      </c>
      <c r="G1105" s="3">
        <v>11000000</v>
      </c>
      <c r="H1105" s="3">
        <v>11000000</v>
      </c>
      <c r="I1105" s="3">
        <v>11000000</v>
      </c>
      <c r="J1105" s="3">
        <v>11000000</v>
      </c>
      <c r="K1105" s="3">
        <v>11000000</v>
      </c>
      <c r="L1105" s="4">
        <v>11000000</v>
      </c>
      <c r="M1105" s="4">
        <v>11000000</v>
      </c>
      <c r="N1105" s="4">
        <v>11000000</v>
      </c>
      <c r="O1105" s="4">
        <v>11000000</v>
      </c>
      <c r="P1105" s="4">
        <v>11000000</v>
      </c>
      <c r="Q1105" s="4">
        <v>11000000</v>
      </c>
      <c r="R1105" s="4">
        <v>11000000</v>
      </c>
      <c r="S1105" s="4">
        <v>11000000</v>
      </c>
      <c r="T1105" s="4">
        <v>11000000</v>
      </c>
      <c r="U1105" s="4">
        <v>11000000</v>
      </c>
      <c r="V1105" s="4">
        <v>11000000</v>
      </c>
      <c r="W1105" s="4">
        <v>11000000</v>
      </c>
      <c r="X1105" s="4">
        <v>11000000</v>
      </c>
      <c r="Y1105" s="4">
        <v>11000000</v>
      </c>
    </row>
    <row r="1106" spans="1:25" ht="19.5" customHeight="1" x14ac:dyDescent="0.25">
      <c r="A1106" s="2" t="s">
        <v>2792</v>
      </c>
      <c r="B1106" s="2" t="s">
        <v>16</v>
      </c>
      <c r="C1106" s="2" t="s">
        <v>2815</v>
      </c>
      <c r="D1106" s="2" t="s">
        <v>2816</v>
      </c>
      <c r="E1106" s="2" t="s">
        <v>2817</v>
      </c>
      <c r="F1106" s="3">
        <v>0</v>
      </c>
      <c r="G1106" s="3">
        <v>5250000</v>
      </c>
      <c r="H1106" s="3">
        <v>0</v>
      </c>
      <c r="I1106" s="3">
        <v>0</v>
      </c>
      <c r="J1106" s="3">
        <v>0</v>
      </c>
      <c r="K1106" s="3">
        <v>0</v>
      </c>
      <c r="L1106" s="4">
        <v>0</v>
      </c>
      <c r="M1106" s="4">
        <v>0</v>
      </c>
      <c r="N1106" s="4">
        <v>0</v>
      </c>
      <c r="O1106" s="4">
        <v>0</v>
      </c>
      <c r="P1106" s="4">
        <v>6000000</v>
      </c>
      <c r="Q1106" s="4">
        <v>6000000</v>
      </c>
      <c r="R1106" s="4">
        <v>6000000</v>
      </c>
      <c r="S1106" s="4">
        <v>6000000</v>
      </c>
      <c r="T1106" s="4">
        <v>6000000</v>
      </c>
      <c r="U1106" s="4">
        <v>6000000</v>
      </c>
      <c r="V1106" s="4">
        <v>6000000</v>
      </c>
      <c r="W1106" s="4">
        <v>6000000</v>
      </c>
      <c r="X1106" s="4">
        <v>6000000</v>
      </c>
      <c r="Y1106" s="4">
        <v>6000000</v>
      </c>
    </row>
    <row r="1107" spans="1:25" ht="19.5" customHeight="1" x14ac:dyDescent="0.25">
      <c r="A1107" s="2" t="s">
        <v>2792</v>
      </c>
      <c r="B1107" s="2" t="s">
        <v>16</v>
      </c>
      <c r="C1107" s="2" t="s">
        <v>2818</v>
      </c>
      <c r="D1107" s="2" t="s">
        <v>2819</v>
      </c>
      <c r="E1107" s="2" t="s">
        <v>2820</v>
      </c>
      <c r="F1107" s="3">
        <v>0</v>
      </c>
      <c r="G1107" s="3">
        <v>350000</v>
      </c>
      <c r="H1107" s="3">
        <v>350000</v>
      </c>
      <c r="I1107" s="3">
        <v>350000</v>
      </c>
      <c r="J1107" s="3">
        <v>350000</v>
      </c>
      <c r="K1107" s="3">
        <v>350000</v>
      </c>
      <c r="L1107" s="4">
        <v>350000</v>
      </c>
      <c r="M1107" s="4">
        <v>350000</v>
      </c>
      <c r="N1107" s="4">
        <v>350000</v>
      </c>
      <c r="O1107" s="4">
        <v>350000</v>
      </c>
      <c r="P1107" s="4">
        <v>350000</v>
      </c>
      <c r="Q1107" s="4">
        <v>350000</v>
      </c>
      <c r="R1107" s="4">
        <v>350000</v>
      </c>
      <c r="S1107" s="4">
        <v>350000</v>
      </c>
      <c r="T1107" s="4">
        <v>350000</v>
      </c>
      <c r="U1107" s="4">
        <v>350000</v>
      </c>
      <c r="V1107" s="4">
        <v>350000</v>
      </c>
      <c r="W1107" s="4">
        <v>350000</v>
      </c>
      <c r="X1107" s="4">
        <v>350000</v>
      </c>
      <c r="Y1107" s="4">
        <v>350000</v>
      </c>
    </row>
    <row r="1108" spans="1:25" ht="19.5" customHeight="1" x14ac:dyDescent="0.25">
      <c r="A1108" s="2" t="s">
        <v>2792</v>
      </c>
      <c r="B1108" s="2" t="s">
        <v>16</v>
      </c>
      <c r="C1108" s="2" t="s">
        <v>2821</v>
      </c>
      <c r="D1108" s="2" t="s">
        <v>2822</v>
      </c>
      <c r="E1108" s="2" t="s">
        <v>2823</v>
      </c>
      <c r="F1108" s="3">
        <v>27695.83</v>
      </c>
      <c r="G1108" s="3">
        <v>150000</v>
      </c>
      <c r="H1108" s="3">
        <v>75000</v>
      </c>
      <c r="I1108" s="3">
        <v>75000</v>
      </c>
      <c r="J1108" s="3">
        <v>75000</v>
      </c>
      <c r="K1108" s="3">
        <v>75000</v>
      </c>
      <c r="L1108" s="4">
        <v>75000</v>
      </c>
      <c r="M1108" s="4">
        <v>75000</v>
      </c>
      <c r="N1108" s="4">
        <v>75000</v>
      </c>
      <c r="O1108" s="4">
        <v>75000</v>
      </c>
      <c r="P1108" s="4">
        <v>75000</v>
      </c>
      <c r="Q1108" s="4">
        <v>75000</v>
      </c>
      <c r="R1108" s="4">
        <v>75000</v>
      </c>
      <c r="S1108" s="4">
        <v>75000</v>
      </c>
      <c r="T1108" s="4">
        <v>75000</v>
      </c>
      <c r="U1108" s="4">
        <v>75000</v>
      </c>
      <c r="V1108" s="4">
        <v>75000</v>
      </c>
      <c r="W1108" s="4">
        <v>75000</v>
      </c>
      <c r="X1108" s="4">
        <v>75000</v>
      </c>
      <c r="Y1108" s="4">
        <v>75000</v>
      </c>
    </row>
    <row r="1109" spans="1:25" ht="19.5" customHeight="1" x14ac:dyDescent="0.25">
      <c r="A1109" s="2" t="s">
        <v>2792</v>
      </c>
      <c r="B1109" s="2" t="s">
        <v>44</v>
      </c>
      <c r="C1109" s="2" t="s">
        <v>2824</v>
      </c>
      <c r="D1109" s="2" t="s">
        <v>2825</v>
      </c>
      <c r="E1109" s="2" t="s">
        <v>2826</v>
      </c>
      <c r="F1109" s="3">
        <v>10496773.26</v>
      </c>
      <c r="G1109" s="3">
        <v>20000000</v>
      </c>
      <c r="H1109" s="3">
        <v>20000000</v>
      </c>
      <c r="I1109" s="3">
        <v>20000000</v>
      </c>
      <c r="J1109" s="3">
        <v>20000000</v>
      </c>
      <c r="K1109" s="3">
        <v>20000000</v>
      </c>
      <c r="L1109" s="4">
        <v>20000000</v>
      </c>
      <c r="M1109" s="4">
        <v>20000000</v>
      </c>
      <c r="N1109" s="4">
        <v>20000000</v>
      </c>
      <c r="O1109" s="4">
        <v>20000000</v>
      </c>
      <c r="P1109" s="4">
        <v>20000000</v>
      </c>
      <c r="Q1109" s="4">
        <v>20000000</v>
      </c>
      <c r="R1109" s="4">
        <v>20000000</v>
      </c>
      <c r="S1109" s="4">
        <v>20000000</v>
      </c>
      <c r="T1109" s="4">
        <v>20000000</v>
      </c>
      <c r="U1109" s="4">
        <v>20000000</v>
      </c>
      <c r="V1109" s="4">
        <v>20000000</v>
      </c>
      <c r="W1109" s="4">
        <v>20000000</v>
      </c>
      <c r="X1109" s="4">
        <v>20000000</v>
      </c>
      <c r="Y1109" s="4">
        <v>20000000</v>
      </c>
    </row>
    <row r="1110" spans="1:25" ht="19.5" customHeight="1" x14ac:dyDescent="0.25">
      <c r="A1110" s="2" t="s">
        <v>2792</v>
      </c>
      <c r="B1110" s="2" t="s">
        <v>44</v>
      </c>
      <c r="C1110" s="2" t="s">
        <v>2827</v>
      </c>
      <c r="D1110" s="2" t="s">
        <v>2828</v>
      </c>
      <c r="E1110" s="2" t="s">
        <v>2829</v>
      </c>
      <c r="F1110" s="4">
        <v>453486.53</v>
      </c>
      <c r="G1110" s="3">
        <v>1010000</v>
      </c>
      <c r="H1110" s="3">
        <v>0</v>
      </c>
      <c r="I1110" s="3">
        <v>0</v>
      </c>
      <c r="J1110" s="3">
        <v>0</v>
      </c>
      <c r="K1110" s="3">
        <v>0</v>
      </c>
      <c r="L1110" s="4">
        <v>0</v>
      </c>
      <c r="M1110" s="4">
        <v>0</v>
      </c>
      <c r="N1110" s="4">
        <v>0</v>
      </c>
      <c r="O1110" s="4">
        <v>0</v>
      </c>
      <c r="P1110" s="4">
        <v>0</v>
      </c>
      <c r="Q1110" s="4">
        <v>0</v>
      </c>
      <c r="R1110" s="4">
        <v>0</v>
      </c>
      <c r="S1110" s="4">
        <v>0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</row>
    <row r="1111" spans="1:25" ht="19.5" customHeight="1" x14ac:dyDescent="0.25">
      <c r="A1111" s="2" t="s">
        <v>2792</v>
      </c>
      <c r="B1111" s="2" t="s">
        <v>44</v>
      </c>
      <c r="C1111" s="2" t="s">
        <v>2830</v>
      </c>
      <c r="D1111" s="2" t="s">
        <v>2831</v>
      </c>
      <c r="E1111" s="2" t="s">
        <v>2510</v>
      </c>
      <c r="F1111" s="3">
        <v>9029431.6799999997</v>
      </c>
      <c r="G1111" s="3">
        <v>8450000</v>
      </c>
      <c r="H1111" s="3">
        <v>7700000</v>
      </c>
      <c r="I1111" s="3">
        <v>7700000</v>
      </c>
      <c r="J1111" s="3">
        <v>7700000</v>
      </c>
      <c r="K1111" s="3">
        <v>7700000</v>
      </c>
      <c r="L1111" s="4">
        <v>7700000</v>
      </c>
      <c r="M1111" s="4">
        <v>7700000</v>
      </c>
      <c r="N1111" s="4">
        <v>7700000</v>
      </c>
      <c r="O1111" s="4">
        <v>7700000</v>
      </c>
      <c r="P1111" s="4">
        <v>7700000</v>
      </c>
      <c r="Q1111" s="4">
        <v>7700000</v>
      </c>
      <c r="R1111" s="4">
        <v>7700000</v>
      </c>
      <c r="S1111" s="4">
        <v>7700000</v>
      </c>
      <c r="T1111" s="4">
        <v>7700000</v>
      </c>
      <c r="U1111" s="4">
        <v>7700000</v>
      </c>
      <c r="V1111" s="4">
        <v>7700000</v>
      </c>
      <c r="W1111" s="4">
        <v>7700000</v>
      </c>
      <c r="X1111" s="4">
        <v>7700000</v>
      </c>
      <c r="Y1111" s="4">
        <v>7700000</v>
      </c>
    </row>
    <row r="1112" spans="1:25" ht="19.5" customHeight="1" x14ac:dyDescent="0.25">
      <c r="A1112" s="2" t="s">
        <v>2792</v>
      </c>
      <c r="B1112" s="2" t="s">
        <v>44</v>
      </c>
      <c r="C1112" s="2" t="s">
        <v>2832</v>
      </c>
      <c r="D1112" s="2" t="s">
        <v>2833</v>
      </c>
      <c r="E1112" s="2" t="s">
        <v>1819</v>
      </c>
      <c r="F1112" s="3">
        <v>5764569.4500000002</v>
      </c>
      <c r="G1112" s="3">
        <v>5500000</v>
      </c>
      <c r="H1112" s="3">
        <v>5500000</v>
      </c>
      <c r="I1112" s="3">
        <v>5500000</v>
      </c>
      <c r="J1112" s="3">
        <v>5500000</v>
      </c>
      <c r="K1112" s="3">
        <v>5500000</v>
      </c>
      <c r="L1112" s="4">
        <v>5500000</v>
      </c>
      <c r="M1112" s="4">
        <v>5500000</v>
      </c>
      <c r="N1112" s="4">
        <v>5500000</v>
      </c>
      <c r="O1112" s="4">
        <v>5500000</v>
      </c>
      <c r="P1112" s="4">
        <v>5500000</v>
      </c>
      <c r="Q1112" s="4">
        <v>5500000</v>
      </c>
      <c r="R1112" s="4">
        <v>5500000</v>
      </c>
      <c r="S1112" s="4">
        <v>5500000</v>
      </c>
      <c r="T1112" s="4">
        <v>5500000</v>
      </c>
      <c r="U1112" s="4">
        <v>5500000</v>
      </c>
      <c r="V1112" s="4">
        <v>5500000</v>
      </c>
      <c r="W1112" s="4">
        <v>5500000</v>
      </c>
      <c r="X1112" s="4">
        <v>5500000</v>
      </c>
      <c r="Y1112" s="4">
        <v>5500000</v>
      </c>
    </row>
    <row r="1113" spans="1:25" ht="19.5" customHeight="1" x14ac:dyDescent="0.25">
      <c r="A1113" s="2" t="s">
        <v>2792</v>
      </c>
      <c r="B1113" s="2" t="s">
        <v>44</v>
      </c>
      <c r="C1113" s="2" t="s">
        <v>2834</v>
      </c>
      <c r="D1113" s="2" t="s">
        <v>2835</v>
      </c>
      <c r="E1113" s="2" t="s">
        <v>2836</v>
      </c>
      <c r="F1113" s="3">
        <v>17631147.079999998</v>
      </c>
      <c r="G1113" s="3">
        <v>22058470</v>
      </c>
      <c r="H1113" s="3">
        <v>72883470</v>
      </c>
      <c r="I1113" s="3">
        <v>38830720</v>
      </c>
      <c r="J1113" s="3">
        <v>72883470</v>
      </c>
      <c r="K1113" s="3">
        <v>38830720</v>
      </c>
      <c r="L1113" s="4">
        <v>72883470</v>
      </c>
      <c r="M1113" s="4">
        <v>38830720</v>
      </c>
      <c r="N1113" s="4">
        <v>72883470</v>
      </c>
      <c r="O1113" s="4">
        <v>38830720</v>
      </c>
      <c r="P1113" s="4">
        <v>72883470</v>
      </c>
      <c r="Q1113" s="4">
        <v>38830720</v>
      </c>
      <c r="R1113" s="4">
        <v>72883470</v>
      </c>
      <c r="S1113" s="4">
        <v>38830720</v>
      </c>
      <c r="T1113" s="4">
        <v>72883470</v>
      </c>
      <c r="U1113" s="4">
        <v>38830720</v>
      </c>
      <c r="V1113" s="4">
        <v>72883470</v>
      </c>
      <c r="W1113" s="4">
        <v>38830720</v>
      </c>
      <c r="X1113" s="4">
        <v>72883470</v>
      </c>
      <c r="Y1113" s="4">
        <v>38830720</v>
      </c>
    </row>
    <row r="1114" spans="1:25" ht="19.5" customHeight="1" x14ac:dyDescent="0.25">
      <c r="A1114" s="2" t="s">
        <v>2792</v>
      </c>
      <c r="B1114" s="2" t="s">
        <v>44</v>
      </c>
      <c r="C1114" s="2" t="s">
        <v>2837</v>
      </c>
      <c r="D1114" s="2" t="s">
        <v>2838</v>
      </c>
      <c r="E1114" s="2" t="s">
        <v>2839</v>
      </c>
      <c r="F1114" s="3">
        <v>2503332.5699999998</v>
      </c>
      <c r="G1114" s="3">
        <v>6105000</v>
      </c>
      <c r="H1114" s="3">
        <v>4000000</v>
      </c>
      <c r="I1114" s="3">
        <v>4000000</v>
      </c>
      <c r="J1114" s="3">
        <v>4000000</v>
      </c>
      <c r="K1114" s="3">
        <v>4000000</v>
      </c>
      <c r="L1114" s="4">
        <v>4000000</v>
      </c>
      <c r="M1114" s="4">
        <v>4000000</v>
      </c>
      <c r="N1114" s="4">
        <v>4000000</v>
      </c>
      <c r="O1114" s="4">
        <v>4000000</v>
      </c>
      <c r="P1114" s="4">
        <v>4000000</v>
      </c>
      <c r="Q1114" s="4">
        <v>4000000</v>
      </c>
      <c r="R1114" s="4">
        <v>4000000</v>
      </c>
      <c r="S1114" s="4">
        <v>4000000</v>
      </c>
      <c r="T1114" s="4">
        <v>4000000</v>
      </c>
      <c r="U1114" s="4">
        <v>4000000</v>
      </c>
      <c r="V1114" s="4">
        <v>4000000</v>
      </c>
      <c r="W1114" s="4">
        <v>4000000</v>
      </c>
      <c r="X1114" s="4">
        <v>4000000</v>
      </c>
      <c r="Y1114" s="4">
        <v>4000000</v>
      </c>
    </row>
    <row r="1115" spans="1:25" ht="19.5" customHeight="1" x14ac:dyDescent="0.25">
      <c r="A1115" s="2" t="s">
        <v>2792</v>
      </c>
      <c r="B1115" s="2" t="s">
        <v>44</v>
      </c>
      <c r="C1115" s="2" t="s">
        <v>2840</v>
      </c>
      <c r="D1115" s="2" t="s">
        <v>2841</v>
      </c>
      <c r="E1115" s="2" t="s">
        <v>2842</v>
      </c>
      <c r="F1115" s="3">
        <v>63987734.289999999</v>
      </c>
      <c r="G1115" s="3">
        <v>65865756</v>
      </c>
      <c r="H1115" s="3">
        <v>125942756</v>
      </c>
      <c r="I1115" s="3">
        <v>85691166</v>
      </c>
      <c r="J1115" s="3">
        <v>125942756</v>
      </c>
      <c r="K1115" s="3">
        <v>85691166</v>
      </c>
      <c r="L1115" s="4">
        <v>125942756</v>
      </c>
      <c r="M1115" s="4">
        <v>85691166</v>
      </c>
      <c r="N1115" s="4">
        <v>125942756</v>
      </c>
      <c r="O1115" s="4">
        <v>85691166</v>
      </c>
      <c r="P1115" s="4">
        <v>125942756</v>
      </c>
      <c r="Q1115" s="4">
        <v>85691166</v>
      </c>
      <c r="R1115" s="4">
        <v>125942756</v>
      </c>
      <c r="S1115" s="4">
        <v>85691166</v>
      </c>
      <c r="T1115" s="4">
        <v>125942756</v>
      </c>
      <c r="U1115" s="4">
        <v>85691166</v>
      </c>
      <c r="V1115" s="4">
        <v>125942756</v>
      </c>
      <c r="W1115" s="4">
        <v>85691166</v>
      </c>
      <c r="X1115" s="4">
        <v>125942756</v>
      </c>
      <c r="Y1115" s="4">
        <v>85691166</v>
      </c>
    </row>
    <row r="1116" spans="1:25" ht="19.5" customHeight="1" x14ac:dyDescent="0.25">
      <c r="A1116" s="2" t="s">
        <v>2792</v>
      </c>
      <c r="B1116" s="2" t="s">
        <v>44</v>
      </c>
      <c r="C1116" s="2" t="s">
        <v>2843</v>
      </c>
      <c r="D1116" s="2" t="s">
        <v>2844</v>
      </c>
      <c r="E1116" s="2" t="s">
        <v>2845</v>
      </c>
      <c r="F1116" s="3">
        <v>7606753.7400000002</v>
      </c>
      <c r="G1116" s="3">
        <v>19000000</v>
      </c>
      <c r="H1116" s="3">
        <v>15000000</v>
      </c>
      <c r="I1116" s="3">
        <v>15000000</v>
      </c>
      <c r="J1116" s="3">
        <v>15000000</v>
      </c>
      <c r="K1116" s="3">
        <v>15000000</v>
      </c>
      <c r="L1116" s="4">
        <v>15000000</v>
      </c>
      <c r="M1116" s="4">
        <v>15000000</v>
      </c>
      <c r="N1116" s="4">
        <v>15000000</v>
      </c>
      <c r="O1116" s="4">
        <v>15000000</v>
      </c>
      <c r="P1116" s="4">
        <v>15000000</v>
      </c>
      <c r="Q1116" s="4">
        <v>15000000</v>
      </c>
      <c r="R1116" s="4">
        <v>15000000</v>
      </c>
      <c r="S1116" s="4">
        <v>15000000</v>
      </c>
      <c r="T1116" s="4">
        <v>15000000</v>
      </c>
      <c r="U1116" s="4">
        <v>15000000</v>
      </c>
      <c r="V1116" s="4">
        <v>15000000</v>
      </c>
      <c r="W1116" s="4">
        <v>15000000</v>
      </c>
      <c r="X1116" s="4">
        <v>15000000</v>
      </c>
      <c r="Y1116" s="4">
        <v>15000000</v>
      </c>
    </row>
    <row r="1117" spans="1:25" ht="19.5" customHeight="1" x14ac:dyDescent="0.25">
      <c r="A1117" s="2" t="s">
        <v>2792</v>
      </c>
      <c r="B1117" s="2" t="s">
        <v>44</v>
      </c>
      <c r="C1117" s="2" t="s">
        <v>2846</v>
      </c>
      <c r="D1117" s="2" t="s">
        <v>2847</v>
      </c>
      <c r="E1117" s="2" t="s">
        <v>2848</v>
      </c>
      <c r="F1117" s="3">
        <v>2376955.69</v>
      </c>
      <c r="G1117" s="3">
        <v>112860</v>
      </c>
      <c r="H1117" s="3">
        <v>0</v>
      </c>
      <c r="I1117" s="3">
        <v>0</v>
      </c>
      <c r="J1117" s="3">
        <v>0</v>
      </c>
      <c r="K1117" s="3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</row>
    <row r="1118" spans="1:25" ht="19.5" customHeight="1" x14ac:dyDescent="0.25">
      <c r="A1118" s="2" t="s">
        <v>2792</v>
      </c>
      <c r="B1118" s="2" t="s">
        <v>44</v>
      </c>
      <c r="C1118" s="2" t="s">
        <v>2849</v>
      </c>
      <c r="D1118" s="2" t="s">
        <v>2850</v>
      </c>
      <c r="E1118" s="2" t="s">
        <v>2851</v>
      </c>
      <c r="F1118" s="3">
        <v>46418465.369999997</v>
      </c>
      <c r="G1118" s="3">
        <v>127961920</v>
      </c>
      <c r="H1118" s="3">
        <v>110176079</v>
      </c>
      <c r="I1118" s="3">
        <v>110176079</v>
      </c>
      <c r="J1118" s="3">
        <v>110176079</v>
      </c>
      <c r="K1118" s="3">
        <v>110176079</v>
      </c>
      <c r="L1118" s="4">
        <v>110176079</v>
      </c>
      <c r="M1118" s="4">
        <v>110176079</v>
      </c>
      <c r="N1118" s="4">
        <v>110176079</v>
      </c>
      <c r="O1118" s="4">
        <v>110176079</v>
      </c>
      <c r="P1118" s="4">
        <v>110176079</v>
      </c>
      <c r="Q1118" s="4">
        <v>110176079</v>
      </c>
      <c r="R1118" s="4">
        <v>110176079</v>
      </c>
      <c r="S1118" s="4">
        <v>110176079</v>
      </c>
      <c r="T1118" s="4">
        <v>110176079</v>
      </c>
      <c r="U1118" s="4">
        <v>110176079</v>
      </c>
      <c r="V1118" s="4">
        <v>110176079</v>
      </c>
      <c r="W1118" s="4">
        <v>110176079</v>
      </c>
      <c r="X1118" s="4">
        <v>110176079</v>
      </c>
      <c r="Y1118" s="4">
        <v>110176079</v>
      </c>
    </row>
    <row r="1119" spans="1:25" ht="19.5" customHeight="1" x14ac:dyDescent="0.25">
      <c r="A1119" s="2" t="s">
        <v>2792</v>
      </c>
      <c r="B1119" s="2" t="s">
        <v>44</v>
      </c>
      <c r="C1119" s="2" t="s">
        <v>550</v>
      </c>
      <c r="D1119" s="2" t="s">
        <v>2852</v>
      </c>
      <c r="E1119" s="2" t="s">
        <v>2853</v>
      </c>
      <c r="F1119" s="3">
        <v>0</v>
      </c>
      <c r="G1119" s="3">
        <v>1500000</v>
      </c>
      <c r="H1119" s="3">
        <v>0</v>
      </c>
      <c r="I1119" s="3">
        <v>0</v>
      </c>
      <c r="J1119" s="3">
        <v>0</v>
      </c>
      <c r="K1119" s="3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</row>
    <row r="1120" spans="1:25" ht="19.5" customHeight="1" x14ac:dyDescent="0.25">
      <c r="A1120" s="2" t="s">
        <v>2792</v>
      </c>
      <c r="B1120" s="2" t="s">
        <v>44</v>
      </c>
      <c r="C1120" s="2" t="s">
        <v>2854</v>
      </c>
      <c r="D1120" s="2" t="s">
        <v>2855</v>
      </c>
      <c r="E1120" s="2" t="s">
        <v>2856</v>
      </c>
      <c r="F1120" s="3">
        <v>732593.97</v>
      </c>
      <c r="G1120" s="3">
        <v>1000000</v>
      </c>
      <c r="H1120" s="3">
        <v>1000000</v>
      </c>
      <c r="I1120" s="3">
        <v>1000000</v>
      </c>
      <c r="J1120" s="3">
        <v>1000000</v>
      </c>
      <c r="K1120" s="3">
        <v>1000000</v>
      </c>
      <c r="L1120" s="4">
        <v>1000000</v>
      </c>
      <c r="M1120" s="4">
        <v>1000000</v>
      </c>
      <c r="N1120" s="4">
        <v>1000000</v>
      </c>
      <c r="O1120" s="4">
        <v>1000000</v>
      </c>
      <c r="P1120" s="4">
        <v>1000000</v>
      </c>
      <c r="Q1120" s="4">
        <v>1000000</v>
      </c>
      <c r="R1120" s="4">
        <v>1000000</v>
      </c>
      <c r="S1120" s="4">
        <v>1000000</v>
      </c>
      <c r="T1120" s="4">
        <v>1000000</v>
      </c>
      <c r="U1120" s="4">
        <v>1000000</v>
      </c>
      <c r="V1120" s="4">
        <v>1000000</v>
      </c>
      <c r="W1120" s="4">
        <v>1000000</v>
      </c>
      <c r="X1120" s="4">
        <v>1000000</v>
      </c>
      <c r="Y1120" s="4">
        <v>1000000</v>
      </c>
    </row>
    <row r="1121" spans="1:25" ht="19.5" customHeight="1" x14ac:dyDescent="0.25">
      <c r="A1121" s="2" t="s">
        <v>2792</v>
      </c>
      <c r="B1121" s="2" t="s">
        <v>54</v>
      </c>
      <c r="C1121" s="2" t="s">
        <v>54</v>
      </c>
      <c r="D1121" s="2" t="s">
        <v>2857</v>
      </c>
      <c r="E1121" s="2" t="s">
        <v>62</v>
      </c>
      <c r="F1121" s="3">
        <v>15589251.800000001</v>
      </c>
      <c r="G1121" s="3">
        <v>16932239</v>
      </c>
      <c r="H1121" s="3">
        <v>17267311</v>
      </c>
      <c r="I1121" s="3">
        <v>17555983</v>
      </c>
      <c r="J1121" s="3">
        <v>17267311</v>
      </c>
      <c r="K1121" s="3">
        <v>17555983</v>
      </c>
      <c r="L1121" s="4">
        <v>17267311</v>
      </c>
      <c r="M1121" s="4">
        <v>17555983</v>
      </c>
      <c r="N1121" s="4">
        <v>17267311</v>
      </c>
      <c r="O1121" s="4">
        <v>17555983</v>
      </c>
      <c r="P1121" s="4">
        <v>17267311</v>
      </c>
      <c r="Q1121" s="4">
        <v>17555983</v>
      </c>
      <c r="R1121" s="4">
        <v>17267311</v>
      </c>
      <c r="S1121" s="4">
        <v>17555983</v>
      </c>
      <c r="T1121" s="4">
        <v>17267311</v>
      </c>
      <c r="U1121" s="4">
        <v>17555983</v>
      </c>
      <c r="V1121" s="4">
        <v>17267311</v>
      </c>
      <c r="W1121" s="4">
        <v>17555983</v>
      </c>
      <c r="X1121" s="4">
        <v>17267311</v>
      </c>
      <c r="Y1121" s="4">
        <v>17555983</v>
      </c>
    </row>
    <row r="1122" spans="1:25" ht="19.5" customHeight="1" x14ac:dyDescent="0.25">
      <c r="A1122" s="2" t="s">
        <v>2792</v>
      </c>
      <c r="B1122" s="2" t="s">
        <v>54</v>
      </c>
      <c r="C1122" s="2" t="s">
        <v>54</v>
      </c>
      <c r="D1122" s="2" t="s">
        <v>2858</v>
      </c>
      <c r="E1122" s="2" t="s">
        <v>2859</v>
      </c>
      <c r="F1122" s="3">
        <v>500000</v>
      </c>
      <c r="G1122" s="3">
        <v>450000</v>
      </c>
      <c r="H1122" s="3">
        <v>450000</v>
      </c>
      <c r="I1122" s="3">
        <v>450000</v>
      </c>
      <c r="J1122" s="3">
        <v>450000</v>
      </c>
      <c r="K1122" s="3">
        <v>450000</v>
      </c>
      <c r="L1122" s="4">
        <v>450000</v>
      </c>
      <c r="M1122" s="4">
        <v>450000</v>
      </c>
      <c r="N1122" s="4">
        <v>450000</v>
      </c>
      <c r="O1122" s="4">
        <v>450000</v>
      </c>
      <c r="P1122" s="4">
        <v>450000</v>
      </c>
      <c r="Q1122" s="4">
        <v>450000</v>
      </c>
      <c r="R1122" s="4">
        <v>450000</v>
      </c>
      <c r="S1122" s="4">
        <v>450000</v>
      </c>
      <c r="T1122" s="4">
        <v>450000</v>
      </c>
      <c r="U1122" s="4">
        <v>450000</v>
      </c>
      <c r="V1122" s="4">
        <v>450000</v>
      </c>
      <c r="W1122" s="4">
        <v>450000</v>
      </c>
      <c r="X1122" s="4">
        <v>450000</v>
      </c>
      <c r="Y1122" s="4">
        <v>450000</v>
      </c>
    </row>
    <row r="1123" spans="1:25" ht="19.5" customHeight="1" x14ac:dyDescent="0.25">
      <c r="A1123" s="2" t="s">
        <v>2792</v>
      </c>
      <c r="B1123" s="2" t="s">
        <v>54</v>
      </c>
      <c r="C1123" s="2" t="s">
        <v>54</v>
      </c>
      <c r="D1123" s="2" t="s">
        <v>2860</v>
      </c>
      <c r="E1123" s="2" t="s">
        <v>2445</v>
      </c>
      <c r="F1123" s="3">
        <v>1386000</v>
      </c>
      <c r="G1123" s="3">
        <v>1386000</v>
      </c>
      <c r="H1123" s="3">
        <v>1386000</v>
      </c>
      <c r="I1123" s="3">
        <v>1386000</v>
      </c>
      <c r="J1123" s="3">
        <v>1386000</v>
      </c>
      <c r="K1123" s="3">
        <v>1386000</v>
      </c>
      <c r="L1123" s="4">
        <v>1386000</v>
      </c>
      <c r="M1123" s="4">
        <v>1386000</v>
      </c>
      <c r="N1123" s="4">
        <v>1386000</v>
      </c>
      <c r="O1123" s="4">
        <v>1386000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</row>
    <row r="1124" spans="1:25" ht="19.5" customHeight="1" x14ac:dyDescent="0.25">
      <c r="A1124" s="2" t="s">
        <v>2792</v>
      </c>
      <c r="B1124" s="2" t="s">
        <v>54</v>
      </c>
      <c r="C1124" s="2" t="s">
        <v>54</v>
      </c>
      <c r="D1124" s="2" t="s">
        <v>2861</v>
      </c>
      <c r="E1124" s="2" t="s">
        <v>2862</v>
      </c>
      <c r="F1124" s="3">
        <v>2423277.88</v>
      </c>
      <c r="G1124" s="3">
        <v>2620996</v>
      </c>
      <c r="H1124" s="3">
        <v>4868659</v>
      </c>
      <c r="I1124" s="3">
        <v>4868659</v>
      </c>
      <c r="J1124" s="3">
        <v>4868659</v>
      </c>
      <c r="K1124" s="3">
        <v>4868659</v>
      </c>
      <c r="L1124" s="4">
        <v>4868659</v>
      </c>
      <c r="M1124" s="4">
        <v>4868659</v>
      </c>
      <c r="N1124" s="4">
        <v>4868659</v>
      </c>
      <c r="O1124" s="4">
        <v>4868659</v>
      </c>
      <c r="P1124" s="4">
        <v>4868659</v>
      </c>
      <c r="Q1124" s="4">
        <v>4868659</v>
      </c>
      <c r="R1124" s="4">
        <v>4868659</v>
      </c>
      <c r="S1124" s="4">
        <v>4868659</v>
      </c>
      <c r="T1124" s="4">
        <v>4868659</v>
      </c>
      <c r="U1124" s="4">
        <v>4868659</v>
      </c>
      <c r="V1124" s="4">
        <v>4868659</v>
      </c>
      <c r="W1124" s="4">
        <v>4868659</v>
      </c>
      <c r="X1124" s="4">
        <v>4868659</v>
      </c>
      <c r="Y1124" s="4">
        <v>4868659</v>
      </c>
    </row>
    <row r="1125" spans="1:25" ht="19.5" customHeight="1" x14ac:dyDescent="0.25">
      <c r="A1125" s="2" t="s">
        <v>2792</v>
      </c>
      <c r="B1125" s="2" t="s">
        <v>54</v>
      </c>
      <c r="C1125" s="2" t="s">
        <v>54</v>
      </c>
      <c r="D1125" s="2" t="s">
        <v>2863</v>
      </c>
      <c r="E1125" s="2" t="s">
        <v>2864</v>
      </c>
      <c r="F1125" s="3">
        <v>238939802.03</v>
      </c>
      <c r="G1125" s="3">
        <v>238172285</v>
      </c>
      <c r="H1125" s="3">
        <v>256956156</v>
      </c>
      <c r="I1125" s="3">
        <v>262210314</v>
      </c>
      <c r="J1125" s="3">
        <v>256956156</v>
      </c>
      <c r="K1125" s="3">
        <v>262210314</v>
      </c>
      <c r="L1125" s="4">
        <v>256956156</v>
      </c>
      <c r="M1125" s="4">
        <v>262210314</v>
      </c>
      <c r="N1125" s="4">
        <v>256956156</v>
      </c>
      <c r="O1125" s="4">
        <v>262210314</v>
      </c>
      <c r="P1125" s="4">
        <v>256956156</v>
      </c>
      <c r="Q1125" s="4">
        <v>262210314</v>
      </c>
      <c r="R1125" s="4">
        <v>256956156</v>
      </c>
      <c r="S1125" s="4">
        <v>262210314</v>
      </c>
      <c r="T1125" s="4">
        <v>256956156</v>
      </c>
      <c r="U1125" s="4">
        <v>262210314</v>
      </c>
      <c r="V1125" s="4">
        <v>256956156</v>
      </c>
      <c r="W1125" s="4">
        <v>262210314</v>
      </c>
      <c r="X1125" s="4">
        <v>256956156</v>
      </c>
      <c r="Y1125" s="4">
        <v>262210314</v>
      </c>
    </row>
    <row r="1126" spans="1:25" ht="19.5" customHeight="1" x14ac:dyDescent="0.25">
      <c r="A1126" s="2" t="s">
        <v>2792</v>
      </c>
      <c r="B1126" s="2" t="s">
        <v>54</v>
      </c>
      <c r="C1126" s="2" t="s">
        <v>54</v>
      </c>
      <c r="D1126" s="2" t="s">
        <v>2865</v>
      </c>
      <c r="E1126" s="2" t="s">
        <v>2866</v>
      </c>
      <c r="F1126" s="3">
        <v>18353361.77</v>
      </c>
      <c r="G1126" s="3">
        <v>17851755</v>
      </c>
      <c r="H1126" s="3">
        <v>27000000</v>
      </c>
      <c r="I1126" s="3">
        <v>27000000</v>
      </c>
      <c r="J1126" s="3">
        <v>27000000</v>
      </c>
      <c r="K1126" s="3">
        <v>27000000</v>
      </c>
      <c r="L1126" s="4">
        <v>27000000</v>
      </c>
      <c r="M1126" s="4">
        <v>27000000</v>
      </c>
      <c r="N1126" s="4">
        <v>27000000</v>
      </c>
      <c r="O1126" s="4">
        <v>27000000</v>
      </c>
      <c r="P1126" s="4">
        <v>27000000</v>
      </c>
      <c r="Q1126" s="4">
        <v>27000000</v>
      </c>
      <c r="R1126" s="4">
        <v>27000000</v>
      </c>
      <c r="S1126" s="4">
        <v>27000000</v>
      </c>
      <c r="T1126" s="4">
        <v>27000000</v>
      </c>
      <c r="U1126" s="4">
        <v>27000000</v>
      </c>
      <c r="V1126" s="4">
        <v>27000000</v>
      </c>
      <c r="W1126" s="4">
        <v>27000000</v>
      </c>
      <c r="X1126" s="4">
        <v>27000000</v>
      </c>
      <c r="Y1126" s="4">
        <v>27000000</v>
      </c>
    </row>
    <row r="1127" spans="1:25" ht="19.5" customHeight="1" x14ac:dyDescent="0.25">
      <c r="A1127" s="2" t="s">
        <v>2792</v>
      </c>
      <c r="B1127" s="2" t="s">
        <v>54</v>
      </c>
      <c r="C1127" s="2" t="s">
        <v>54</v>
      </c>
      <c r="D1127" s="2" t="s">
        <v>2867</v>
      </c>
      <c r="E1127" s="2" t="s">
        <v>2868</v>
      </c>
      <c r="F1127" s="4">
        <v>76896183.109999999</v>
      </c>
      <c r="G1127" s="3">
        <v>82839846</v>
      </c>
      <c r="H1127" s="3">
        <v>85964846</v>
      </c>
      <c r="I1127" s="3">
        <v>85964846</v>
      </c>
      <c r="J1127" s="3">
        <v>85964846</v>
      </c>
      <c r="K1127" s="3">
        <v>85964846</v>
      </c>
      <c r="L1127" s="4">
        <v>85964846</v>
      </c>
      <c r="M1127" s="4">
        <v>85964846</v>
      </c>
      <c r="N1127" s="4">
        <v>85964846</v>
      </c>
      <c r="O1127" s="4">
        <v>85964846</v>
      </c>
      <c r="P1127" s="4">
        <v>86964846</v>
      </c>
      <c r="Q1127" s="4">
        <v>86964846</v>
      </c>
      <c r="R1127" s="4">
        <v>87756596</v>
      </c>
      <c r="S1127" s="4">
        <v>87164846</v>
      </c>
      <c r="T1127" s="4">
        <v>87756596</v>
      </c>
      <c r="U1127" s="4">
        <v>87164846</v>
      </c>
      <c r="V1127" s="4">
        <v>89506596</v>
      </c>
      <c r="W1127" s="4">
        <v>88914846</v>
      </c>
      <c r="X1127" s="4">
        <v>89506596</v>
      </c>
      <c r="Y1127" s="4">
        <v>88914846</v>
      </c>
    </row>
    <row r="1128" spans="1:25" ht="19.5" customHeight="1" x14ac:dyDescent="0.25">
      <c r="A1128" s="2" t="s">
        <v>2792</v>
      </c>
      <c r="B1128" s="2" t="s">
        <v>54</v>
      </c>
      <c r="C1128" s="2" t="s">
        <v>54</v>
      </c>
      <c r="D1128" s="2" t="s">
        <v>2869</v>
      </c>
      <c r="E1128" s="2" t="s">
        <v>2870</v>
      </c>
      <c r="F1128" s="3">
        <v>16356461.4</v>
      </c>
      <c r="G1128" s="3">
        <v>15910427</v>
      </c>
      <c r="H1128" s="3">
        <v>17805937</v>
      </c>
      <c r="I1128" s="3">
        <v>17805937</v>
      </c>
      <c r="J1128" s="3">
        <v>19805937</v>
      </c>
      <c r="K1128" s="3">
        <v>19805937</v>
      </c>
      <c r="L1128" s="4">
        <v>19805937</v>
      </c>
      <c r="M1128" s="4">
        <v>19805937</v>
      </c>
      <c r="N1128" s="4">
        <v>19805937</v>
      </c>
      <c r="O1128" s="4">
        <v>19805937</v>
      </c>
      <c r="P1128" s="4">
        <v>19805937</v>
      </c>
      <c r="Q1128" s="4">
        <v>19805937</v>
      </c>
      <c r="R1128" s="4">
        <v>19805937</v>
      </c>
      <c r="S1128" s="4">
        <v>19805937</v>
      </c>
      <c r="T1128" s="4">
        <v>19805937</v>
      </c>
      <c r="U1128" s="4">
        <v>19805937</v>
      </c>
      <c r="V1128" s="4">
        <v>19805937</v>
      </c>
      <c r="W1128" s="4">
        <v>19805937</v>
      </c>
      <c r="X1128" s="4">
        <v>19805937</v>
      </c>
      <c r="Y1128" s="4">
        <v>19805937</v>
      </c>
    </row>
    <row r="1129" spans="1:25" ht="19.5" customHeight="1" x14ac:dyDescent="0.25">
      <c r="A1129" s="2" t="s">
        <v>2792</v>
      </c>
      <c r="B1129" s="2" t="s">
        <v>54</v>
      </c>
      <c r="C1129" s="2" t="s">
        <v>54</v>
      </c>
      <c r="D1129" s="2" t="s">
        <v>2871</v>
      </c>
      <c r="E1129" s="2" t="s">
        <v>2872</v>
      </c>
      <c r="F1129" s="3">
        <v>23528664.140000001</v>
      </c>
      <c r="G1129" s="3">
        <v>25991154</v>
      </c>
      <c r="H1129" s="3">
        <v>33830547</v>
      </c>
      <c r="I1129" s="3">
        <v>34409472</v>
      </c>
      <c r="J1129" s="3">
        <v>33830547</v>
      </c>
      <c r="K1129" s="3">
        <v>34409472</v>
      </c>
      <c r="L1129" s="4">
        <v>33830547</v>
      </c>
      <c r="M1129" s="4">
        <v>34409472</v>
      </c>
      <c r="N1129" s="4">
        <v>33830547</v>
      </c>
      <c r="O1129" s="4">
        <v>34409472</v>
      </c>
      <c r="P1129" s="4">
        <v>33830547</v>
      </c>
      <c r="Q1129" s="4">
        <v>34409472</v>
      </c>
      <c r="R1129" s="4">
        <v>33830547</v>
      </c>
      <c r="S1129" s="4">
        <v>34409472</v>
      </c>
      <c r="T1129" s="4">
        <v>33830547</v>
      </c>
      <c r="U1129" s="4">
        <v>34409472</v>
      </c>
      <c r="V1129" s="4">
        <v>33830547</v>
      </c>
      <c r="W1129" s="4">
        <v>34409472</v>
      </c>
      <c r="X1129" s="4">
        <v>33830547</v>
      </c>
      <c r="Y1129" s="4">
        <v>34409472</v>
      </c>
    </row>
    <row r="1130" spans="1:25" ht="19.5" customHeight="1" x14ac:dyDescent="0.25">
      <c r="A1130" s="2" t="s">
        <v>2792</v>
      </c>
      <c r="B1130" s="2" t="s">
        <v>54</v>
      </c>
      <c r="C1130" s="2" t="s">
        <v>54</v>
      </c>
      <c r="D1130" s="2" t="s">
        <v>2873</v>
      </c>
      <c r="E1130" s="2" t="s">
        <v>2874</v>
      </c>
      <c r="F1130" s="3">
        <v>2500000</v>
      </c>
      <c r="G1130" s="3">
        <v>2500000</v>
      </c>
      <c r="H1130" s="3">
        <v>3000000</v>
      </c>
      <c r="I1130" s="3">
        <v>3000000</v>
      </c>
      <c r="J1130" s="3">
        <v>3000000</v>
      </c>
      <c r="K1130" s="3">
        <v>3000000</v>
      </c>
      <c r="L1130" s="4">
        <v>3000000</v>
      </c>
      <c r="M1130" s="4">
        <v>3000000</v>
      </c>
      <c r="N1130" s="4">
        <v>3000000</v>
      </c>
      <c r="O1130" s="4">
        <v>3000000</v>
      </c>
      <c r="P1130" s="4">
        <v>3000000</v>
      </c>
      <c r="Q1130" s="4">
        <v>3000000</v>
      </c>
      <c r="R1130" s="4">
        <v>3000000</v>
      </c>
      <c r="S1130" s="4">
        <v>3000000</v>
      </c>
      <c r="T1130" s="4">
        <v>3000000</v>
      </c>
      <c r="U1130" s="4">
        <v>3000000</v>
      </c>
      <c r="V1130" s="4">
        <v>3000000</v>
      </c>
      <c r="W1130" s="4">
        <v>3000000</v>
      </c>
      <c r="X1130" s="4">
        <v>3000000</v>
      </c>
      <c r="Y1130" s="4">
        <v>3000000</v>
      </c>
    </row>
    <row r="1131" spans="1:25" ht="19.5" customHeight="1" x14ac:dyDescent="0.25">
      <c r="A1131" s="2" t="s">
        <v>2792</v>
      </c>
      <c r="B1131" s="2" t="s">
        <v>54</v>
      </c>
      <c r="C1131" s="2" t="s">
        <v>54</v>
      </c>
      <c r="D1131" s="2" t="s">
        <v>2875</v>
      </c>
      <c r="E1131" s="2" t="s">
        <v>2876</v>
      </c>
      <c r="F1131" s="3">
        <v>6697196</v>
      </c>
      <c r="G1131" s="3">
        <v>10000000</v>
      </c>
      <c r="H1131" s="3">
        <v>10000000</v>
      </c>
      <c r="I1131" s="3">
        <v>10000000</v>
      </c>
      <c r="J1131" s="3">
        <v>10000000</v>
      </c>
      <c r="K1131" s="3">
        <v>10000000</v>
      </c>
      <c r="L1131" s="4">
        <v>10000000</v>
      </c>
      <c r="M1131" s="4">
        <v>10000000</v>
      </c>
      <c r="N1131" s="4">
        <v>10000000</v>
      </c>
      <c r="O1131" s="4">
        <v>10000000</v>
      </c>
      <c r="P1131" s="4">
        <v>10000000</v>
      </c>
      <c r="Q1131" s="4">
        <v>10000000</v>
      </c>
      <c r="R1131" s="4">
        <v>10250000</v>
      </c>
      <c r="S1131" s="4">
        <v>10250000</v>
      </c>
      <c r="T1131" s="4">
        <v>10250000</v>
      </c>
      <c r="U1131" s="4">
        <v>10250000</v>
      </c>
      <c r="V1131" s="4">
        <v>10250000</v>
      </c>
      <c r="W1131" s="4">
        <v>10250000</v>
      </c>
      <c r="X1131" s="4">
        <v>10250000</v>
      </c>
      <c r="Y1131" s="4">
        <v>10250000</v>
      </c>
    </row>
    <row r="1132" spans="1:25" ht="19.5" customHeight="1" x14ac:dyDescent="0.25">
      <c r="A1132" s="2" t="s">
        <v>2792</v>
      </c>
      <c r="B1132" s="2" t="s">
        <v>54</v>
      </c>
      <c r="C1132" s="2" t="s">
        <v>54</v>
      </c>
      <c r="D1132" s="2" t="s">
        <v>2877</v>
      </c>
      <c r="E1132" s="2" t="s">
        <v>2878</v>
      </c>
      <c r="F1132" s="3">
        <v>12236016.939999999</v>
      </c>
      <c r="G1132" s="4">
        <v>13350000</v>
      </c>
      <c r="H1132" s="4">
        <v>15000000</v>
      </c>
      <c r="I1132" s="4">
        <v>15000000</v>
      </c>
      <c r="J1132" s="4">
        <v>15000000</v>
      </c>
      <c r="K1132" s="4">
        <v>15000000</v>
      </c>
      <c r="L1132" s="4">
        <v>15000000</v>
      </c>
      <c r="M1132" s="4">
        <v>15000000</v>
      </c>
      <c r="N1132" s="4">
        <v>15000000</v>
      </c>
      <c r="O1132" s="4">
        <v>15000000</v>
      </c>
      <c r="P1132" s="4">
        <v>15000000</v>
      </c>
      <c r="Q1132" s="4">
        <v>15000000</v>
      </c>
      <c r="R1132" s="4">
        <v>15500000</v>
      </c>
      <c r="S1132" s="4">
        <v>15500000</v>
      </c>
      <c r="T1132" s="4">
        <v>15500000</v>
      </c>
      <c r="U1132" s="4">
        <v>15500000</v>
      </c>
      <c r="V1132" s="4">
        <v>15500000</v>
      </c>
      <c r="W1132" s="4">
        <v>15500000</v>
      </c>
      <c r="X1132" s="4">
        <v>15500000</v>
      </c>
      <c r="Y1132" s="4">
        <v>15500000</v>
      </c>
    </row>
    <row r="1133" spans="1:25" ht="19.5" customHeight="1" x14ac:dyDescent="0.25">
      <c r="A1133" s="2" t="s">
        <v>2792</v>
      </c>
      <c r="B1133" s="2" t="s">
        <v>54</v>
      </c>
      <c r="C1133" s="2" t="s">
        <v>54</v>
      </c>
      <c r="D1133" s="2" t="s">
        <v>2879</v>
      </c>
      <c r="E1133" s="2" t="s">
        <v>2880</v>
      </c>
      <c r="F1133" s="3">
        <v>986587.78</v>
      </c>
      <c r="G1133" s="3">
        <v>1000000</v>
      </c>
      <c r="H1133" s="3">
        <v>1000000</v>
      </c>
      <c r="I1133" s="3">
        <v>1000000</v>
      </c>
      <c r="J1133" s="3">
        <v>1000000</v>
      </c>
      <c r="K1133" s="3">
        <v>1000000</v>
      </c>
      <c r="L1133" s="4">
        <v>1000000</v>
      </c>
      <c r="M1133" s="4">
        <v>1000000</v>
      </c>
      <c r="N1133" s="4">
        <v>1000000</v>
      </c>
      <c r="O1133" s="4">
        <v>1000000</v>
      </c>
      <c r="P1133" s="4">
        <v>1000000</v>
      </c>
      <c r="Q1133" s="4">
        <v>1000000</v>
      </c>
      <c r="R1133" s="4">
        <v>1000000</v>
      </c>
      <c r="S1133" s="4">
        <v>1000000</v>
      </c>
      <c r="T1133" s="4">
        <v>1000000</v>
      </c>
      <c r="U1133" s="4">
        <v>1000000</v>
      </c>
      <c r="V1133" s="4">
        <v>1000000</v>
      </c>
      <c r="W1133" s="4">
        <v>1000000</v>
      </c>
      <c r="X1133" s="4">
        <v>1000000</v>
      </c>
      <c r="Y1133" s="4">
        <v>1000000</v>
      </c>
    </row>
    <row r="1134" spans="1:25" ht="19.5" customHeight="1" x14ac:dyDescent="0.25">
      <c r="A1134" s="2" t="s">
        <v>2792</v>
      </c>
      <c r="B1134" s="2" t="s">
        <v>54</v>
      </c>
      <c r="C1134" s="2" t="s">
        <v>54</v>
      </c>
      <c r="D1134" s="2" t="s">
        <v>2881</v>
      </c>
      <c r="E1134" s="2" t="s">
        <v>2882</v>
      </c>
      <c r="F1134" s="3">
        <v>14653568</v>
      </c>
      <c r="G1134" s="3">
        <v>16000000</v>
      </c>
      <c r="H1134" s="3">
        <v>16000000</v>
      </c>
      <c r="I1134" s="3">
        <v>16000000</v>
      </c>
      <c r="J1134" s="3">
        <v>16000000</v>
      </c>
      <c r="K1134" s="3">
        <v>16000000</v>
      </c>
      <c r="L1134" s="4">
        <v>16000000</v>
      </c>
      <c r="M1134" s="4">
        <v>16000000</v>
      </c>
      <c r="N1134" s="4">
        <v>16000000</v>
      </c>
      <c r="O1134" s="4">
        <v>16000000</v>
      </c>
      <c r="P1134" s="4">
        <v>16000000</v>
      </c>
      <c r="Q1134" s="4">
        <v>16000000</v>
      </c>
      <c r="R1134" s="4">
        <v>16000000</v>
      </c>
      <c r="S1134" s="4">
        <v>16000000</v>
      </c>
      <c r="T1134" s="4">
        <v>16000000</v>
      </c>
      <c r="U1134" s="4">
        <v>16000000</v>
      </c>
      <c r="V1134" s="4">
        <v>16000000</v>
      </c>
      <c r="W1134" s="4">
        <v>16000000</v>
      </c>
      <c r="X1134" s="4">
        <v>16000000</v>
      </c>
      <c r="Y1134" s="4">
        <v>16000000</v>
      </c>
    </row>
    <row r="1135" spans="1:25" ht="19.5" customHeight="1" x14ac:dyDescent="0.25">
      <c r="A1135" s="2" t="s">
        <v>2792</v>
      </c>
      <c r="B1135" s="2" t="s">
        <v>54</v>
      </c>
      <c r="C1135" s="2" t="s">
        <v>54</v>
      </c>
      <c r="D1135" s="2" t="s">
        <v>2883</v>
      </c>
      <c r="E1135" s="2" t="s">
        <v>2884</v>
      </c>
      <c r="F1135" s="4">
        <v>2156370.4900000002</v>
      </c>
      <c r="G1135" s="3">
        <v>1250000</v>
      </c>
      <c r="H1135" s="3">
        <v>1250000</v>
      </c>
      <c r="I1135" s="3">
        <v>1250000</v>
      </c>
      <c r="J1135" s="3">
        <v>1250000</v>
      </c>
      <c r="K1135" s="3">
        <v>1250000</v>
      </c>
      <c r="L1135" s="4">
        <v>1250000</v>
      </c>
      <c r="M1135" s="4">
        <v>1250000</v>
      </c>
      <c r="N1135" s="4">
        <v>1250000</v>
      </c>
      <c r="O1135" s="4">
        <v>1250000</v>
      </c>
      <c r="P1135" s="4">
        <v>1250000</v>
      </c>
      <c r="Q1135" s="4">
        <v>1250000</v>
      </c>
      <c r="R1135" s="4">
        <v>1250000</v>
      </c>
      <c r="S1135" s="4">
        <v>1250000</v>
      </c>
      <c r="T1135" s="4">
        <v>1250000</v>
      </c>
      <c r="U1135" s="4">
        <v>1250000</v>
      </c>
      <c r="V1135" s="4">
        <v>1250000</v>
      </c>
      <c r="W1135" s="4">
        <v>1250000</v>
      </c>
      <c r="X1135" s="4">
        <v>1250000</v>
      </c>
      <c r="Y1135" s="4">
        <v>1250000</v>
      </c>
    </row>
    <row r="1136" spans="1:25" ht="19.5" customHeight="1" x14ac:dyDescent="0.25">
      <c r="A1136" s="2" t="s">
        <v>2792</v>
      </c>
      <c r="B1136" s="2" t="s">
        <v>54</v>
      </c>
      <c r="C1136" s="2" t="s">
        <v>54</v>
      </c>
      <c r="D1136" s="2" t="s">
        <v>2885</v>
      </c>
      <c r="E1136" s="2" t="s">
        <v>2886</v>
      </c>
      <c r="F1136" s="3">
        <v>0</v>
      </c>
      <c r="G1136" s="3">
        <v>0</v>
      </c>
      <c r="H1136" s="3">
        <v>3000000</v>
      </c>
      <c r="I1136" s="3">
        <v>3000000</v>
      </c>
      <c r="J1136" s="3">
        <v>3000000</v>
      </c>
      <c r="K1136" s="3">
        <v>3000000</v>
      </c>
      <c r="L1136" s="4">
        <v>3000000</v>
      </c>
      <c r="M1136" s="4">
        <v>3000000</v>
      </c>
      <c r="N1136" s="4">
        <v>3000000</v>
      </c>
      <c r="O1136" s="4">
        <v>3000000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</row>
    <row r="1137" spans="1:25" ht="19.5" customHeight="1" x14ac:dyDescent="0.25">
      <c r="A1137" s="6" t="s">
        <v>2792</v>
      </c>
      <c r="B1137" s="6" t="s">
        <v>54</v>
      </c>
      <c r="C1137" s="6" t="s">
        <v>54</v>
      </c>
      <c r="D1137" s="7" t="s">
        <v>2887</v>
      </c>
      <c r="E1137" s="6" t="s">
        <v>2888</v>
      </c>
      <c r="F1137" s="4">
        <v>0</v>
      </c>
      <c r="G1137" s="4">
        <v>0</v>
      </c>
      <c r="H1137" s="4">
        <v>0</v>
      </c>
      <c r="I1137" s="4">
        <v>0</v>
      </c>
      <c r="J1137" s="4">
        <v>750000</v>
      </c>
      <c r="K1137" s="4">
        <v>750000</v>
      </c>
      <c r="L1137" s="4">
        <v>750000</v>
      </c>
      <c r="M1137" s="4">
        <v>750000</v>
      </c>
      <c r="N1137" s="4">
        <v>750000</v>
      </c>
      <c r="O1137" s="4">
        <v>750000</v>
      </c>
      <c r="P1137" s="4">
        <v>1250000</v>
      </c>
      <c r="Q1137" s="4">
        <v>1250000</v>
      </c>
      <c r="R1137" s="4">
        <v>1250000</v>
      </c>
      <c r="S1137" s="4">
        <v>1250000</v>
      </c>
      <c r="T1137" s="4">
        <v>1250000</v>
      </c>
      <c r="U1137" s="4">
        <v>1250000</v>
      </c>
      <c r="V1137" s="4">
        <v>1250000</v>
      </c>
      <c r="W1137" s="4">
        <v>1250000</v>
      </c>
      <c r="X1137" s="4">
        <v>1250000</v>
      </c>
      <c r="Y1137" s="4">
        <v>1250000</v>
      </c>
    </row>
    <row r="1138" spans="1:25" ht="19.5" customHeight="1" x14ac:dyDescent="0.25">
      <c r="A1138" s="2" t="s">
        <v>2792</v>
      </c>
      <c r="B1138" s="2" t="s">
        <v>54</v>
      </c>
      <c r="C1138" s="2" t="s">
        <v>54</v>
      </c>
      <c r="D1138" s="2" t="s">
        <v>2889</v>
      </c>
      <c r="E1138" s="2" t="s">
        <v>1023</v>
      </c>
      <c r="F1138" s="3">
        <v>1213722.6100000001</v>
      </c>
      <c r="G1138" s="3">
        <v>1251713</v>
      </c>
      <c r="H1138" s="3">
        <v>1298574</v>
      </c>
      <c r="I1138" s="3">
        <v>1587246</v>
      </c>
      <c r="J1138" s="3">
        <v>1298574</v>
      </c>
      <c r="K1138" s="3">
        <v>1587246</v>
      </c>
      <c r="L1138" s="4">
        <v>1298574</v>
      </c>
      <c r="M1138" s="4">
        <v>1587246</v>
      </c>
      <c r="N1138" s="4">
        <v>1298574</v>
      </c>
      <c r="O1138" s="4">
        <v>1587246</v>
      </c>
      <c r="P1138" s="4">
        <v>1298574</v>
      </c>
      <c r="Q1138" s="4">
        <v>1587246</v>
      </c>
      <c r="R1138" s="4">
        <v>1298574</v>
      </c>
      <c r="S1138" s="4">
        <v>1587246</v>
      </c>
      <c r="T1138" s="4">
        <v>1298574</v>
      </c>
      <c r="U1138" s="4">
        <v>1587246</v>
      </c>
      <c r="V1138" s="4">
        <v>1298574</v>
      </c>
      <c r="W1138" s="4">
        <v>1587246</v>
      </c>
      <c r="X1138" s="4">
        <v>1298574</v>
      </c>
      <c r="Y1138" s="4">
        <v>1587246</v>
      </c>
    </row>
    <row r="1139" spans="1:25" ht="19.5" customHeight="1" x14ac:dyDescent="0.25">
      <c r="A1139" s="2" t="s">
        <v>2792</v>
      </c>
      <c r="B1139" s="2" t="s">
        <v>243</v>
      </c>
      <c r="C1139" s="2" t="s">
        <v>2890</v>
      </c>
      <c r="D1139" s="2" t="s">
        <v>2891</v>
      </c>
      <c r="E1139" s="2" t="s">
        <v>2892</v>
      </c>
      <c r="F1139" s="3">
        <v>12147519.130000001</v>
      </c>
      <c r="G1139" s="3">
        <v>20000000</v>
      </c>
      <c r="H1139" s="3">
        <v>16000000</v>
      </c>
      <c r="I1139" s="3">
        <v>16000000</v>
      </c>
      <c r="J1139" s="3">
        <v>16000000</v>
      </c>
      <c r="K1139" s="3">
        <v>16000000</v>
      </c>
      <c r="L1139" s="4">
        <v>16000000</v>
      </c>
      <c r="M1139" s="4">
        <v>16000000</v>
      </c>
      <c r="N1139" s="4">
        <v>16000000</v>
      </c>
      <c r="O1139" s="4">
        <v>16000000</v>
      </c>
      <c r="P1139" s="4">
        <v>16000000</v>
      </c>
      <c r="Q1139" s="4">
        <v>16000000</v>
      </c>
      <c r="R1139" s="4">
        <v>16000000</v>
      </c>
      <c r="S1139" s="4">
        <v>16000000</v>
      </c>
      <c r="T1139" s="4">
        <v>16000000</v>
      </c>
      <c r="U1139" s="4">
        <v>16000000</v>
      </c>
      <c r="V1139" s="4">
        <v>16000000</v>
      </c>
      <c r="W1139" s="4">
        <v>16000000</v>
      </c>
      <c r="X1139" s="4">
        <v>16000000</v>
      </c>
      <c r="Y1139" s="4">
        <v>16000000</v>
      </c>
    </row>
    <row r="1140" spans="1:25" ht="19.5" customHeight="1" x14ac:dyDescent="0.25">
      <c r="A1140" s="2" t="s">
        <v>2792</v>
      </c>
      <c r="B1140" s="2" t="s">
        <v>243</v>
      </c>
      <c r="C1140" s="2" t="s">
        <v>2890</v>
      </c>
      <c r="D1140" s="2" t="s">
        <v>2893</v>
      </c>
      <c r="E1140" s="2" t="s">
        <v>22</v>
      </c>
      <c r="F1140" s="3">
        <v>1054625.32</v>
      </c>
      <c r="G1140" s="3">
        <v>5500000</v>
      </c>
      <c r="H1140" s="3">
        <v>5500000</v>
      </c>
      <c r="I1140" s="3">
        <v>5500000</v>
      </c>
      <c r="J1140" s="3">
        <v>5500000</v>
      </c>
      <c r="K1140" s="3">
        <v>5500000</v>
      </c>
      <c r="L1140" s="4">
        <v>5500000</v>
      </c>
      <c r="M1140" s="4">
        <v>5500000</v>
      </c>
      <c r="N1140" s="4">
        <v>5500000</v>
      </c>
      <c r="O1140" s="4">
        <v>5500000</v>
      </c>
      <c r="P1140" s="4">
        <v>5500000</v>
      </c>
      <c r="Q1140" s="4">
        <v>5500000</v>
      </c>
      <c r="R1140" s="4">
        <v>5500000</v>
      </c>
      <c r="S1140" s="4">
        <v>5500000</v>
      </c>
      <c r="T1140" s="4">
        <v>5500000</v>
      </c>
      <c r="U1140" s="4">
        <v>5500000</v>
      </c>
      <c r="V1140" s="4">
        <v>5500000</v>
      </c>
      <c r="W1140" s="4">
        <v>5500000</v>
      </c>
      <c r="X1140" s="4">
        <v>5500000</v>
      </c>
      <c r="Y1140" s="4">
        <v>5500000</v>
      </c>
    </row>
    <row r="1141" spans="1:25" ht="19.5" customHeight="1" x14ac:dyDescent="0.25">
      <c r="A1141" s="2" t="s">
        <v>2792</v>
      </c>
      <c r="B1141" s="2" t="s">
        <v>243</v>
      </c>
      <c r="C1141" s="2" t="s">
        <v>2894</v>
      </c>
      <c r="D1141" s="2" t="s">
        <v>2895</v>
      </c>
      <c r="E1141" s="2" t="s">
        <v>2896</v>
      </c>
      <c r="F1141" s="3">
        <v>80672217.040000007</v>
      </c>
      <c r="G1141" s="3">
        <v>80170822</v>
      </c>
      <c r="H1141" s="3">
        <v>99585489</v>
      </c>
      <c r="I1141" s="3">
        <v>100512696</v>
      </c>
      <c r="J1141" s="3">
        <v>99585489</v>
      </c>
      <c r="K1141" s="3">
        <v>100512696</v>
      </c>
      <c r="L1141" s="4">
        <v>99585489</v>
      </c>
      <c r="M1141" s="4">
        <v>100512696</v>
      </c>
      <c r="N1141" s="4">
        <v>99585489</v>
      </c>
      <c r="O1141" s="4">
        <v>100512696</v>
      </c>
      <c r="P1141" s="4">
        <v>99585489</v>
      </c>
      <c r="Q1141" s="4">
        <v>100512696</v>
      </c>
      <c r="R1141" s="4">
        <v>99585489</v>
      </c>
      <c r="S1141" s="4">
        <v>100512696</v>
      </c>
      <c r="T1141" s="4">
        <v>99585489</v>
      </c>
      <c r="U1141" s="4">
        <v>100512696</v>
      </c>
      <c r="V1141" s="4">
        <v>99585489</v>
      </c>
      <c r="W1141" s="4">
        <v>100512696</v>
      </c>
      <c r="X1141" s="4">
        <v>99585489</v>
      </c>
      <c r="Y1141" s="4">
        <v>100512696</v>
      </c>
    </row>
    <row r="1142" spans="1:25" ht="19.5" customHeight="1" x14ac:dyDescent="0.25">
      <c r="A1142" s="2" t="s">
        <v>2792</v>
      </c>
      <c r="B1142" s="2" t="s">
        <v>243</v>
      </c>
      <c r="C1142" s="2" t="s">
        <v>2897</v>
      </c>
      <c r="D1142" s="2" t="s">
        <v>2898</v>
      </c>
      <c r="E1142" s="2" t="s">
        <v>2899</v>
      </c>
      <c r="F1142" s="3">
        <v>0</v>
      </c>
      <c r="G1142" s="4">
        <v>250000</v>
      </c>
      <c r="H1142" s="4">
        <v>250000</v>
      </c>
      <c r="I1142" s="4">
        <v>250000</v>
      </c>
      <c r="J1142" s="4">
        <v>250000</v>
      </c>
      <c r="K1142" s="4">
        <v>250000</v>
      </c>
      <c r="L1142" s="4">
        <v>250000</v>
      </c>
      <c r="M1142" s="4">
        <v>250000</v>
      </c>
      <c r="N1142" s="4">
        <v>250000</v>
      </c>
      <c r="O1142" s="4">
        <v>250000</v>
      </c>
      <c r="P1142" s="4">
        <v>250000</v>
      </c>
      <c r="Q1142" s="4">
        <v>250000</v>
      </c>
      <c r="R1142" s="4">
        <v>250000</v>
      </c>
      <c r="S1142" s="4">
        <v>250000</v>
      </c>
      <c r="T1142" s="4">
        <v>250000</v>
      </c>
      <c r="U1142" s="4">
        <v>250000</v>
      </c>
      <c r="V1142" s="4">
        <v>250000</v>
      </c>
      <c r="W1142" s="4">
        <v>250000</v>
      </c>
      <c r="X1142" s="4">
        <v>250000</v>
      </c>
      <c r="Y1142" s="4">
        <v>250000</v>
      </c>
    </row>
    <row r="1143" spans="1:25" ht="19.5" customHeight="1" x14ac:dyDescent="0.25">
      <c r="A1143" s="2" t="s">
        <v>2900</v>
      </c>
      <c r="B1143" s="2" t="s">
        <v>16</v>
      </c>
      <c r="C1143" s="2" t="s">
        <v>2901</v>
      </c>
      <c r="D1143" s="2" t="s">
        <v>2902</v>
      </c>
      <c r="E1143" s="2" t="s">
        <v>2903</v>
      </c>
      <c r="F1143" s="3">
        <v>13096.4</v>
      </c>
      <c r="G1143" s="3">
        <v>25000</v>
      </c>
      <c r="H1143" s="3">
        <v>35000</v>
      </c>
      <c r="I1143" s="3">
        <v>35000</v>
      </c>
      <c r="J1143" s="3">
        <v>35000</v>
      </c>
      <c r="K1143" s="3">
        <v>35000</v>
      </c>
      <c r="L1143" s="4">
        <v>35000</v>
      </c>
      <c r="M1143" s="4">
        <v>35000</v>
      </c>
      <c r="N1143" s="4">
        <v>35000</v>
      </c>
      <c r="O1143" s="4">
        <v>35000</v>
      </c>
      <c r="P1143" s="4">
        <v>35000</v>
      </c>
      <c r="Q1143" s="4">
        <v>35000</v>
      </c>
      <c r="R1143" s="4">
        <v>35000</v>
      </c>
      <c r="S1143" s="4">
        <v>35000</v>
      </c>
      <c r="T1143" s="4">
        <v>35000</v>
      </c>
      <c r="U1143" s="4">
        <v>35000</v>
      </c>
      <c r="V1143" s="4">
        <v>35000</v>
      </c>
      <c r="W1143" s="4">
        <v>35000</v>
      </c>
      <c r="X1143" s="4">
        <v>35000</v>
      </c>
      <c r="Y1143" s="4">
        <v>35000</v>
      </c>
    </row>
    <row r="1144" spans="1:25" ht="19.5" customHeight="1" x14ac:dyDescent="0.25">
      <c r="A1144" s="2" t="s">
        <v>2900</v>
      </c>
      <c r="B1144" s="2" t="s">
        <v>54</v>
      </c>
      <c r="C1144" s="2" t="s">
        <v>54</v>
      </c>
      <c r="D1144" s="2" t="s">
        <v>2904</v>
      </c>
      <c r="E1144" s="2" t="s">
        <v>22</v>
      </c>
      <c r="F1144" s="3">
        <v>656821.93999999994</v>
      </c>
      <c r="G1144" s="3">
        <v>689993</v>
      </c>
      <c r="H1144" s="3">
        <v>733463</v>
      </c>
      <c r="I1144" s="3">
        <v>767026</v>
      </c>
      <c r="J1144" s="3">
        <v>733463</v>
      </c>
      <c r="K1144" s="3">
        <v>767026</v>
      </c>
      <c r="L1144" s="4">
        <v>733463</v>
      </c>
      <c r="M1144" s="4">
        <v>767026</v>
      </c>
      <c r="N1144" s="4">
        <v>733463</v>
      </c>
      <c r="O1144" s="4">
        <v>767026</v>
      </c>
      <c r="P1144" s="4">
        <v>733463</v>
      </c>
      <c r="Q1144" s="4">
        <v>767026</v>
      </c>
      <c r="R1144" s="4">
        <v>733463</v>
      </c>
      <c r="S1144" s="4">
        <v>767026</v>
      </c>
      <c r="T1144" s="4">
        <v>733463</v>
      </c>
      <c r="U1144" s="4">
        <v>767026</v>
      </c>
      <c r="V1144" s="4">
        <v>733463</v>
      </c>
      <c r="W1144" s="4">
        <v>767026</v>
      </c>
      <c r="X1144" s="4">
        <v>733463</v>
      </c>
      <c r="Y1144" s="4">
        <v>767026</v>
      </c>
    </row>
    <row r="1145" spans="1:25" ht="19.5" customHeight="1" x14ac:dyDescent="0.25">
      <c r="A1145" s="2" t="s">
        <v>2900</v>
      </c>
      <c r="B1145" s="2" t="s">
        <v>54</v>
      </c>
      <c r="C1145" s="2" t="s">
        <v>54</v>
      </c>
      <c r="D1145" s="2" t="s">
        <v>2905</v>
      </c>
      <c r="E1145" s="2" t="s">
        <v>2845</v>
      </c>
      <c r="F1145" s="3">
        <v>709594.9</v>
      </c>
      <c r="G1145" s="3">
        <v>852606</v>
      </c>
      <c r="H1145" s="3">
        <v>852606</v>
      </c>
      <c r="I1145" s="3">
        <v>852606</v>
      </c>
      <c r="J1145" s="3">
        <v>852606</v>
      </c>
      <c r="K1145" s="3">
        <v>852606</v>
      </c>
      <c r="L1145" s="4">
        <v>852606</v>
      </c>
      <c r="M1145" s="4">
        <v>852606</v>
      </c>
      <c r="N1145" s="4">
        <v>852606</v>
      </c>
      <c r="O1145" s="4">
        <v>852606</v>
      </c>
      <c r="P1145" s="4">
        <v>852606</v>
      </c>
      <c r="Q1145" s="4">
        <v>852606</v>
      </c>
      <c r="R1145" s="4">
        <v>852606</v>
      </c>
      <c r="S1145" s="4">
        <v>852606</v>
      </c>
      <c r="T1145" s="4">
        <v>852606</v>
      </c>
      <c r="U1145" s="4">
        <v>852606</v>
      </c>
      <c r="V1145" s="4">
        <v>852606</v>
      </c>
      <c r="W1145" s="4">
        <v>852606</v>
      </c>
      <c r="X1145" s="4">
        <v>852606</v>
      </c>
      <c r="Y1145" s="4">
        <v>852606</v>
      </c>
    </row>
    <row r="1146" spans="1:25" ht="19.5" customHeight="1" x14ac:dyDescent="0.25">
      <c r="A1146" s="2" t="s">
        <v>2900</v>
      </c>
      <c r="B1146" s="2" t="s">
        <v>54</v>
      </c>
      <c r="C1146" s="2" t="s">
        <v>54</v>
      </c>
      <c r="D1146" s="2" t="s">
        <v>2906</v>
      </c>
      <c r="E1146" s="2" t="s">
        <v>2907</v>
      </c>
      <c r="F1146" s="3">
        <v>113679.65</v>
      </c>
      <c r="G1146" s="3">
        <v>93120</v>
      </c>
      <c r="H1146" s="3">
        <v>93120</v>
      </c>
      <c r="I1146" s="3">
        <v>93120</v>
      </c>
      <c r="J1146" s="3">
        <v>93120</v>
      </c>
      <c r="K1146" s="3">
        <v>93120</v>
      </c>
      <c r="L1146" s="4">
        <v>93120</v>
      </c>
      <c r="M1146" s="4">
        <v>93120</v>
      </c>
      <c r="N1146" s="4">
        <v>93120</v>
      </c>
      <c r="O1146" s="4">
        <v>93120</v>
      </c>
      <c r="P1146" s="4">
        <v>113680</v>
      </c>
      <c r="Q1146" s="4">
        <v>113680</v>
      </c>
      <c r="R1146" s="4">
        <v>113680</v>
      </c>
      <c r="S1146" s="4">
        <v>113680</v>
      </c>
      <c r="T1146" s="4">
        <v>113680</v>
      </c>
      <c r="U1146" s="4">
        <v>113680</v>
      </c>
      <c r="V1146" s="4">
        <v>113680</v>
      </c>
      <c r="W1146" s="4">
        <v>113680</v>
      </c>
      <c r="X1146" s="4">
        <v>113680</v>
      </c>
      <c r="Y1146" s="4">
        <v>113680</v>
      </c>
    </row>
    <row r="1147" spans="1:25" ht="19.5" customHeight="1" x14ac:dyDescent="0.25">
      <c r="A1147" s="2" t="s">
        <v>2900</v>
      </c>
      <c r="B1147" s="2" t="s">
        <v>54</v>
      </c>
      <c r="C1147" s="2" t="s">
        <v>54</v>
      </c>
      <c r="D1147" s="2" t="s">
        <v>2908</v>
      </c>
      <c r="E1147" s="2" t="s">
        <v>2909</v>
      </c>
      <c r="F1147" s="3">
        <v>1741873.84</v>
      </c>
      <c r="G1147" s="3">
        <v>3000000</v>
      </c>
      <c r="H1147" s="3">
        <v>3139967</v>
      </c>
      <c r="I1147" s="3">
        <v>3106404</v>
      </c>
      <c r="J1147" s="3">
        <v>3389967</v>
      </c>
      <c r="K1147" s="3">
        <v>3356404</v>
      </c>
      <c r="L1147" s="4">
        <v>3389967</v>
      </c>
      <c r="M1147" s="4">
        <v>3356404</v>
      </c>
      <c r="N1147" s="4">
        <v>3389967</v>
      </c>
      <c r="O1147" s="4">
        <v>3356404</v>
      </c>
      <c r="P1147" s="4">
        <v>3389967</v>
      </c>
      <c r="Q1147" s="4">
        <v>3356404</v>
      </c>
      <c r="R1147" s="4">
        <v>3389967</v>
      </c>
      <c r="S1147" s="4">
        <v>3356404</v>
      </c>
      <c r="T1147" s="4">
        <v>3389967</v>
      </c>
      <c r="U1147" s="4">
        <v>3356404</v>
      </c>
      <c r="V1147" s="4">
        <v>3389967</v>
      </c>
      <c r="W1147" s="4">
        <v>3356404</v>
      </c>
      <c r="X1147" s="4">
        <v>3389967</v>
      </c>
      <c r="Y1147" s="4">
        <v>3356404</v>
      </c>
    </row>
    <row r="1148" spans="1:25" ht="19.5" customHeight="1" x14ac:dyDescent="0.25">
      <c r="A1148" s="2" t="s">
        <v>2910</v>
      </c>
      <c r="B1148" s="2" t="s">
        <v>16</v>
      </c>
      <c r="C1148" s="2" t="s">
        <v>20</v>
      </c>
      <c r="D1148" s="2" t="s">
        <v>2911</v>
      </c>
      <c r="E1148" s="2" t="s">
        <v>22</v>
      </c>
      <c r="F1148" s="3">
        <v>10211371.630000001</v>
      </c>
      <c r="G1148" s="3">
        <v>11208680</v>
      </c>
      <c r="H1148" s="3">
        <v>11378121</v>
      </c>
      <c r="I1148" s="3">
        <v>11689893</v>
      </c>
      <c r="J1148" s="3">
        <v>11378121</v>
      </c>
      <c r="K1148" s="3">
        <v>11689893</v>
      </c>
      <c r="L1148" s="4">
        <v>11378121</v>
      </c>
      <c r="M1148" s="4">
        <v>11689893</v>
      </c>
      <c r="N1148" s="4">
        <v>11378121</v>
      </c>
      <c r="O1148" s="4">
        <v>11689893</v>
      </c>
      <c r="P1148" s="4">
        <v>11378121</v>
      </c>
      <c r="Q1148" s="4">
        <v>11689893</v>
      </c>
      <c r="R1148" s="4">
        <v>11378121</v>
      </c>
      <c r="S1148" s="4">
        <v>11689893</v>
      </c>
      <c r="T1148" s="4">
        <v>11378121</v>
      </c>
      <c r="U1148" s="4">
        <v>11689893</v>
      </c>
      <c r="V1148" s="4">
        <v>11378121</v>
      </c>
      <c r="W1148" s="4">
        <v>11689893</v>
      </c>
      <c r="X1148" s="4">
        <v>11378121</v>
      </c>
      <c r="Y1148" s="4">
        <v>11689893</v>
      </c>
    </row>
    <row r="1149" spans="1:25" ht="19.5" customHeight="1" x14ac:dyDescent="0.25">
      <c r="A1149" s="2" t="s">
        <v>2910</v>
      </c>
      <c r="B1149" s="2" t="s">
        <v>16</v>
      </c>
      <c r="C1149" s="2" t="s">
        <v>2912</v>
      </c>
      <c r="D1149" s="2" t="s">
        <v>2913</v>
      </c>
      <c r="E1149" s="2" t="s">
        <v>2914</v>
      </c>
      <c r="F1149" s="3">
        <v>1513000</v>
      </c>
      <c r="G1149" s="3">
        <v>1518000</v>
      </c>
      <c r="H1149" s="3">
        <v>1513000</v>
      </c>
      <c r="I1149" s="3">
        <v>1513000</v>
      </c>
      <c r="J1149" s="3">
        <v>1513000</v>
      </c>
      <c r="K1149" s="3">
        <v>1513000</v>
      </c>
      <c r="L1149" s="4">
        <v>1513000</v>
      </c>
      <c r="M1149" s="4">
        <v>1513000</v>
      </c>
      <c r="N1149" s="4">
        <v>1513000</v>
      </c>
      <c r="O1149" s="4">
        <v>1513000</v>
      </c>
      <c r="P1149" s="4">
        <v>1513000</v>
      </c>
      <c r="Q1149" s="4">
        <v>1513000</v>
      </c>
      <c r="R1149" s="4">
        <v>1513000</v>
      </c>
      <c r="S1149" s="4">
        <v>1513000</v>
      </c>
      <c r="T1149" s="4">
        <v>1513000</v>
      </c>
      <c r="U1149" s="4">
        <v>1513000</v>
      </c>
      <c r="V1149" s="4">
        <v>1513000</v>
      </c>
      <c r="W1149" s="4">
        <v>1513000</v>
      </c>
      <c r="X1149" s="4">
        <v>1513000</v>
      </c>
      <c r="Y1149" s="4">
        <v>1513000</v>
      </c>
    </row>
    <row r="1150" spans="1:25" ht="19.5" customHeight="1" x14ac:dyDescent="0.25">
      <c r="A1150" s="2" t="s">
        <v>2910</v>
      </c>
      <c r="B1150" s="2" t="s">
        <v>16</v>
      </c>
      <c r="C1150" s="2" t="s">
        <v>2915</v>
      </c>
      <c r="D1150" s="2" t="s">
        <v>2916</v>
      </c>
      <c r="E1150" s="2" t="s">
        <v>2917</v>
      </c>
      <c r="F1150" s="3">
        <v>500</v>
      </c>
      <c r="G1150" s="3">
        <v>2000</v>
      </c>
      <c r="H1150" s="3">
        <v>500</v>
      </c>
      <c r="I1150" s="3">
        <v>500</v>
      </c>
      <c r="J1150" s="3">
        <v>500</v>
      </c>
      <c r="K1150" s="3">
        <v>500</v>
      </c>
      <c r="L1150" s="4">
        <v>500</v>
      </c>
      <c r="M1150" s="4">
        <v>500</v>
      </c>
      <c r="N1150" s="4">
        <v>500</v>
      </c>
      <c r="O1150" s="4">
        <v>500</v>
      </c>
      <c r="P1150" s="4">
        <v>500</v>
      </c>
      <c r="Q1150" s="4">
        <v>500</v>
      </c>
      <c r="R1150" s="4">
        <v>500</v>
      </c>
      <c r="S1150" s="4">
        <v>500</v>
      </c>
      <c r="T1150" s="4">
        <v>500</v>
      </c>
      <c r="U1150" s="4">
        <v>500</v>
      </c>
      <c r="V1150" s="4">
        <v>500</v>
      </c>
      <c r="W1150" s="4">
        <v>500</v>
      </c>
      <c r="X1150" s="4">
        <v>500</v>
      </c>
      <c r="Y1150" s="4">
        <v>500</v>
      </c>
    </row>
    <row r="1151" spans="1:25" ht="19.5" customHeight="1" x14ac:dyDescent="0.25">
      <c r="A1151" s="2" t="s">
        <v>2918</v>
      </c>
      <c r="B1151" s="2" t="s">
        <v>16</v>
      </c>
      <c r="C1151" s="2" t="s">
        <v>35</v>
      </c>
      <c r="D1151" s="2" t="s">
        <v>2919</v>
      </c>
      <c r="E1151" s="2" t="s">
        <v>2920</v>
      </c>
      <c r="F1151" s="3">
        <v>350000000</v>
      </c>
      <c r="G1151" s="3">
        <v>175000000</v>
      </c>
      <c r="H1151" s="3">
        <v>0</v>
      </c>
      <c r="I1151" s="3">
        <v>0</v>
      </c>
      <c r="J1151" s="3">
        <v>0</v>
      </c>
      <c r="K1151" s="3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</row>
    <row r="1152" spans="1:25" ht="19.5" customHeight="1" x14ac:dyDescent="0.25">
      <c r="A1152" s="2" t="s">
        <v>2918</v>
      </c>
      <c r="B1152" s="2" t="s">
        <v>16</v>
      </c>
      <c r="C1152" s="2" t="s">
        <v>35</v>
      </c>
      <c r="D1152" s="2" t="s">
        <v>2921</v>
      </c>
      <c r="E1152" s="2" t="s">
        <v>2922</v>
      </c>
      <c r="F1152" s="3">
        <v>0</v>
      </c>
      <c r="G1152" s="3">
        <v>182169262</v>
      </c>
      <c r="H1152" s="3">
        <v>0</v>
      </c>
      <c r="I1152" s="3">
        <v>0</v>
      </c>
      <c r="J1152" s="3">
        <v>0</v>
      </c>
      <c r="K1152" s="3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</row>
    <row r="1153" spans="1:25" ht="19.5" customHeight="1" x14ac:dyDescent="0.25">
      <c r="A1153" s="2" t="s">
        <v>2918</v>
      </c>
      <c r="B1153" s="2" t="s">
        <v>16</v>
      </c>
      <c r="C1153" s="2" t="s">
        <v>35</v>
      </c>
      <c r="D1153" s="2" t="s">
        <v>2923</v>
      </c>
      <c r="E1153" s="2" t="s">
        <v>2924</v>
      </c>
      <c r="F1153" s="3">
        <v>0</v>
      </c>
      <c r="G1153" s="3">
        <v>25000000</v>
      </c>
      <c r="H1153" s="3">
        <v>0</v>
      </c>
      <c r="I1153" s="3">
        <v>0</v>
      </c>
      <c r="J1153" s="3">
        <v>0</v>
      </c>
      <c r="K1153" s="3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</row>
    <row r="1154" spans="1:25" ht="19.5" customHeight="1" x14ac:dyDescent="0.25">
      <c r="A1154" s="2" t="s">
        <v>2918</v>
      </c>
      <c r="B1154" s="2" t="s">
        <v>16</v>
      </c>
      <c r="C1154" s="2" t="s">
        <v>35</v>
      </c>
      <c r="D1154" s="2" t="s">
        <v>2925</v>
      </c>
      <c r="E1154" s="2" t="s">
        <v>2926</v>
      </c>
      <c r="F1154" s="3">
        <v>0</v>
      </c>
      <c r="G1154" s="3">
        <v>157044514</v>
      </c>
      <c r="H1154" s="3">
        <v>0</v>
      </c>
      <c r="I1154" s="3">
        <v>0</v>
      </c>
      <c r="J1154" s="3">
        <v>0</v>
      </c>
      <c r="K1154" s="3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</row>
    <row r="1155" spans="1:25" ht="19.5" customHeight="1" x14ac:dyDescent="0.25">
      <c r="A1155" s="2" t="s">
        <v>2918</v>
      </c>
      <c r="B1155" s="2" t="s">
        <v>16</v>
      </c>
      <c r="C1155" s="2" t="s">
        <v>35</v>
      </c>
      <c r="D1155" s="2" t="s">
        <v>2927</v>
      </c>
      <c r="E1155" s="2" t="s">
        <v>2928</v>
      </c>
      <c r="F1155" s="3">
        <v>0</v>
      </c>
      <c r="G1155" s="3">
        <v>124000000</v>
      </c>
      <c r="H1155" s="3">
        <v>0</v>
      </c>
      <c r="I1155" s="3">
        <v>0</v>
      </c>
      <c r="J1155" s="3">
        <v>0</v>
      </c>
      <c r="K1155" s="3">
        <v>0</v>
      </c>
      <c r="L1155" s="4">
        <v>0</v>
      </c>
      <c r="M1155" s="4">
        <v>0</v>
      </c>
      <c r="N1155" s="4">
        <v>0</v>
      </c>
      <c r="O1155" s="4">
        <v>0</v>
      </c>
      <c r="P1155" s="4">
        <v>0</v>
      </c>
      <c r="Q1155" s="4">
        <v>0</v>
      </c>
      <c r="R1155" s="4">
        <v>0</v>
      </c>
      <c r="S1155" s="4">
        <v>0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</row>
    <row r="1156" spans="1:25" ht="19.5" customHeight="1" x14ac:dyDescent="0.25">
      <c r="A1156" s="2" t="s">
        <v>2918</v>
      </c>
      <c r="B1156" s="2" t="s">
        <v>16</v>
      </c>
      <c r="C1156" s="2" t="s">
        <v>35</v>
      </c>
      <c r="D1156" s="2" t="s">
        <v>2929</v>
      </c>
      <c r="E1156" s="2" t="s">
        <v>2930</v>
      </c>
      <c r="F1156" s="3">
        <v>0</v>
      </c>
      <c r="G1156" s="3">
        <v>45000000</v>
      </c>
      <c r="H1156" s="3">
        <v>0</v>
      </c>
      <c r="I1156" s="3">
        <v>0</v>
      </c>
      <c r="J1156" s="3">
        <v>0</v>
      </c>
      <c r="K1156" s="3">
        <v>0</v>
      </c>
      <c r="L1156" s="4">
        <v>0</v>
      </c>
      <c r="M1156" s="4">
        <v>0</v>
      </c>
      <c r="N1156" s="4">
        <v>0</v>
      </c>
      <c r="O1156" s="4">
        <v>0</v>
      </c>
      <c r="P1156" s="4">
        <v>0</v>
      </c>
      <c r="Q1156" s="4">
        <v>0</v>
      </c>
      <c r="R1156" s="4">
        <v>0</v>
      </c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</row>
    <row r="1157" spans="1:25" ht="19.5" customHeight="1" x14ac:dyDescent="0.25">
      <c r="A1157" s="2" t="s">
        <v>2918</v>
      </c>
      <c r="B1157" s="2" t="s">
        <v>16</v>
      </c>
      <c r="C1157" s="2" t="s">
        <v>35</v>
      </c>
      <c r="D1157" s="2" t="s">
        <v>2931</v>
      </c>
      <c r="E1157" s="2" t="s">
        <v>2932</v>
      </c>
      <c r="F1157" s="3">
        <v>0</v>
      </c>
      <c r="G1157" s="3">
        <v>18300000</v>
      </c>
      <c r="H1157" s="3">
        <v>0</v>
      </c>
      <c r="I1157" s="3">
        <v>0</v>
      </c>
      <c r="J1157" s="3">
        <v>0</v>
      </c>
      <c r="K1157" s="3">
        <v>0</v>
      </c>
      <c r="L1157" s="4">
        <v>0</v>
      </c>
      <c r="M1157" s="4">
        <v>0</v>
      </c>
      <c r="N1157" s="4">
        <v>0</v>
      </c>
      <c r="O1157" s="4">
        <v>0</v>
      </c>
      <c r="P1157" s="4">
        <v>0</v>
      </c>
      <c r="Q1157" s="4">
        <v>0</v>
      </c>
      <c r="R1157" s="4">
        <v>0</v>
      </c>
      <c r="S1157" s="4">
        <v>0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</row>
    <row r="1158" spans="1:25" ht="19.5" customHeight="1" x14ac:dyDescent="0.25">
      <c r="A1158" s="2" t="s">
        <v>2918</v>
      </c>
      <c r="B1158" s="2" t="s">
        <v>16</v>
      </c>
      <c r="C1158" s="2" t="s">
        <v>35</v>
      </c>
      <c r="D1158" s="2" t="s">
        <v>2933</v>
      </c>
      <c r="E1158" s="2" t="s">
        <v>2934</v>
      </c>
      <c r="F1158" s="3">
        <v>0</v>
      </c>
      <c r="G1158" s="3">
        <v>3000000</v>
      </c>
      <c r="H1158" s="3">
        <v>0</v>
      </c>
      <c r="I1158" s="3">
        <v>0</v>
      </c>
      <c r="J1158" s="3">
        <v>0</v>
      </c>
      <c r="K1158" s="3">
        <v>0</v>
      </c>
      <c r="L1158" s="4">
        <v>0</v>
      </c>
      <c r="M1158" s="4">
        <v>0</v>
      </c>
      <c r="N1158" s="4">
        <v>0</v>
      </c>
      <c r="O1158" s="4">
        <v>0</v>
      </c>
      <c r="P1158" s="4">
        <v>0</v>
      </c>
      <c r="Q1158" s="4">
        <v>0</v>
      </c>
      <c r="R1158" s="4">
        <v>0</v>
      </c>
      <c r="S1158" s="4">
        <v>0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</row>
    <row r="1159" spans="1:25" ht="19.5" customHeight="1" x14ac:dyDescent="0.25">
      <c r="A1159" s="2" t="s">
        <v>2918</v>
      </c>
      <c r="B1159" s="2" t="s">
        <v>16</v>
      </c>
      <c r="C1159" s="2" t="s">
        <v>35</v>
      </c>
      <c r="D1159" s="2" t="s">
        <v>2935</v>
      </c>
      <c r="E1159" s="2" t="s">
        <v>2936</v>
      </c>
      <c r="F1159" s="3">
        <v>0</v>
      </c>
      <c r="G1159" s="3">
        <v>15200000</v>
      </c>
      <c r="H1159" s="3">
        <v>0</v>
      </c>
      <c r="I1159" s="3">
        <v>0</v>
      </c>
      <c r="J1159" s="3">
        <v>0</v>
      </c>
      <c r="K1159" s="3">
        <v>0</v>
      </c>
      <c r="L1159" s="4">
        <v>0</v>
      </c>
      <c r="M1159" s="4">
        <v>0</v>
      </c>
      <c r="N1159" s="4">
        <v>0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</row>
    <row r="1160" spans="1:25" ht="19.5" customHeight="1" x14ac:dyDescent="0.25">
      <c r="A1160" s="6" t="s">
        <v>2918</v>
      </c>
      <c r="B1160" s="6" t="s">
        <v>16</v>
      </c>
      <c r="C1160" s="6" t="s">
        <v>35</v>
      </c>
      <c r="D1160" s="7" t="s">
        <v>2937</v>
      </c>
      <c r="E1160" s="6" t="s">
        <v>2938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  <c r="M1160" s="9">
        <v>0</v>
      </c>
      <c r="N1160" s="9">
        <v>0</v>
      </c>
      <c r="O1160" s="9">
        <v>0</v>
      </c>
      <c r="P1160" s="4">
        <v>1000000</v>
      </c>
      <c r="Q1160" s="4">
        <v>0</v>
      </c>
      <c r="R1160" s="4">
        <v>1000000</v>
      </c>
      <c r="S1160" s="4">
        <v>0</v>
      </c>
      <c r="T1160" s="4">
        <v>1000000</v>
      </c>
      <c r="U1160" s="4">
        <v>0</v>
      </c>
      <c r="V1160" s="4">
        <v>1000000</v>
      </c>
      <c r="W1160" s="4">
        <v>0</v>
      </c>
      <c r="X1160" s="4">
        <v>1000000</v>
      </c>
      <c r="Y1160" s="4">
        <v>0</v>
      </c>
    </row>
    <row r="1161" spans="1:25" ht="19.5" customHeight="1" x14ac:dyDescent="0.25">
      <c r="A1161" s="2" t="s">
        <v>2918</v>
      </c>
      <c r="B1161" s="2" t="s">
        <v>16</v>
      </c>
      <c r="C1161" s="2" t="s">
        <v>35</v>
      </c>
      <c r="D1161" s="2" t="s">
        <v>2939</v>
      </c>
      <c r="E1161" s="2" t="s">
        <v>2940</v>
      </c>
      <c r="F1161" s="3">
        <v>34919945.240000002</v>
      </c>
      <c r="G1161" s="3">
        <v>32999999.5</v>
      </c>
      <c r="H1161" s="3">
        <v>18000000</v>
      </c>
      <c r="I1161" s="3">
        <v>0</v>
      </c>
      <c r="J1161" s="3">
        <v>18000000</v>
      </c>
      <c r="K1161" s="3">
        <v>0</v>
      </c>
      <c r="L1161" s="4">
        <v>18000000</v>
      </c>
      <c r="M1161" s="4">
        <v>0</v>
      </c>
      <c r="N1161" s="4">
        <v>18000000</v>
      </c>
      <c r="O1161" s="4">
        <v>0</v>
      </c>
      <c r="P1161" s="4">
        <v>18000000</v>
      </c>
      <c r="Q1161" s="4">
        <v>0</v>
      </c>
      <c r="R1161" s="4">
        <v>18000000</v>
      </c>
      <c r="S1161" s="4">
        <v>0</v>
      </c>
      <c r="T1161" s="4">
        <v>18000000</v>
      </c>
      <c r="U1161" s="4">
        <v>0</v>
      </c>
      <c r="V1161" s="4">
        <v>18000000</v>
      </c>
      <c r="W1161" s="4">
        <v>0</v>
      </c>
      <c r="X1161" s="4">
        <v>18000000</v>
      </c>
      <c r="Y1161" s="4">
        <v>0</v>
      </c>
    </row>
    <row r="1162" spans="1:25" ht="19.5" customHeight="1" x14ac:dyDescent="0.25">
      <c r="A1162" s="2" t="s">
        <v>2918</v>
      </c>
      <c r="B1162" s="2" t="s">
        <v>16</v>
      </c>
      <c r="C1162" s="2" t="s">
        <v>35</v>
      </c>
      <c r="D1162" s="2" t="s">
        <v>2941</v>
      </c>
      <c r="E1162" s="2" t="s">
        <v>2942</v>
      </c>
      <c r="F1162" s="3">
        <v>0</v>
      </c>
      <c r="G1162" s="3">
        <v>650000000</v>
      </c>
      <c r="H1162" s="3">
        <v>0</v>
      </c>
      <c r="I1162" s="3">
        <v>0</v>
      </c>
      <c r="J1162" s="3">
        <v>0</v>
      </c>
      <c r="K1162" s="3">
        <v>0</v>
      </c>
      <c r="L1162" s="4">
        <v>0</v>
      </c>
      <c r="M1162" s="4">
        <v>0</v>
      </c>
      <c r="N1162" s="4">
        <v>0</v>
      </c>
      <c r="O1162" s="4">
        <v>0</v>
      </c>
      <c r="P1162" s="4">
        <v>0</v>
      </c>
      <c r="Q1162" s="4">
        <v>0</v>
      </c>
      <c r="R1162" s="4">
        <v>0</v>
      </c>
      <c r="S1162" s="4">
        <v>0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</row>
    <row r="1163" spans="1:25" ht="19.5" customHeight="1" x14ac:dyDescent="0.25">
      <c r="A1163" s="2" t="s">
        <v>2918</v>
      </c>
      <c r="B1163" s="2" t="s">
        <v>887</v>
      </c>
      <c r="C1163" s="2" t="s">
        <v>2943</v>
      </c>
      <c r="D1163" s="2" t="s">
        <v>2944</v>
      </c>
      <c r="E1163" s="2" t="s">
        <v>2945</v>
      </c>
      <c r="F1163" s="3">
        <v>12652.22</v>
      </c>
      <c r="G1163" s="4">
        <v>30000</v>
      </c>
      <c r="H1163" s="4">
        <v>30000</v>
      </c>
      <c r="I1163" s="4">
        <v>30000</v>
      </c>
      <c r="J1163" s="4">
        <v>30000</v>
      </c>
      <c r="K1163" s="4">
        <v>30000</v>
      </c>
      <c r="L1163" s="4">
        <v>30000</v>
      </c>
      <c r="M1163" s="4">
        <v>30000</v>
      </c>
      <c r="N1163" s="4">
        <v>30000</v>
      </c>
      <c r="O1163" s="4">
        <v>30000</v>
      </c>
      <c r="P1163" s="4">
        <v>30000</v>
      </c>
      <c r="Q1163" s="4">
        <v>30000</v>
      </c>
      <c r="R1163" s="4">
        <v>30000</v>
      </c>
      <c r="S1163" s="4">
        <v>30000</v>
      </c>
      <c r="T1163" s="4">
        <v>30000</v>
      </c>
      <c r="U1163" s="4">
        <v>30000</v>
      </c>
      <c r="V1163" s="4">
        <v>30000</v>
      </c>
      <c r="W1163" s="4">
        <v>30000</v>
      </c>
      <c r="X1163" s="4">
        <v>30000</v>
      </c>
      <c r="Y1163" s="4">
        <v>30000</v>
      </c>
    </row>
    <row r="1164" spans="1:25" ht="19.5" customHeight="1" x14ac:dyDescent="0.25">
      <c r="A1164" s="2" t="s">
        <v>2918</v>
      </c>
      <c r="B1164" s="2" t="s">
        <v>54</v>
      </c>
      <c r="C1164" s="2" t="s">
        <v>54</v>
      </c>
      <c r="D1164" s="2" t="s">
        <v>2946</v>
      </c>
      <c r="E1164" s="2" t="s">
        <v>22</v>
      </c>
      <c r="F1164" s="3">
        <v>3043099.55</v>
      </c>
      <c r="G1164" s="3">
        <v>3328628</v>
      </c>
      <c r="H1164" s="3">
        <v>4128353</v>
      </c>
      <c r="I1164" s="3">
        <v>4128353</v>
      </c>
      <c r="J1164" s="3">
        <v>4128353</v>
      </c>
      <c r="K1164" s="3">
        <v>4128353</v>
      </c>
      <c r="L1164" s="4">
        <v>4128353</v>
      </c>
      <c r="M1164" s="4">
        <v>4128353</v>
      </c>
      <c r="N1164" s="4">
        <v>4128353</v>
      </c>
      <c r="O1164" s="4">
        <v>4128353</v>
      </c>
      <c r="P1164" s="4">
        <v>4128353</v>
      </c>
      <c r="Q1164" s="4">
        <v>4128353</v>
      </c>
      <c r="R1164" s="4">
        <v>4128353</v>
      </c>
      <c r="S1164" s="4">
        <v>4128353</v>
      </c>
      <c r="T1164" s="4">
        <v>4128353</v>
      </c>
      <c r="U1164" s="4">
        <v>4128353</v>
      </c>
      <c r="V1164" s="4">
        <v>4128353</v>
      </c>
      <c r="W1164" s="4">
        <v>4128353</v>
      </c>
      <c r="X1164" s="4">
        <v>4128353</v>
      </c>
      <c r="Y1164" s="4">
        <v>4128353</v>
      </c>
    </row>
    <row r="1165" spans="1:25" ht="19.5" customHeight="1" x14ac:dyDescent="0.25">
      <c r="A1165" s="2" t="s">
        <v>2918</v>
      </c>
      <c r="B1165" s="2" t="s">
        <v>54</v>
      </c>
      <c r="C1165" s="2" t="s">
        <v>54</v>
      </c>
      <c r="D1165" s="2" t="s">
        <v>2947</v>
      </c>
      <c r="E1165" s="2" t="s">
        <v>2948</v>
      </c>
      <c r="F1165" s="3">
        <v>1015523.93</v>
      </c>
      <c r="G1165" s="3">
        <v>799725</v>
      </c>
      <c r="H1165" s="3">
        <v>0</v>
      </c>
      <c r="I1165" s="3">
        <v>0</v>
      </c>
      <c r="J1165" s="3">
        <v>0</v>
      </c>
      <c r="K1165" s="3">
        <v>0</v>
      </c>
      <c r="L1165" s="4">
        <v>0</v>
      </c>
      <c r="M1165" s="4">
        <v>0</v>
      </c>
      <c r="N1165" s="4">
        <v>0</v>
      </c>
      <c r="O1165" s="4">
        <v>0</v>
      </c>
      <c r="P1165" s="4">
        <v>0</v>
      </c>
      <c r="Q1165" s="4">
        <v>0</v>
      </c>
      <c r="R1165" s="4">
        <v>0</v>
      </c>
      <c r="S1165" s="4">
        <v>0</v>
      </c>
      <c r="T1165" s="4">
        <v>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</row>
    <row r="1166" spans="1:25" ht="19.5" customHeight="1" x14ac:dyDescent="0.25">
      <c r="A1166" s="2" t="s">
        <v>2918</v>
      </c>
      <c r="B1166" s="2" t="s">
        <v>243</v>
      </c>
      <c r="C1166" s="2" t="s">
        <v>2949</v>
      </c>
      <c r="D1166" s="2" t="s">
        <v>2950</v>
      </c>
      <c r="E1166" s="2" t="s">
        <v>2951</v>
      </c>
      <c r="F1166" s="3">
        <v>14911437.16</v>
      </c>
      <c r="G1166" s="3">
        <v>16995903</v>
      </c>
      <c r="H1166" s="3">
        <v>16500000</v>
      </c>
      <c r="I1166" s="3">
        <v>17200000</v>
      </c>
      <c r="J1166" s="3">
        <v>16500000</v>
      </c>
      <c r="K1166" s="3">
        <v>17200000</v>
      </c>
      <c r="L1166" s="4">
        <v>16500000</v>
      </c>
      <c r="M1166" s="4">
        <v>17200000</v>
      </c>
      <c r="N1166" s="4">
        <v>16500000</v>
      </c>
      <c r="O1166" s="4">
        <v>17200000</v>
      </c>
      <c r="P1166" s="4">
        <v>16500000</v>
      </c>
      <c r="Q1166" s="4">
        <v>17200000</v>
      </c>
      <c r="R1166" s="4">
        <v>16500000</v>
      </c>
      <c r="S1166" s="4">
        <v>17200000</v>
      </c>
      <c r="T1166" s="4">
        <v>16500000</v>
      </c>
      <c r="U1166" s="4">
        <v>17200000</v>
      </c>
      <c r="V1166" s="4">
        <v>16500000</v>
      </c>
      <c r="W1166" s="4">
        <v>17200000</v>
      </c>
      <c r="X1166" s="4">
        <v>16500000</v>
      </c>
      <c r="Y1166" s="4">
        <v>17200000</v>
      </c>
    </row>
    <row r="1167" spans="1:25" ht="19.5" customHeight="1" x14ac:dyDescent="0.25">
      <c r="A1167" s="2" t="s">
        <v>2918</v>
      </c>
      <c r="B1167" s="2" t="s">
        <v>243</v>
      </c>
      <c r="C1167" s="2" t="s">
        <v>2949</v>
      </c>
      <c r="D1167" s="2" t="s">
        <v>2952</v>
      </c>
      <c r="E1167" s="2" t="s">
        <v>2953</v>
      </c>
      <c r="F1167" s="3">
        <v>5408504.2599999998</v>
      </c>
      <c r="G1167" s="3">
        <v>6543051</v>
      </c>
      <c r="H1167" s="3">
        <v>6730000</v>
      </c>
      <c r="I1167" s="3">
        <v>7050000</v>
      </c>
      <c r="J1167" s="3">
        <v>6730000</v>
      </c>
      <c r="K1167" s="3">
        <v>7050000</v>
      </c>
      <c r="L1167" s="4">
        <v>6730000</v>
      </c>
      <c r="M1167" s="4">
        <v>7050000</v>
      </c>
      <c r="N1167" s="4">
        <v>6730000</v>
      </c>
      <c r="O1167" s="4">
        <v>7050000</v>
      </c>
      <c r="P1167" s="4">
        <v>6730000</v>
      </c>
      <c r="Q1167" s="4">
        <v>7050000</v>
      </c>
      <c r="R1167" s="4">
        <v>6730000</v>
      </c>
      <c r="S1167" s="4">
        <v>7050000</v>
      </c>
      <c r="T1167" s="4">
        <v>6730000</v>
      </c>
      <c r="U1167" s="4">
        <v>7050000</v>
      </c>
      <c r="V1167" s="4">
        <v>6730000</v>
      </c>
      <c r="W1167" s="4">
        <v>7050000</v>
      </c>
      <c r="X1167" s="4">
        <v>6730000</v>
      </c>
      <c r="Y1167" s="4">
        <v>7050000</v>
      </c>
    </row>
    <row r="1168" spans="1:25" ht="19.5" customHeight="1" x14ac:dyDescent="0.25">
      <c r="A1168" s="2" t="s">
        <v>2954</v>
      </c>
      <c r="B1168" s="2" t="s">
        <v>16</v>
      </c>
      <c r="C1168" s="2" t="s">
        <v>2955</v>
      </c>
      <c r="D1168" s="2" t="s">
        <v>2956</v>
      </c>
      <c r="E1168" s="2" t="s">
        <v>22</v>
      </c>
      <c r="F1168" s="3">
        <v>5176277.7699999996</v>
      </c>
      <c r="G1168" s="3">
        <v>5541043</v>
      </c>
      <c r="H1168" s="3">
        <v>5641043</v>
      </c>
      <c r="I1168" s="3">
        <v>5641043</v>
      </c>
      <c r="J1168" s="3">
        <v>5641043</v>
      </c>
      <c r="K1168" s="3">
        <v>5641043</v>
      </c>
      <c r="L1168" s="4">
        <v>5641043</v>
      </c>
      <c r="M1168" s="4">
        <v>5641043</v>
      </c>
      <c r="N1168" s="4">
        <v>5641043</v>
      </c>
      <c r="O1168" s="4">
        <v>5641043</v>
      </c>
      <c r="P1168" s="4">
        <v>5641043</v>
      </c>
      <c r="Q1168" s="4">
        <v>5641043</v>
      </c>
      <c r="R1168" s="4">
        <v>5641043</v>
      </c>
      <c r="S1168" s="4">
        <v>5641043</v>
      </c>
      <c r="T1168" s="4">
        <v>5641043</v>
      </c>
      <c r="U1168" s="4">
        <v>5641043</v>
      </c>
      <c r="V1168" s="4">
        <v>5641043</v>
      </c>
      <c r="W1168" s="4">
        <v>5641043</v>
      </c>
      <c r="X1168" s="4">
        <v>5641043</v>
      </c>
      <c r="Y1168" s="4">
        <v>5641043</v>
      </c>
    </row>
    <row r="1169" spans="1:25" ht="19.5" customHeight="1" x14ac:dyDescent="0.25">
      <c r="A1169" s="2" t="s">
        <v>2957</v>
      </c>
      <c r="B1169" s="2" t="s">
        <v>16</v>
      </c>
      <c r="C1169" s="2" t="s">
        <v>2958</v>
      </c>
      <c r="D1169" s="2" t="s">
        <v>2959</v>
      </c>
      <c r="E1169" s="2" t="s">
        <v>2960</v>
      </c>
      <c r="F1169" s="3">
        <v>30000</v>
      </c>
      <c r="G1169" s="3">
        <v>150000</v>
      </c>
      <c r="H1169" s="3">
        <v>150000</v>
      </c>
      <c r="I1169" s="3">
        <v>150000</v>
      </c>
      <c r="J1169" s="3">
        <v>150000</v>
      </c>
      <c r="K1169" s="3">
        <v>150000</v>
      </c>
      <c r="L1169" s="4">
        <v>150000</v>
      </c>
      <c r="M1169" s="4">
        <v>150000</v>
      </c>
      <c r="N1169" s="4">
        <v>150000</v>
      </c>
      <c r="O1169" s="4">
        <v>150000</v>
      </c>
      <c r="P1169" s="4">
        <v>150000</v>
      </c>
      <c r="Q1169" s="4">
        <v>150000</v>
      </c>
      <c r="R1169" s="4">
        <v>150000</v>
      </c>
      <c r="S1169" s="4">
        <v>150000</v>
      </c>
      <c r="T1169" s="4">
        <v>150000</v>
      </c>
      <c r="U1169" s="4">
        <v>150000</v>
      </c>
      <c r="V1169" s="4">
        <v>150000</v>
      </c>
      <c r="W1169" s="4">
        <v>150000</v>
      </c>
      <c r="X1169" s="4">
        <v>150000</v>
      </c>
      <c r="Y1169" s="4">
        <v>150000</v>
      </c>
    </row>
    <row r="1170" spans="1:25" ht="19.5" customHeight="1" x14ac:dyDescent="0.25">
      <c r="A1170" s="2" t="s">
        <v>2957</v>
      </c>
      <c r="B1170" s="2" t="s">
        <v>16</v>
      </c>
      <c r="C1170" s="2" t="s">
        <v>2961</v>
      </c>
      <c r="D1170" s="2" t="s">
        <v>2962</v>
      </c>
      <c r="E1170" s="2" t="s">
        <v>2963</v>
      </c>
      <c r="F1170" s="3">
        <v>3720</v>
      </c>
      <c r="G1170" s="3">
        <v>10000</v>
      </c>
      <c r="H1170" s="3">
        <v>10000</v>
      </c>
      <c r="I1170" s="3">
        <v>10000</v>
      </c>
      <c r="J1170" s="3">
        <v>10000</v>
      </c>
      <c r="K1170" s="3">
        <v>10000</v>
      </c>
      <c r="L1170" s="4">
        <v>10000</v>
      </c>
      <c r="M1170" s="4">
        <v>10000</v>
      </c>
      <c r="N1170" s="4">
        <v>10000</v>
      </c>
      <c r="O1170" s="4">
        <v>10000</v>
      </c>
      <c r="P1170" s="4">
        <v>10000</v>
      </c>
      <c r="Q1170" s="4">
        <v>10000</v>
      </c>
      <c r="R1170" s="4">
        <v>10000</v>
      </c>
      <c r="S1170" s="4">
        <v>10000</v>
      </c>
      <c r="T1170" s="4">
        <v>10000</v>
      </c>
      <c r="U1170" s="4">
        <v>10000</v>
      </c>
      <c r="V1170" s="4">
        <v>10000</v>
      </c>
      <c r="W1170" s="4">
        <v>10000</v>
      </c>
      <c r="X1170" s="4">
        <v>10000</v>
      </c>
      <c r="Y1170" s="4">
        <v>10000</v>
      </c>
    </row>
    <row r="1171" spans="1:25" ht="19.5" customHeight="1" x14ac:dyDescent="0.25">
      <c r="A1171" s="6" t="s">
        <v>2957</v>
      </c>
      <c r="B1171" s="6" t="s">
        <v>16</v>
      </c>
      <c r="C1171" s="6" t="s">
        <v>2964</v>
      </c>
      <c r="D1171" s="7" t="s">
        <v>2965</v>
      </c>
      <c r="E1171" s="6" t="s">
        <v>2966</v>
      </c>
      <c r="F1171" s="4">
        <v>0</v>
      </c>
      <c r="G1171" s="4">
        <v>0</v>
      </c>
      <c r="H1171" s="4">
        <v>0</v>
      </c>
      <c r="I1171" s="4">
        <v>0</v>
      </c>
      <c r="J1171" s="4">
        <v>400000</v>
      </c>
      <c r="K1171" s="4">
        <v>0</v>
      </c>
      <c r="L1171" s="4">
        <v>400000</v>
      </c>
      <c r="M1171" s="4">
        <v>0</v>
      </c>
      <c r="N1171" s="4">
        <v>400000</v>
      </c>
      <c r="O1171" s="4">
        <v>0</v>
      </c>
      <c r="P1171" s="4">
        <v>0</v>
      </c>
      <c r="Q1171" s="4">
        <v>0</v>
      </c>
      <c r="R1171" s="4">
        <v>0</v>
      </c>
      <c r="S1171" s="4">
        <v>0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</row>
    <row r="1172" spans="1:25" ht="19.5" customHeight="1" x14ac:dyDescent="0.25">
      <c r="A1172" s="2" t="s">
        <v>2957</v>
      </c>
      <c r="B1172" s="2" t="s">
        <v>44</v>
      </c>
      <c r="C1172" s="2" t="s">
        <v>550</v>
      </c>
      <c r="D1172" s="2" t="s">
        <v>2967</v>
      </c>
      <c r="E1172" s="2" t="s">
        <v>2968</v>
      </c>
      <c r="F1172" s="3">
        <v>0</v>
      </c>
      <c r="G1172" s="3">
        <v>1200000</v>
      </c>
      <c r="H1172" s="3">
        <v>0</v>
      </c>
      <c r="I1172" s="3">
        <v>0</v>
      </c>
      <c r="J1172" s="3">
        <v>0</v>
      </c>
      <c r="K1172" s="3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0</v>
      </c>
      <c r="Q1172" s="4">
        <v>0</v>
      </c>
      <c r="R1172" s="4">
        <v>0</v>
      </c>
      <c r="S1172" s="4">
        <v>0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</row>
    <row r="1173" spans="1:25" ht="19.5" customHeight="1" x14ac:dyDescent="0.25">
      <c r="A1173" s="6" t="s">
        <v>2957</v>
      </c>
      <c r="B1173" s="6" t="s">
        <v>54</v>
      </c>
      <c r="C1173" s="6" t="s">
        <v>54</v>
      </c>
      <c r="D1173" s="7" t="s">
        <v>2969</v>
      </c>
      <c r="E1173" s="6" t="s">
        <v>2970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0</v>
      </c>
      <c r="M1173" s="9">
        <v>0</v>
      </c>
      <c r="N1173" s="9">
        <v>0</v>
      </c>
      <c r="O1173" s="9">
        <v>0</v>
      </c>
      <c r="P1173" s="4">
        <v>200000</v>
      </c>
      <c r="Q1173" s="4">
        <v>200000</v>
      </c>
      <c r="R1173" s="4">
        <v>200000</v>
      </c>
      <c r="S1173" s="4">
        <v>200000</v>
      </c>
      <c r="T1173" s="4">
        <v>200000</v>
      </c>
      <c r="U1173" s="4">
        <v>200000</v>
      </c>
      <c r="V1173" s="4">
        <v>200000</v>
      </c>
      <c r="W1173" s="4">
        <v>200000</v>
      </c>
      <c r="X1173" s="4">
        <v>200000</v>
      </c>
      <c r="Y1173" s="4">
        <v>200000</v>
      </c>
    </row>
    <row r="1174" spans="1:25" ht="19.5" customHeight="1" x14ac:dyDescent="0.25">
      <c r="A1174" s="2" t="s">
        <v>2957</v>
      </c>
      <c r="B1174" s="2" t="s">
        <v>54</v>
      </c>
      <c r="C1174" s="2" t="s">
        <v>54</v>
      </c>
      <c r="D1174" s="2" t="s">
        <v>2971</v>
      </c>
      <c r="E1174" s="2" t="s">
        <v>2972</v>
      </c>
      <c r="F1174" s="3">
        <v>5180712</v>
      </c>
      <c r="G1174" s="3">
        <v>4791092</v>
      </c>
      <c r="H1174" s="3">
        <v>5016092</v>
      </c>
      <c r="I1174" s="3">
        <v>5016092</v>
      </c>
      <c r="J1174" s="3">
        <v>5016092</v>
      </c>
      <c r="K1174" s="3">
        <v>5016092</v>
      </c>
      <c r="L1174" s="4">
        <v>5016092</v>
      </c>
      <c r="M1174" s="4">
        <v>5016092</v>
      </c>
      <c r="N1174" s="4">
        <v>5016092</v>
      </c>
      <c r="O1174" s="4">
        <v>5016092</v>
      </c>
      <c r="P1174" s="4">
        <v>5016092</v>
      </c>
      <c r="Q1174" s="4">
        <v>5016092</v>
      </c>
      <c r="R1174" s="4">
        <v>5016092</v>
      </c>
      <c r="S1174" s="4">
        <v>5016092</v>
      </c>
      <c r="T1174" s="4">
        <v>5016092</v>
      </c>
      <c r="U1174" s="4">
        <v>5016092</v>
      </c>
      <c r="V1174" s="4">
        <v>5016092</v>
      </c>
      <c r="W1174" s="4">
        <v>5016092</v>
      </c>
      <c r="X1174" s="4">
        <v>5016092</v>
      </c>
      <c r="Y1174" s="4">
        <v>5016092</v>
      </c>
    </row>
    <row r="1175" spans="1:25" ht="19.5" customHeight="1" x14ac:dyDescent="0.25">
      <c r="A1175" s="2" t="s">
        <v>2957</v>
      </c>
      <c r="B1175" s="2" t="s">
        <v>54</v>
      </c>
      <c r="C1175" s="2" t="s">
        <v>54</v>
      </c>
      <c r="D1175" s="2" t="s">
        <v>2973</v>
      </c>
      <c r="E1175" s="2" t="s">
        <v>2974</v>
      </c>
      <c r="F1175" s="3">
        <v>6707853</v>
      </c>
      <c r="G1175" s="3">
        <v>6298753</v>
      </c>
      <c r="H1175" s="3">
        <v>6532753</v>
      </c>
      <c r="I1175" s="3">
        <v>6532753</v>
      </c>
      <c r="J1175" s="3">
        <v>6532753</v>
      </c>
      <c r="K1175" s="3">
        <v>6532753</v>
      </c>
      <c r="L1175" s="4">
        <v>6532753</v>
      </c>
      <c r="M1175" s="4">
        <v>6532753</v>
      </c>
      <c r="N1175" s="4">
        <v>6532753</v>
      </c>
      <c r="O1175" s="4">
        <v>6532753</v>
      </c>
      <c r="P1175" s="4">
        <v>6532753</v>
      </c>
      <c r="Q1175" s="4">
        <v>6532753</v>
      </c>
      <c r="R1175" s="4">
        <v>7232753</v>
      </c>
      <c r="S1175" s="4">
        <v>6532753</v>
      </c>
      <c r="T1175" s="4">
        <v>7232753</v>
      </c>
      <c r="U1175" s="4">
        <v>6532753</v>
      </c>
      <c r="V1175" s="4">
        <v>7232753</v>
      </c>
      <c r="W1175" s="4">
        <v>6532753</v>
      </c>
      <c r="X1175" s="4">
        <v>7232753</v>
      </c>
      <c r="Y1175" s="4">
        <v>6532753</v>
      </c>
    </row>
    <row r="1176" spans="1:25" ht="19.5" customHeight="1" x14ac:dyDescent="0.25">
      <c r="A1176" s="2" t="s">
        <v>2957</v>
      </c>
      <c r="B1176" s="2" t="s">
        <v>54</v>
      </c>
      <c r="C1176" s="2" t="s">
        <v>54</v>
      </c>
      <c r="D1176" s="2" t="s">
        <v>2975</v>
      </c>
      <c r="E1176" s="2" t="s">
        <v>2976</v>
      </c>
      <c r="F1176" s="3">
        <v>281300</v>
      </c>
      <c r="G1176" s="3">
        <v>261609</v>
      </c>
      <c r="H1176" s="3">
        <v>261609</v>
      </c>
      <c r="I1176" s="3">
        <v>261609</v>
      </c>
      <c r="J1176" s="3">
        <v>261609</v>
      </c>
      <c r="K1176" s="3">
        <v>261609</v>
      </c>
      <c r="L1176" s="4">
        <v>261609</v>
      </c>
      <c r="M1176" s="4">
        <v>261609</v>
      </c>
      <c r="N1176" s="4">
        <v>261609</v>
      </c>
      <c r="O1176" s="4">
        <v>261609</v>
      </c>
      <c r="P1176" s="4">
        <v>261609</v>
      </c>
      <c r="Q1176" s="4">
        <v>261609</v>
      </c>
      <c r="R1176" s="4">
        <v>261609</v>
      </c>
      <c r="S1176" s="4">
        <v>261609</v>
      </c>
      <c r="T1176" s="4">
        <v>261609</v>
      </c>
      <c r="U1176" s="4">
        <v>261609</v>
      </c>
      <c r="V1176" s="4">
        <v>261609</v>
      </c>
      <c r="W1176" s="4">
        <v>261609</v>
      </c>
      <c r="X1176" s="4">
        <v>261609</v>
      </c>
      <c r="Y1176" s="4">
        <v>261609</v>
      </c>
    </row>
    <row r="1177" spans="1:25" ht="19.5" customHeight="1" x14ac:dyDescent="0.25">
      <c r="A1177" s="2" t="s">
        <v>2957</v>
      </c>
      <c r="B1177" s="2" t="s">
        <v>54</v>
      </c>
      <c r="C1177" s="2" t="s">
        <v>54</v>
      </c>
      <c r="D1177" s="2" t="s">
        <v>2977</v>
      </c>
      <c r="E1177" s="2" t="s">
        <v>2978</v>
      </c>
      <c r="F1177" s="3">
        <v>485000</v>
      </c>
      <c r="G1177" s="3">
        <v>451050</v>
      </c>
      <c r="H1177" s="3">
        <v>451050</v>
      </c>
      <c r="I1177" s="3">
        <v>451050</v>
      </c>
      <c r="J1177" s="3">
        <v>536050</v>
      </c>
      <c r="K1177" s="3">
        <v>536050</v>
      </c>
      <c r="L1177" s="4">
        <v>536050</v>
      </c>
      <c r="M1177" s="4">
        <v>536050</v>
      </c>
      <c r="N1177" s="4">
        <v>536050</v>
      </c>
      <c r="O1177" s="4">
        <v>536050</v>
      </c>
      <c r="P1177" s="4">
        <v>536050</v>
      </c>
      <c r="Q1177" s="4">
        <v>536050</v>
      </c>
      <c r="R1177" s="4">
        <v>536050</v>
      </c>
      <c r="S1177" s="4">
        <v>536050</v>
      </c>
      <c r="T1177" s="4">
        <v>536050</v>
      </c>
      <c r="U1177" s="4">
        <v>536050</v>
      </c>
      <c r="V1177" s="4">
        <v>536050</v>
      </c>
      <c r="W1177" s="4">
        <v>536050</v>
      </c>
      <c r="X1177" s="4">
        <v>536050</v>
      </c>
      <c r="Y1177" s="4">
        <v>536050</v>
      </c>
    </row>
    <row r="1178" spans="1:25" ht="19.5" customHeight="1" x14ac:dyDescent="0.25">
      <c r="A1178" s="2" t="s">
        <v>2957</v>
      </c>
      <c r="B1178" s="2" t="s">
        <v>54</v>
      </c>
      <c r="C1178" s="2" t="s">
        <v>54</v>
      </c>
      <c r="D1178" s="2" t="s">
        <v>2979</v>
      </c>
      <c r="E1178" s="2" t="s">
        <v>2980</v>
      </c>
      <c r="F1178" s="3">
        <v>550000</v>
      </c>
      <c r="G1178" s="3">
        <v>511500</v>
      </c>
      <c r="H1178" s="3">
        <v>511500</v>
      </c>
      <c r="I1178" s="3">
        <v>511500</v>
      </c>
      <c r="J1178" s="3">
        <v>572880</v>
      </c>
      <c r="K1178" s="3">
        <v>572880</v>
      </c>
      <c r="L1178" s="4">
        <v>572880</v>
      </c>
      <c r="M1178" s="4">
        <v>572880</v>
      </c>
      <c r="N1178" s="4">
        <v>572880</v>
      </c>
      <c r="O1178" s="4">
        <v>572880</v>
      </c>
      <c r="P1178" s="4">
        <v>572880</v>
      </c>
      <c r="Q1178" s="4">
        <v>572880</v>
      </c>
      <c r="R1178" s="4">
        <v>572880</v>
      </c>
      <c r="S1178" s="4">
        <v>572880</v>
      </c>
      <c r="T1178" s="4">
        <v>572880</v>
      </c>
      <c r="U1178" s="4">
        <v>572880</v>
      </c>
      <c r="V1178" s="4">
        <v>572880</v>
      </c>
      <c r="W1178" s="4">
        <v>572880</v>
      </c>
      <c r="X1178" s="4">
        <v>572880</v>
      </c>
      <c r="Y1178" s="4">
        <v>572880</v>
      </c>
    </row>
    <row r="1179" spans="1:25" ht="19.5" customHeight="1" x14ac:dyDescent="0.25">
      <c r="A1179" s="2" t="s">
        <v>2957</v>
      </c>
      <c r="B1179" s="2" t="s">
        <v>54</v>
      </c>
      <c r="C1179" s="2" t="s">
        <v>54</v>
      </c>
      <c r="D1179" s="2" t="s">
        <v>2981</v>
      </c>
      <c r="E1179" s="2" t="s">
        <v>2982</v>
      </c>
      <c r="F1179" s="3">
        <v>1338500</v>
      </c>
      <c r="G1179" s="3">
        <v>1244805</v>
      </c>
      <c r="H1179" s="3">
        <v>1244805</v>
      </c>
      <c r="I1179" s="3">
        <v>1244805</v>
      </c>
      <c r="J1179" s="3">
        <v>1494805</v>
      </c>
      <c r="K1179" s="3">
        <v>1494805</v>
      </c>
      <c r="L1179" s="4">
        <v>1494805</v>
      </c>
      <c r="M1179" s="4">
        <v>1494805</v>
      </c>
      <c r="N1179" s="4">
        <v>1494805</v>
      </c>
      <c r="O1179" s="4">
        <v>1494805</v>
      </c>
      <c r="P1179" s="4">
        <v>1675000</v>
      </c>
      <c r="Q1179" s="4">
        <v>1635000</v>
      </c>
      <c r="R1179" s="4">
        <v>1675000</v>
      </c>
      <c r="S1179" s="4">
        <v>1635000</v>
      </c>
      <c r="T1179" s="4">
        <v>1675000</v>
      </c>
      <c r="U1179" s="4">
        <v>1635000</v>
      </c>
      <c r="V1179" s="4">
        <v>1675000</v>
      </c>
      <c r="W1179" s="4">
        <v>1635000</v>
      </c>
      <c r="X1179" s="4">
        <v>1675000</v>
      </c>
      <c r="Y1179" s="4">
        <v>1635000</v>
      </c>
    </row>
    <row r="1180" spans="1:25" ht="19.5" customHeight="1" x14ac:dyDescent="0.25">
      <c r="A1180" s="2" t="s">
        <v>2957</v>
      </c>
      <c r="B1180" s="2" t="s">
        <v>54</v>
      </c>
      <c r="C1180" s="2" t="s">
        <v>54</v>
      </c>
      <c r="D1180" s="2" t="s">
        <v>2983</v>
      </c>
      <c r="E1180" s="2" t="s">
        <v>2984</v>
      </c>
      <c r="F1180" s="3">
        <v>155582</v>
      </c>
      <c r="G1180" s="3">
        <v>144692</v>
      </c>
      <c r="H1180" s="3">
        <v>144692</v>
      </c>
      <c r="I1180" s="3">
        <v>144692</v>
      </c>
      <c r="J1180" s="3">
        <v>144692</v>
      </c>
      <c r="K1180" s="3">
        <v>144692</v>
      </c>
      <c r="L1180" s="4">
        <v>144692</v>
      </c>
      <c r="M1180" s="4">
        <v>144692</v>
      </c>
      <c r="N1180" s="4">
        <v>144692</v>
      </c>
      <c r="O1180" s="4">
        <v>144692</v>
      </c>
      <c r="P1180" s="4">
        <v>144692</v>
      </c>
      <c r="Q1180" s="4">
        <v>144692</v>
      </c>
      <c r="R1180" s="4">
        <v>144692</v>
      </c>
      <c r="S1180" s="4">
        <v>144692</v>
      </c>
      <c r="T1180" s="4">
        <v>144692</v>
      </c>
      <c r="U1180" s="4">
        <v>144692</v>
      </c>
      <c r="V1180" s="4">
        <v>144692</v>
      </c>
      <c r="W1180" s="4">
        <v>144692</v>
      </c>
      <c r="X1180" s="4">
        <v>144692</v>
      </c>
      <c r="Y1180" s="4">
        <v>144692</v>
      </c>
    </row>
    <row r="1181" spans="1:25" ht="19.5" customHeight="1" x14ac:dyDescent="0.25">
      <c r="A1181" s="2" t="s">
        <v>2985</v>
      </c>
      <c r="B1181" s="2" t="s">
        <v>16</v>
      </c>
      <c r="C1181" s="2" t="s">
        <v>2986</v>
      </c>
      <c r="D1181" s="2" t="s">
        <v>2987</v>
      </c>
      <c r="E1181" s="2" t="s">
        <v>2988</v>
      </c>
      <c r="F1181" s="3">
        <v>1322025.6399999999</v>
      </c>
      <c r="G1181" s="3">
        <v>1119900</v>
      </c>
      <c r="H1181" s="3">
        <v>1545498</v>
      </c>
      <c r="I1181" s="3">
        <v>1555368</v>
      </c>
      <c r="J1181" s="3">
        <v>1545498</v>
      </c>
      <c r="K1181" s="3">
        <v>1555368</v>
      </c>
      <c r="L1181" s="4">
        <v>1545498</v>
      </c>
      <c r="M1181" s="4">
        <v>1555368</v>
      </c>
      <c r="N1181" s="4">
        <v>1545498</v>
      </c>
      <c r="O1181" s="4">
        <v>1555368</v>
      </c>
      <c r="P1181" s="4">
        <v>1545498</v>
      </c>
      <c r="Q1181" s="4">
        <v>1555368</v>
      </c>
      <c r="R1181" s="4">
        <v>1545498</v>
      </c>
      <c r="S1181" s="4">
        <v>1555368</v>
      </c>
      <c r="T1181" s="4">
        <v>1545498</v>
      </c>
      <c r="U1181" s="4">
        <v>1555368</v>
      </c>
      <c r="V1181" s="4">
        <v>1545498</v>
      </c>
      <c r="W1181" s="4">
        <v>1555368</v>
      </c>
      <c r="X1181" s="4">
        <v>1545498</v>
      </c>
      <c r="Y1181" s="4">
        <v>1555368</v>
      </c>
    </row>
    <row r="1182" spans="1:25" ht="19.5" customHeight="1" x14ac:dyDescent="0.25">
      <c r="A1182" s="2" t="s">
        <v>2985</v>
      </c>
      <c r="B1182" s="2" t="s">
        <v>16</v>
      </c>
      <c r="C1182" s="2" t="s">
        <v>2989</v>
      </c>
      <c r="D1182" s="2" t="s">
        <v>2990</v>
      </c>
      <c r="E1182" s="2" t="s">
        <v>2991</v>
      </c>
      <c r="F1182" s="3">
        <v>7447438.1699999999</v>
      </c>
      <c r="G1182" s="3">
        <v>7582069</v>
      </c>
      <c r="H1182" s="3">
        <v>8000000</v>
      </c>
      <c r="I1182" s="3">
        <v>8000000</v>
      </c>
      <c r="J1182" s="3">
        <v>8000000</v>
      </c>
      <c r="K1182" s="3">
        <v>8000000</v>
      </c>
      <c r="L1182" s="4">
        <v>8000000</v>
      </c>
      <c r="M1182" s="4">
        <v>8000000</v>
      </c>
      <c r="N1182" s="4">
        <v>8000000</v>
      </c>
      <c r="O1182" s="4">
        <v>8000000</v>
      </c>
      <c r="P1182" s="4">
        <v>8000000</v>
      </c>
      <c r="Q1182" s="4">
        <v>8000000</v>
      </c>
      <c r="R1182" s="4">
        <v>8000000</v>
      </c>
      <c r="S1182" s="4">
        <v>8000000</v>
      </c>
      <c r="T1182" s="4">
        <v>8000000</v>
      </c>
      <c r="U1182" s="4">
        <v>8000000</v>
      </c>
      <c r="V1182" s="4">
        <v>8000000</v>
      </c>
      <c r="W1182" s="4">
        <v>8000000</v>
      </c>
      <c r="X1182" s="4">
        <v>8000000</v>
      </c>
      <c r="Y1182" s="4">
        <v>8000000</v>
      </c>
    </row>
    <row r="1183" spans="1:25" ht="19.5" customHeight="1" x14ac:dyDescent="0.25">
      <c r="A1183" s="2" t="s">
        <v>2985</v>
      </c>
      <c r="B1183" s="2" t="s">
        <v>16</v>
      </c>
      <c r="C1183" s="2" t="s">
        <v>2992</v>
      </c>
      <c r="D1183" s="2" t="s">
        <v>2993</v>
      </c>
      <c r="E1183" s="2" t="s">
        <v>2994</v>
      </c>
      <c r="F1183" s="3">
        <v>2645754.44</v>
      </c>
      <c r="G1183" s="3">
        <v>2977759</v>
      </c>
      <c r="H1183" s="3">
        <v>3000000</v>
      </c>
      <c r="I1183" s="3">
        <v>3000000</v>
      </c>
      <c r="J1183" s="3">
        <v>3000000</v>
      </c>
      <c r="K1183" s="3">
        <v>3000000</v>
      </c>
      <c r="L1183" s="4">
        <v>3000000</v>
      </c>
      <c r="M1183" s="4">
        <v>3000000</v>
      </c>
      <c r="N1183" s="4">
        <v>3000000</v>
      </c>
      <c r="O1183" s="4">
        <v>3000000</v>
      </c>
      <c r="P1183" s="4">
        <v>3000000</v>
      </c>
      <c r="Q1183" s="4">
        <v>3000000</v>
      </c>
      <c r="R1183" s="4">
        <v>3000000</v>
      </c>
      <c r="S1183" s="4">
        <v>3000000</v>
      </c>
      <c r="T1183" s="4">
        <v>3000000</v>
      </c>
      <c r="U1183" s="4">
        <v>3000000</v>
      </c>
      <c r="V1183" s="4">
        <v>3000000</v>
      </c>
      <c r="W1183" s="4">
        <v>3000000</v>
      </c>
      <c r="X1183" s="4">
        <v>3000000</v>
      </c>
      <c r="Y1183" s="4">
        <v>3000000</v>
      </c>
    </row>
    <row r="1184" spans="1:25" ht="19.5" customHeight="1" x14ac:dyDescent="0.25">
      <c r="A1184" s="2" t="s">
        <v>2985</v>
      </c>
      <c r="B1184" s="2" t="s">
        <v>44</v>
      </c>
      <c r="C1184" s="2" t="s">
        <v>2995</v>
      </c>
      <c r="D1184" s="2" t="s">
        <v>2996</v>
      </c>
      <c r="E1184" s="2" t="s">
        <v>2997</v>
      </c>
      <c r="F1184" s="3">
        <v>68075224.370000005</v>
      </c>
      <c r="G1184" s="3">
        <v>77669930</v>
      </c>
      <c r="H1184" s="3">
        <v>84246693</v>
      </c>
      <c r="I1184" s="3">
        <v>85518074</v>
      </c>
      <c r="J1184" s="3">
        <v>84246693</v>
      </c>
      <c r="K1184" s="3">
        <v>85518074</v>
      </c>
      <c r="L1184" s="4">
        <v>84246693</v>
      </c>
      <c r="M1184" s="4">
        <v>85518074</v>
      </c>
      <c r="N1184" s="4">
        <v>84246693</v>
      </c>
      <c r="O1184" s="4">
        <v>85518074</v>
      </c>
      <c r="P1184" s="4">
        <v>84246693</v>
      </c>
      <c r="Q1184" s="4">
        <v>85518074</v>
      </c>
      <c r="R1184" s="4">
        <v>84246693</v>
      </c>
      <c r="S1184" s="4">
        <v>85518074</v>
      </c>
      <c r="T1184" s="4">
        <v>84246693</v>
      </c>
      <c r="U1184" s="4">
        <v>85518074</v>
      </c>
      <c r="V1184" s="4">
        <v>84246693</v>
      </c>
      <c r="W1184" s="4">
        <v>85518074</v>
      </c>
      <c r="X1184" s="4">
        <v>84246693</v>
      </c>
      <c r="Y1184" s="4">
        <v>85518074</v>
      </c>
    </row>
    <row r="1185" spans="1:25" ht="19.5" customHeight="1" x14ac:dyDescent="0.25">
      <c r="A1185" s="2" t="s">
        <v>2985</v>
      </c>
      <c r="B1185" s="2" t="s">
        <v>44</v>
      </c>
      <c r="C1185" s="2" t="s">
        <v>2998</v>
      </c>
      <c r="D1185" s="2" t="s">
        <v>2999</v>
      </c>
      <c r="E1185" s="2" t="s">
        <v>3000</v>
      </c>
      <c r="F1185" s="3">
        <v>119515168.72</v>
      </c>
      <c r="G1185" s="3">
        <v>125843151</v>
      </c>
      <c r="H1185" s="3">
        <v>129098355</v>
      </c>
      <c r="I1185" s="3">
        <v>130495615</v>
      </c>
      <c r="J1185" s="3">
        <v>129098355</v>
      </c>
      <c r="K1185" s="3">
        <v>130495615</v>
      </c>
      <c r="L1185" s="4">
        <v>129098355</v>
      </c>
      <c r="M1185" s="4">
        <v>130495615</v>
      </c>
      <c r="N1185" s="4">
        <v>129098355</v>
      </c>
      <c r="O1185" s="4">
        <v>130495615</v>
      </c>
      <c r="P1185" s="4">
        <v>129098355</v>
      </c>
      <c r="Q1185" s="4">
        <v>130495615</v>
      </c>
      <c r="R1185" s="4">
        <v>129098355</v>
      </c>
      <c r="S1185" s="4">
        <v>130495615</v>
      </c>
      <c r="T1185" s="4">
        <v>129098355</v>
      </c>
      <c r="U1185" s="4">
        <v>130495615</v>
      </c>
      <c r="V1185" s="4">
        <v>129098355</v>
      </c>
      <c r="W1185" s="4">
        <v>130495615</v>
      </c>
      <c r="X1185" s="4">
        <v>129098355</v>
      </c>
      <c r="Y1185" s="4">
        <v>130495615</v>
      </c>
    </row>
    <row r="1186" spans="1:25" ht="19.5" customHeight="1" x14ac:dyDescent="0.25">
      <c r="A1186" s="2" t="s">
        <v>2985</v>
      </c>
      <c r="B1186" s="2" t="s">
        <v>44</v>
      </c>
      <c r="C1186" s="2" t="s">
        <v>3001</v>
      </c>
      <c r="D1186" s="2" t="s">
        <v>3002</v>
      </c>
      <c r="E1186" s="2" t="s">
        <v>3003</v>
      </c>
      <c r="F1186" s="3">
        <v>2590658.9900000002</v>
      </c>
      <c r="G1186" s="3">
        <v>2636527</v>
      </c>
      <c r="H1186" s="3">
        <v>3133972</v>
      </c>
      <c r="I1186" s="3">
        <v>3139040</v>
      </c>
      <c r="J1186" s="3">
        <v>3133972</v>
      </c>
      <c r="K1186" s="3">
        <v>3139040</v>
      </c>
      <c r="L1186" s="4">
        <v>3133972</v>
      </c>
      <c r="M1186" s="4">
        <v>3139040</v>
      </c>
      <c r="N1186" s="4">
        <v>3133972</v>
      </c>
      <c r="O1186" s="4">
        <v>3139040</v>
      </c>
      <c r="P1186" s="4">
        <v>3133972</v>
      </c>
      <c r="Q1186" s="4">
        <v>3139040</v>
      </c>
      <c r="R1186" s="4">
        <v>3133972</v>
      </c>
      <c r="S1186" s="4">
        <v>3139040</v>
      </c>
      <c r="T1186" s="4">
        <v>3133972</v>
      </c>
      <c r="U1186" s="4">
        <v>3139040</v>
      </c>
      <c r="V1186" s="4">
        <v>3133972</v>
      </c>
      <c r="W1186" s="4">
        <v>3139040</v>
      </c>
      <c r="X1186" s="4">
        <v>3133972</v>
      </c>
      <c r="Y1186" s="4">
        <v>3139040</v>
      </c>
    </row>
    <row r="1187" spans="1:25" ht="19.5" customHeight="1" x14ac:dyDescent="0.25">
      <c r="A1187" s="2" t="s">
        <v>2985</v>
      </c>
      <c r="B1187" s="2" t="s">
        <v>44</v>
      </c>
      <c r="C1187" s="2" t="s">
        <v>3001</v>
      </c>
      <c r="D1187" s="2" t="s">
        <v>3004</v>
      </c>
      <c r="E1187" s="2" t="s">
        <v>3005</v>
      </c>
      <c r="F1187" s="3">
        <v>780915.49</v>
      </c>
      <c r="G1187" s="3">
        <v>877936</v>
      </c>
      <c r="H1187" s="3">
        <v>950000</v>
      </c>
      <c r="I1187" s="3">
        <v>950000</v>
      </c>
      <c r="J1187" s="3">
        <v>950000</v>
      </c>
      <c r="K1187" s="3">
        <v>950000</v>
      </c>
      <c r="L1187" s="4">
        <v>950000</v>
      </c>
      <c r="M1187" s="4">
        <v>950000</v>
      </c>
      <c r="N1187" s="4">
        <v>950000</v>
      </c>
      <c r="O1187" s="4">
        <v>950000</v>
      </c>
      <c r="P1187" s="4">
        <v>950000</v>
      </c>
      <c r="Q1187" s="4">
        <v>950000</v>
      </c>
      <c r="R1187" s="4">
        <v>950000</v>
      </c>
      <c r="S1187" s="4">
        <v>950000</v>
      </c>
      <c r="T1187" s="4">
        <v>950000</v>
      </c>
      <c r="U1187" s="4">
        <v>950000</v>
      </c>
      <c r="V1187" s="4">
        <v>950000</v>
      </c>
      <c r="W1187" s="4">
        <v>950000</v>
      </c>
      <c r="X1187" s="4">
        <v>950000</v>
      </c>
      <c r="Y1187" s="4">
        <v>950000</v>
      </c>
    </row>
    <row r="1188" spans="1:25" ht="19.5" customHeight="1" x14ac:dyDescent="0.25">
      <c r="A1188" s="2" t="s">
        <v>2985</v>
      </c>
      <c r="B1188" s="2" t="s">
        <v>44</v>
      </c>
      <c r="C1188" s="2" t="s">
        <v>3001</v>
      </c>
      <c r="D1188" s="2" t="s">
        <v>3006</v>
      </c>
      <c r="E1188" s="2" t="s">
        <v>3007</v>
      </c>
      <c r="F1188" s="3">
        <v>539593.34</v>
      </c>
      <c r="G1188" s="3">
        <v>662411</v>
      </c>
      <c r="H1188" s="3">
        <v>737411</v>
      </c>
      <c r="I1188" s="3">
        <v>737411</v>
      </c>
      <c r="J1188" s="3">
        <v>737411</v>
      </c>
      <c r="K1188" s="3">
        <v>737411</v>
      </c>
      <c r="L1188" s="4">
        <v>737411</v>
      </c>
      <c r="M1188" s="4">
        <v>737411</v>
      </c>
      <c r="N1188" s="4">
        <v>737411</v>
      </c>
      <c r="O1188" s="4">
        <v>737411</v>
      </c>
      <c r="P1188" s="4">
        <v>737411</v>
      </c>
      <c r="Q1188" s="4">
        <v>737411</v>
      </c>
      <c r="R1188" s="4">
        <v>737411</v>
      </c>
      <c r="S1188" s="4">
        <v>737411</v>
      </c>
      <c r="T1188" s="4">
        <v>737411</v>
      </c>
      <c r="U1188" s="4">
        <v>737411</v>
      </c>
      <c r="V1188" s="4">
        <v>737411</v>
      </c>
      <c r="W1188" s="4">
        <v>737411</v>
      </c>
      <c r="X1188" s="4">
        <v>737411</v>
      </c>
      <c r="Y1188" s="4">
        <v>737411</v>
      </c>
    </row>
    <row r="1189" spans="1:25" ht="19.5" customHeight="1" x14ac:dyDescent="0.25">
      <c r="A1189" s="2" t="s">
        <v>2985</v>
      </c>
      <c r="B1189" s="2" t="s">
        <v>44</v>
      </c>
      <c r="C1189" s="2" t="s">
        <v>3008</v>
      </c>
      <c r="D1189" s="2" t="s">
        <v>3009</v>
      </c>
      <c r="E1189" s="2" t="s">
        <v>3010</v>
      </c>
      <c r="F1189" s="3">
        <v>8755407.4600000009</v>
      </c>
      <c r="G1189" s="3">
        <v>8301977</v>
      </c>
      <c r="H1189" s="3">
        <v>9100000</v>
      </c>
      <c r="I1189" s="3">
        <v>9100000</v>
      </c>
      <c r="J1189" s="3">
        <v>9100000</v>
      </c>
      <c r="K1189" s="3">
        <v>9100000</v>
      </c>
      <c r="L1189" s="4">
        <v>9100000</v>
      </c>
      <c r="M1189" s="4">
        <v>9100000</v>
      </c>
      <c r="N1189" s="4">
        <v>9100000</v>
      </c>
      <c r="O1189" s="4">
        <v>9100000</v>
      </c>
      <c r="P1189" s="4">
        <v>9100000</v>
      </c>
      <c r="Q1189" s="4">
        <v>9100000</v>
      </c>
      <c r="R1189" s="4">
        <v>9100000</v>
      </c>
      <c r="S1189" s="4">
        <v>9100000</v>
      </c>
      <c r="T1189" s="4">
        <v>9100000</v>
      </c>
      <c r="U1189" s="4">
        <v>9100000</v>
      </c>
      <c r="V1189" s="4">
        <v>9100000</v>
      </c>
      <c r="W1189" s="4">
        <v>9100000</v>
      </c>
      <c r="X1189" s="4">
        <v>9100000</v>
      </c>
      <c r="Y1189" s="4">
        <v>9100000</v>
      </c>
    </row>
    <row r="1190" spans="1:25" ht="19.5" customHeight="1" x14ac:dyDescent="0.25">
      <c r="A1190" s="2" t="s">
        <v>2985</v>
      </c>
      <c r="B1190" s="2" t="s">
        <v>44</v>
      </c>
      <c r="C1190" s="2" t="s">
        <v>3011</v>
      </c>
      <c r="D1190" s="8" t="s">
        <v>3016</v>
      </c>
      <c r="E1190" s="2" t="s">
        <v>3017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4">
        <v>0</v>
      </c>
      <c r="M1190" s="4">
        <v>0</v>
      </c>
      <c r="N1190" s="4">
        <v>0</v>
      </c>
      <c r="O1190" s="4">
        <v>0</v>
      </c>
      <c r="P1190" s="4">
        <v>0</v>
      </c>
      <c r="Q1190" s="4">
        <v>0</v>
      </c>
      <c r="R1190" s="4">
        <v>1031161</v>
      </c>
      <c r="S1190" s="4">
        <v>0</v>
      </c>
      <c r="T1190" s="4">
        <v>1031161</v>
      </c>
      <c r="U1190" s="4">
        <v>0</v>
      </c>
      <c r="V1190" s="4">
        <v>1031161</v>
      </c>
      <c r="W1190" s="4">
        <v>0</v>
      </c>
      <c r="X1190" s="4">
        <v>1031161</v>
      </c>
      <c r="Y1190" s="4">
        <v>0</v>
      </c>
    </row>
    <row r="1191" spans="1:25" ht="19.5" customHeight="1" x14ac:dyDescent="0.25">
      <c r="A1191" s="2" t="s">
        <v>2985</v>
      </c>
      <c r="B1191" s="2" t="s">
        <v>44</v>
      </c>
      <c r="C1191" s="2" t="s">
        <v>3011</v>
      </c>
      <c r="D1191" s="2" t="s">
        <v>3012</v>
      </c>
      <c r="E1191" s="2" t="s">
        <v>3013</v>
      </c>
      <c r="F1191" s="3">
        <v>691153.28</v>
      </c>
      <c r="G1191" s="3">
        <v>850000</v>
      </c>
      <c r="H1191" s="3">
        <v>850000</v>
      </c>
      <c r="I1191" s="3">
        <v>850000</v>
      </c>
      <c r="J1191" s="3">
        <v>850000</v>
      </c>
      <c r="K1191" s="3">
        <v>850000</v>
      </c>
      <c r="L1191" s="4">
        <v>850000</v>
      </c>
      <c r="M1191" s="4">
        <v>850000</v>
      </c>
      <c r="N1191" s="4">
        <v>850000</v>
      </c>
      <c r="O1191" s="4">
        <v>850000</v>
      </c>
      <c r="P1191" s="4">
        <v>850000</v>
      </c>
      <c r="Q1191" s="4">
        <v>850000</v>
      </c>
      <c r="R1191" s="4">
        <v>850000</v>
      </c>
      <c r="S1191" s="4">
        <v>850000</v>
      </c>
      <c r="T1191" s="4">
        <v>850000</v>
      </c>
      <c r="U1191" s="4">
        <v>850000</v>
      </c>
      <c r="V1191" s="4">
        <v>850000</v>
      </c>
      <c r="W1191" s="4">
        <v>850000</v>
      </c>
      <c r="X1191" s="4">
        <v>850000</v>
      </c>
      <c r="Y1191" s="4">
        <v>850000</v>
      </c>
    </row>
    <row r="1192" spans="1:25" ht="19.5" customHeight="1" x14ac:dyDescent="0.25">
      <c r="A1192" s="2" t="s">
        <v>2985</v>
      </c>
      <c r="B1192" s="2" t="s">
        <v>44</v>
      </c>
      <c r="C1192" s="2" t="s">
        <v>3011</v>
      </c>
      <c r="D1192" s="2" t="s">
        <v>3014</v>
      </c>
      <c r="E1192" s="2" t="s">
        <v>3015</v>
      </c>
      <c r="F1192" s="3">
        <v>1331165.58</v>
      </c>
      <c r="G1192" s="3">
        <v>1542241</v>
      </c>
      <c r="H1192" s="3">
        <v>2545971</v>
      </c>
      <c r="I1192" s="3">
        <v>1733658</v>
      </c>
      <c r="J1192" s="3">
        <v>2545971</v>
      </c>
      <c r="K1192" s="3">
        <v>1733658</v>
      </c>
      <c r="L1192" s="4">
        <v>2545971</v>
      </c>
      <c r="M1192" s="4">
        <v>1733658</v>
      </c>
      <c r="N1192" s="4">
        <v>2545971</v>
      </c>
      <c r="O1192" s="4">
        <v>1733658</v>
      </c>
      <c r="P1192" s="4">
        <v>2545971</v>
      </c>
      <c r="Q1192" s="4">
        <v>1733658</v>
      </c>
      <c r="R1192" s="4">
        <v>2545971</v>
      </c>
      <c r="S1192" s="4">
        <v>1733658</v>
      </c>
      <c r="T1192" s="4">
        <v>2545971</v>
      </c>
      <c r="U1192" s="4">
        <v>1733658</v>
      </c>
      <c r="V1192" s="4">
        <v>2545971</v>
      </c>
      <c r="W1192" s="4">
        <v>1733658</v>
      </c>
      <c r="X1192" s="4">
        <v>2545971</v>
      </c>
      <c r="Y1192" s="4">
        <v>1733658</v>
      </c>
    </row>
    <row r="1193" spans="1:25" ht="19.5" customHeight="1" x14ac:dyDescent="0.25">
      <c r="A1193" s="2" t="s">
        <v>2985</v>
      </c>
      <c r="B1193" s="2" t="s">
        <v>54</v>
      </c>
      <c r="C1193" s="2" t="s">
        <v>54</v>
      </c>
      <c r="D1193" s="2" t="s">
        <v>3018</v>
      </c>
      <c r="E1193" s="2" t="s">
        <v>3019</v>
      </c>
      <c r="F1193" s="3">
        <v>237644</v>
      </c>
      <c r="G1193" s="3">
        <v>252000</v>
      </c>
      <c r="H1193" s="3">
        <v>252000</v>
      </c>
      <c r="I1193" s="3">
        <v>252000</v>
      </c>
      <c r="J1193" s="3">
        <v>252000</v>
      </c>
      <c r="K1193" s="3">
        <v>252000</v>
      </c>
      <c r="L1193" s="4">
        <v>252000</v>
      </c>
      <c r="M1193" s="4">
        <v>252000</v>
      </c>
      <c r="N1193" s="4">
        <v>252000</v>
      </c>
      <c r="O1193" s="4">
        <v>252000</v>
      </c>
      <c r="P1193" s="4">
        <v>252000</v>
      </c>
      <c r="Q1193" s="4">
        <v>252000</v>
      </c>
      <c r="R1193" s="4">
        <v>252000</v>
      </c>
      <c r="S1193" s="4">
        <v>252000</v>
      </c>
      <c r="T1193" s="4">
        <v>252000</v>
      </c>
      <c r="U1193" s="4">
        <v>252000</v>
      </c>
      <c r="V1193" s="4">
        <v>252000</v>
      </c>
      <c r="W1193" s="4">
        <v>252000</v>
      </c>
      <c r="X1193" s="4">
        <v>252000</v>
      </c>
      <c r="Y1193" s="4">
        <v>252000</v>
      </c>
    </row>
    <row r="1194" spans="1:25" ht="19.5" customHeight="1" x14ac:dyDescent="0.25">
      <c r="A1194" s="2" t="s">
        <v>2985</v>
      </c>
      <c r="B1194" s="2" t="s">
        <v>54</v>
      </c>
      <c r="C1194" s="2" t="s">
        <v>54</v>
      </c>
      <c r="D1194" s="2" t="s">
        <v>3020</v>
      </c>
      <c r="E1194" s="2" t="s">
        <v>3021</v>
      </c>
      <c r="F1194" s="3">
        <v>25819</v>
      </c>
      <c r="G1194" s="3">
        <v>25819</v>
      </c>
      <c r="H1194" s="3">
        <v>25819</v>
      </c>
      <c r="I1194" s="3">
        <v>25819</v>
      </c>
      <c r="J1194" s="3">
        <v>25819</v>
      </c>
      <c r="K1194" s="3">
        <v>25819</v>
      </c>
      <c r="L1194" s="4">
        <v>25819</v>
      </c>
      <c r="M1194" s="4">
        <v>25819</v>
      </c>
      <c r="N1194" s="4">
        <v>25819</v>
      </c>
      <c r="O1194" s="4">
        <v>25819</v>
      </c>
      <c r="P1194" s="4">
        <v>25819</v>
      </c>
      <c r="Q1194" s="4">
        <v>25819</v>
      </c>
      <c r="R1194" s="4">
        <v>25819</v>
      </c>
      <c r="S1194" s="4">
        <v>25819</v>
      </c>
      <c r="T1194" s="4">
        <v>25819</v>
      </c>
      <c r="U1194" s="4">
        <v>25819</v>
      </c>
      <c r="V1194" s="4">
        <v>25819</v>
      </c>
      <c r="W1194" s="4">
        <v>25819</v>
      </c>
      <c r="X1194" s="4">
        <v>25819</v>
      </c>
      <c r="Y1194" s="4">
        <v>25819</v>
      </c>
    </row>
    <row r="1195" spans="1:25" ht="19.5" customHeight="1" x14ac:dyDescent="0.25">
      <c r="A1195" s="2" t="s">
        <v>2985</v>
      </c>
      <c r="B1195" s="2" t="s">
        <v>54</v>
      </c>
      <c r="C1195" s="2" t="s">
        <v>54</v>
      </c>
      <c r="D1195" s="2" t="s">
        <v>3022</v>
      </c>
      <c r="E1195" s="2" t="s">
        <v>3023</v>
      </c>
      <c r="F1195" s="3">
        <v>126567</v>
      </c>
      <c r="G1195" s="3">
        <v>126567</v>
      </c>
      <c r="H1195" s="3">
        <v>126567</v>
      </c>
      <c r="I1195" s="3">
        <v>126567</v>
      </c>
      <c r="J1195" s="3">
        <v>550000</v>
      </c>
      <c r="K1195" s="3">
        <v>550000</v>
      </c>
      <c r="L1195" s="4">
        <v>550000</v>
      </c>
      <c r="M1195" s="4">
        <v>550000</v>
      </c>
      <c r="N1195" s="4">
        <v>550000</v>
      </c>
      <c r="O1195" s="4">
        <v>550000</v>
      </c>
      <c r="P1195" s="4">
        <v>550000</v>
      </c>
      <c r="Q1195" s="4">
        <v>550000</v>
      </c>
      <c r="R1195" s="4">
        <v>550000</v>
      </c>
      <c r="S1195" s="4">
        <v>550000</v>
      </c>
      <c r="T1195" s="4">
        <v>550000</v>
      </c>
      <c r="U1195" s="4">
        <v>550000</v>
      </c>
      <c r="V1195" s="4">
        <v>550000</v>
      </c>
      <c r="W1195" s="4">
        <v>550000</v>
      </c>
      <c r="X1195" s="4">
        <v>550000</v>
      </c>
      <c r="Y1195" s="4">
        <v>550000</v>
      </c>
    </row>
    <row r="1196" spans="1:25" ht="19.5" customHeight="1" x14ac:dyDescent="0.25">
      <c r="A1196" s="2" t="s">
        <v>2985</v>
      </c>
      <c r="B1196" s="2" t="s">
        <v>54</v>
      </c>
      <c r="C1196" s="2" t="s">
        <v>54</v>
      </c>
      <c r="D1196" s="2" t="s">
        <v>3024</v>
      </c>
      <c r="E1196" s="2" t="s">
        <v>3025</v>
      </c>
      <c r="F1196" s="3">
        <v>16998426</v>
      </c>
      <c r="G1196" s="3">
        <v>18418244</v>
      </c>
      <c r="H1196" s="3">
        <v>18418244</v>
      </c>
      <c r="I1196" s="3">
        <v>18418244</v>
      </c>
      <c r="J1196" s="3">
        <v>18418244</v>
      </c>
      <c r="K1196" s="3">
        <v>18418244</v>
      </c>
      <c r="L1196" s="4">
        <v>18418244</v>
      </c>
      <c r="M1196" s="4">
        <v>18418244</v>
      </c>
      <c r="N1196" s="4">
        <v>18418244</v>
      </c>
      <c r="O1196" s="4">
        <v>18418244</v>
      </c>
      <c r="P1196" s="4">
        <v>18418244</v>
      </c>
      <c r="Q1196" s="4">
        <v>18418244</v>
      </c>
      <c r="R1196" s="4">
        <v>18418244</v>
      </c>
      <c r="S1196" s="4">
        <v>18418244</v>
      </c>
      <c r="T1196" s="4">
        <v>18418244</v>
      </c>
      <c r="U1196" s="4">
        <v>18418244</v>
      </c>
      <c r="V1196" s="4">
        <v>18418244</v>
      </c>
      <c r="W1196" s="4">
        <v>18418244</v>
      </c>
      <c r="X1196" s="4">
        <v>18418244</v>
      </c>
      <c r="Y1196" s="4">
        <v>18418244</v>
      </c>
    </row>
    <row r="1197" spans="1:25" ht="19.5" customHeight="1" x14ac:dyDescent="0.25">
      <c r="A1197" s="2" t="s">
        <v>2985</v>
      </c>
      <c r="B1197" s="2" t="s">
        <v>54</v>
      </c>
      <c r="C1197" s="2" t="s">
        <v>54</v>
      </c>
      <c r="D1197" s="2" t="s">
        <v>3026</v>
      </c>
      <c r="E1197" s="2" t="s">
        <v>3027</v>
      </c>
      <c r="F1197" s="3">
        <v>27580</v>
      </c>
      <c r="G1197" s="3">
        <v>27580</v>
      </c>
      <c r="H1197" s="3">
        <v>27580</v>
      </c>
      <c r="I1197" s="3">
        <v>27580</v>
      </c>
      <c r="J1197" s="3">
        <v>27580</v>
      </c>
      <c r="K1197" s="3">
        <v>27580</v>
      </c>
      <c r="L1197" s="4">
        <v>27580</v>
      </c>
      <c r="M1197" s="4">
        <v>27580</v>
      </c>
      <c r="N1197" s="4">
        <v>27580</v>
      </c>
      <c r="O1197" s="4">
        <v>27580</v>
      </c>
      <c r="P1197" s="4">
        <v>27580</v>
      </c>
      <c r="Q1197" s="4">
        <v>27580</v>
      </c>
      <c r="R1197" s="4">
        <v>27580</v>
      </c>
      <c r="S1197" s="4">
        <v>27580</v>
      </c>
      <c r="T1197" s="4">
        <v>27580</v>
      </c>
      <c r="U1197" s="4">
        <v>27580</v>
      </c>
      <c r="V1197" s="4">
        <v>27580</v>
      </c>
      <c r="W1197" s="4">
        <v>27580</v>
      </c>
      <c r="X1197" s="4">
        <v>27580</v>
      </c>
      <c r="Y1197" s="4">
        <v>27580</v>
      </c>
    </row>
    <row r="1198" spans="1:25" ht="19.5" customHeight="1" x14ac:dyDescent="0.25">
      <c r="A1198" s="2" t="s">
        <v>2985</v>
      </c>
      <c r="B1198" s="2" t="s">
        <v>54</v>
      </c>
      <c r="C1198" s="2" t="s">
        <v>54</v>
      </c>
      <c r="D1198" s="2" t="s">
        <v>3028</v>
      </c>
      <c r="E1198" s="2" t="s">
        <v>3029</v>
      </c>
      <c r="F1198" s="3">
        <v>317249.32</v>
      </c>
      <c r="G1198" s="3">
        <v>360000</v>
      </c>
      <c r="H1198" s="3">
        <v>450000</v>
      </c>
      <c r="I1198" s="3">
        <v>450000</v>
      </c>
      <c r="J1198" s="3">
        <v>450000</v>
      </c>
      <c r="K1198" s="3">
        <v>450000</v>
      </c>
      <c r="L1198" s="4">
        <v>450000</v>
      </c>
      <c r="M1198" s="4">
        <v>450000</v>
      </c>
      <c r="N1198" s="4">
        <v>450000</v>
      </c>
      <c r="O1198" s="4">
        <v>450000</v>
      </c>
      <c r="P1198" s="4">
        <v>500000</v>
      </c>
      <c r="Q1198" s="4">
        <v>500000</v>
      </c>
      <c r="R1198" s="4">
        <v>500000</v>
      </c>
      <c r="S1198" s="4">
        <v>500000</v>
      </c>
      <c r="T1198" s="4">
        <v>500000</v>
      </c>
      <c r="U1198" s="4">
        <v>500000</v>
      </c>
      <c r="V1198" s="4">
        <v>500000</v>
      </c>
      <c r="W1198" s="4">
        <v>500000</v>
      </c>
      <c r="X1198" s="4">
        <v>500000</v>
      </c>
      <c r="Y1198" s="4">
        <v>500000</v>
      </c>
    </row>
    <row r="1199" spans="1:25" ht="19.5" customHeight="1" x14ac:dyDescent="0.25">
      <c r="A1199" s="2" t="s">
        <v>2985</v>
      </c>
      <c r="B1199" s="2" t="s">
        <v>54</v>
      </c>
      <c r="C1199" s="2" t="s">
        <v>54</v>
      </c>
      <c r="D1199" s="2" t="s">
        <v>3030</v>
      </c>
      <c r="E1199" s="2" t="s">
        <v>3031</v>
      </c>
      <c r="F1199" s="3">
        <v>50000</v>
      </c>
      <c r="G1199" s="3">
        <v>50000</v>
      </c>
      <c r="H1199" s="3">
        <v>50000</v>
      </c>
      <c r="I1199" s="3">
        <v>50000</v>
      </c>
      <c r="J1199" s="3">
        <v>50000</v>
      </c>
      <c r="K1199" s="3">
        <v>50000</v>
      </c>
      <c r="L1199" s="4">
        <v>50000</v>
      </c>
      <c r="M1199" s="4">
        <v>50000</v>
      </c>
      <c r="N1199" s="4">
        <v>50000</v>
      </c>
      <c r="O1199" s="4">
        <v>50000</v>
      </c>
      <c r="P1199" s="4">
        <v>50000</v>
      </c>
      <c r="Q1199" s="4">
        <v>50000</v>
      </c>
      <c r="R1199" s="4">
        <v>50000</v>
      </c>
      <c r="S1199" s="4">
        <v>50000</v>
      </c>
      <c r="T1199" s="4">
        <v>50000</v>
      </c>
      <c r="U1199" s="4">
        <v>50000</v>
      </c>
      <c r="V1199" s="4">
        <v>50000</v>
      </c>
      <c r="W1199" s="4">
        <v>50000</v>
      </c>
      <c r="X1199" s="4">
        <v>50000</v>
      </c>
      <c r="Y1199" s="4">
        <v>50000</v>
      </c>
    </row>
    <row r="1200" spans="1:25" ht="19.5" customHeight="1" x14ac:dyDescent="0.25">
      <c r="A1200" s="2" t="s">
        <v>2985</v>
      </c>
      <c r="B1200" s="2" t="s">
        <v>243</v>
      </c>
      <c r="C1200" s="2" t="s">
        <v>3032</v>
      </c>
      <c r="D1200" s="2" t="s">
        <v>3033</v>
      </c>
      <c r="E1200" s="2" t="s">
        <v>3034</v>
      </c>
      <c r="F1200" s="3">
        <v>14698928.41</v>
      </c>
      <c r="G1200" s="3">
        <v>15022800</v>
      </c>
      <c r="H1200" s="3">
        <v>15865315</v>
      </c>
      <c r="I1200" s="3">
        <v>16138415</v>
      </c>
      <c r="J1200" s="3">
        <v>15865315</v>
      </c>
      <c r="K1200" s="3">
        <v>16138415</v>
      </c>
      <c r="L1200" s="4">
        <v>15865315</v>
      </c>
      <c r="M1200" s="4">
        <v>16138415</v>
      </c>
      <c r="N1200" s="4">
        <v>15865315</v>
      </c>
      <c r="O1200" s="4">
        <v>16138415</v>
      </c>
      <c r="P1200" s="4">
        <v>15865315</v>
      </c>
      <c r="Q1200" s="4">
        <v>16138415</v>
      </c>
      <c r="R1200" s="4">
        <v>15865315</v>
      </c>
      <c r="S1200" s="4">
        <v>16138415</v>
      </c>
      <c r="T1200" s="4">
        <v>15865315</v>
      </c>
      <c r="U1200" s="4">
        <v>16138415</v>
      </c>
      <c r="V1200" s="4">
        <v>15865315</v>
      </c>
      <c r="W1200" s="4">
        <v>16138415</v>
      </c>
      <c r="X1200" s="4">
        <v>15865315</v>
      </c>
      <c r="Y1200" s="4">
        <v>16138415</v>
      </c>
    </row>
    <row r="1201" spans="1:25" ht="19.5" customHeight="1" x14ac:dyDescent="0.25">
      <c r="A1201" s="2" t="s">
        <v>3035</v>
      </c>
      <c r="B1201" s="2" t="s">
        <v>16</v>
      </c>
      <c r="C1201" s="2" t="s">
        <v>3036</v>
      </c>
      <c r="D1201" s="2" t="s">
        <v>3037</v>
      </c>
      <c r="E1201" s="2" t="s">
        <v>3038</v>
      </c>
      <c r="F1201" s="3">
        <v>76837.5</v>
      </c>
      <c r="G1201" s="3">
        <v>200000</v>
      </c>
      <c r="H1201" s="3">
        <v>200000</v>
      </c>
      <c r="I1201" s="3">
        <v>200000</v>
      </c>
      <c r="J1201" s="3">
        <v>200000</v>
      </c>
      <c r="K1201" s="3">
        <v>200000</v>
      </c>
      <c r="L1201" s="4">
        <v>200000</v>
      </c>
      <c r="M1201" s="4">
        <v>200000</v>
      </c>
      <c r="N1201" s="4">
        <v>200000</v>
      </c>
      <c r="O1201" s="4">
        <v>200000</v>
      </c>
      <c r="P1201" s="4">
        <v>200000</v>
      </c>
      <c r="Q1201" s="4">
        <v>200000</v>
      </c>
      <c r="R1201" s="4">
        <v>200000</v>
      </c>
      <c r="S1201" s="4">
        <v>200000</v>
      </c>
      <c r="T1201" s="4">
        <v>200000</v>
      </c>
      <c r="U1201" s="4">
        <v>200000</v>
      </c>
      <c r="V1201" s="4">
        <v>200000</v>
      </c>
      <c r="W1201" s="4">
        <v>200000</v>
      </c>
      <c r="X1201" s="4">
        <v>200000</v>
      </c>
      <c r="Y1201" s="4">
        <v>200000</v>
      </c>
    </row>
    <row r="1202" spans="1:25" ht="19.5" customHeight="1" x14ac:dyDescent="0.25">
      <c r="A1202" s="2" t="s">
        <v>3035</v>
      </c>
      <c r="B1202" s="2" t="s">
        <v>16</v>
      </c>
      <c r="C1202" s="2" t="s">
        <v>3039</v>
      </c>
      <c r="D1202" s="2" t="s">
        <v>3040</v>
      </c>
      <c r="E1202" s="2" t="s">
        <v>3041</v>
      </c>
      <c r="F1202" s="3">
        <v>145638.38</v>
      </c>
      <c r="G1202" s="3">
        <v>300000</v>
      </c>
      <c r="H1202" s="3">
        <v>300000</v>
      </c>
      <c r="I1202" s="3">
        <v>300000</v>
      </c>
      <c r="J1202" s="3">
        <v>300000</v>
      </c>
      <c r="K1202" s="3">
        <v>300000</v>
      </c>
      <c r="L1202" s="4">
        <v>300000</v>
      </c>
      <c r="M1202" s="4">
        <v>300000</v>
      </c>
      <c r="N1202" s="4">
        <v>300000</v>
      </c>
      <c r="O1202" s="4">
        <v>300000</v>
      </c>
      <c r="P1202" s="4">
        <v>300000</v>
      </c>
      <c r="Q1202" s="4">
        <v>300000</v>
      </c>
      <c r="R1202" s="4">
        <v>300000</v>
      </c>
      <c r="S1202" s="4">
        <v>300000</v>
      </c>
      <c r="T1202" s="4">
        <v>300000</v>
      </c>
      <c r="U1202" s="4">
        <v>300000</v>
      </c>
      <c r="V1202" s="4">
        <v>300000</v>
      </c>
      <c r="W1202" s="4">
        <v>300000</v>
      </c>
      <c r="X1202" s="4">
        <v>300000</v>
      </c>
      <c r="Y1202" s="4">
        <v>300000</v>
      </c>
    </row>
    <row r="1203" spans="1:25" ht="19.5" customHeight="1" x14ac:dyDescent="0.25">
      <c r="A1203" s="2" t="s">
        <v>3035</v>
      </c>
      <c r="B1203" s="2" t="s">
        <v>16</v>
      </c>
      <c r="C1203" s="2" t="s">
        <v>3042</v>
      </c>
      <c r="D1203" s="2" t="s">
        <v>3043</v>
      </c>
      <c r="E1203" s="2" t="s">
        <v>3044</v>
      </c>
      <c r="F1203" s="4">
        <v>9357.7999999999993</v>
      </c>
      <c r="G1203" s="3">
        <v>10500</v>
      </c>
      <c r="H1203" s="3">
        <v>10500</v>
      </c>
      <c r="I1203" s="3">
        <v>10500</v>
      </c>
      <c r="J1203" s="3">
        <v>10500</v>
      </c>
      <c r="K1203" s="3">
        <v>10500</v>
      </c>
      <c r="L1203" s="4">
        <v>10500</v>
      </c>
      <c r="M1203" s="4">
        <v>10500</v>
      </c>
      <c r="N1203" s="4">
        <v>10500</v>
      </c>
      <c r="O1203" s="4">
        <v>10500</v>
      </c>
      <c r="P1203" s="4">
        <v>10500</v>
      </c>
      <c r="Q1203" s="4">
        <v>10500</v>
      </c>
      <c r="R1203" s="4">
        <v>10500</v>
      </c>
      <c r="S1203" s="4">
        <v>10500</v>
      </c>
      <c r="T1203" s="4">
        <v>10500</v>
      </c>
      <c r="U1203" s="4">
        <v>10500</v>
      </c>
      <c r="V1203" s="4">
        <v>10500</v>
      </c>
      <c r="W1203" s="4">
        <v>10500</v>
      </c>
      <c r="X1203" s="4">
        <v>10500</v>
      </c>
      <c r="Y1203" s="4">
        <v>10500</v>
      </c>
    </row>
    <row r="1204" spans="1:25" ht="19.5" customHeight="1" x14ac:dyDescent="0.25">
      <c r="A1204" s="2" t="s">
        <v>3035</v>
      </c>
      <c r="B1204" s="2" t="s">
        <v>44</v>
      </c>
      <c r="C1204" s="2" t="s">
        <v>3045</v>
      </c>
      <c r="D1204" s="2" t="s">
        <v>3046</v>
      </c>
      <c r="E1204" s="2" t="s">
        <v>1819</v>
      </c>
      <c r="F1204" s="3">
        <v>554648.06000000006</v>
      </c>
      <c r="G1204" s="3">
        <v>1278500</v>
      </c>
      <c r="H1204" s="3">
        <v>842850</v>
      </c>
      <c r="I1204" s="3">
        <v>842850</v>
      </c>
      <c r="J1204" s="3">
        <v>842850</v>
      </c>
      <c r="K1204" s="3">
        <v>842850</v>
      </c>
      <c r="L1204" s="4">
        <v>842850</v>
      </c>
      <c r="M1204" s="4">
        <v>842850</v>
      </c>
      <c r="N1204" s="4">
        <v>842850</v>
      </c>
      <c r="O1204" s="4">
        <v>842850</v>
      </c>
      <c r="P1204" s="4">
        <v>842850</v>
      </c>
      <c r="Q1204" s="4">
        <v>842850</v>
      </c>
      <c r="R1204" s="4">
        <v>842850</v>
      </c>
      <c r="S1204" s="4">
        <v>842850</v>
      </c>
      <c r="T1204" s="4">
        <v>842850</v>
      </c>
      <c r="U1204" s="4">
        <v>842850</v>
      </c>
      <c r="V1204" s="4">
        <v>842850</v>
      </c>
      <c r="W1204" s="4">
        <v>842850</v>
      </c>
      <c r="X1204" s="4">
        <v>842850</v>
      </c>
      <c r="Y1204" s="4">
        <v>842850</v>
      </c>
    </row>
    <row r="1205" spans="1:25" ht="19.5" customHeight="1" x14ac:dyDescent="0.25">
      <c r="A1205" s="2" t="s">
        <v>3035</v>
      </c>
      <c r="B1205" s="2" t="s">
        <v>44</v>
      </c>
      <c r="C1205" s="2" t="s">
        <v>3047</v>
      </c>
      <c r="D1205" s="2" t="s">
        <v>3048</v>
      </c>
      <c r="E1205" s="2" t="s">
        <v>3049</v>
      </c>
      <c r="F1205" s="3">
        <v>4068</v>
      </c>
      <c r="G1205" s="3">
        <v>265000</v>
      </c>
      <c r="H1205" s="3">
        <v>265000</v>
      </c>
      <c r="I1205" s="3">
        <v>265000</v>
      </c>
      <c r="J1205" s="3">
        <v>265000</v>
      </c>
      <c r="K1205" s="3">
        <v>265000</v>
      </c>
      <c r="L1205" s="4">
        <v>265000</v>
      </c>
      <c r="M1205" s="4">
        <v>265000</v>
      </c>
      <c r="N1205" s="4">
        <v>265000</v>
      </c>
      <c r="O1205" s="4">
        <v>265000</v>
      </c>
      <c r="P1205" s="4">
        <v>265000</v>
      </c>
      <c r="Q1205" s="4">
        <v>265000</v>
      </c>
      <c r="R1205" s="4">
        <v>265000</v>
      </c>
      <c r="S1205" s="4">
        <v>265000</v>
      </c>
      <c r="T1205" s="4">
        <v>265000</v>
      </c>
      <c r="U1205" s="4">
        <v>265000</v>
      </c>
      <c r="V1205" s="4">
        <v>265000</v>
      </c>
      <c r="W1205" s="4">
        <v>265000</v>
      </c>
      <c r="X1205" s="4">
        <v>265000</v>
      </c>
      <c r="Y1205" s="4">
        <v>265000</v>
      </c>
    </row>
    <row r="1206" spans="1:25" ht="19.5" customHeight="1" x14ac:dyDescent="0.25">
      <c r="A1206" s="2" t="s">
        <v>3035</v>
      </c>
      <c r="B1206" s="2" t="s">
        <v>44</v>
      </c>
      <c r="C1206" s="2" t="s">
        <v>3050</v>
      </c>
      <c r="D1206" s="2" t="s">
        <v>3051</v>
      </c>
      <c r="E1206" s="2" t="s">
        <v>3052</v>
      </c>
      <c r="F1206" s="3">
        <v>5055.63</v>
      </c>
      <c r="G1206" s="3">
        <v>100000</v>
      </c>
      <c r="H1206" s="3">
        <v>100000</v>
      </c>
      <c r="I1206" s="3">
        <v>100000</v>
      </c>
      <c r="J1206" s="3">
        <v>100000</v>
      </c>
      <c r="K1206" s="3">
        <v>100000</v>
      </c>
      <c r="L1206" s="4">
        <v>100000</v>
      </c>
      <c r="M1206" s="4">
        <v>100000</v>
      </c>
      <c r="N1206" s="4">
        <v>100000</v>
      </c>
      <c r="O1206" s="4">
        <v>100000</v>
      </c>
      <c r="P1206" s="4">
        <v>100000</v>
      </c>
      <c r="Q1206" s="4">
        <v>100000</v>
      </c>
      <c r="R1206" s="4">
        <v>100000</v>
      </c>
      <c r="S1206" s="4">
        <v>100000</v>
      </c>
      <c r="T1206" s="4">
        <v>100000</v>
      </c>
      <c r="U1206" s="4">
        <v>100000</v>
      </c>
      <c r="V1206" s="4">
        <v>100000</v>
      </c>
      <c r="W1206" s="4">
        <v>100000</v>
      </c>
      <c r="X1206" s="4">
        <v>100000</v>
      </c>
      <c r="Y1206" s="4">
        <v>100000</v>
      </c>
    </row>
    <row r="1207" spans="1:25" ht="19.5" customHeight="1" x14ac:dyDescent="0.25">
      <c r="A1207" s="2" t="s">
        <v>3035</v>
      </c>
      <c r="B1207" s="2" t="s">
        <v>54</v>
      </c>
      <c r="C1207" s="2" t="s">
        <v>54</v>
      </c>
      <c r="D1207" s="2" t="s">
        <v>3053</v>
      </c>
      <c r="E1207" s="2" t="s">
        <v>3054</v>
      </c>
      <c r="F1207" s="3">
        <v>11404645.029999999</v>
      </c>
      <c r="G1207" s="3">
        <v>12110773</v>
      </c>
      <c r="H1207" s="3">
        <v>12599774</v>
      </c>
      <c r="I1207" s="3">
        <v>12801135</v>
      </c>
      <c r="J1207" s="3">
        <v>12599774</v>
      </c>
      <c r="K1207" s="3">
        <v>12801135</v>
      </c>
      <c r="L1207" s="4">
        <v>12599774</v>
      </c>
      <c r="M1207" s="4">
        <v>12801135</v>
      </c>
      <c r="N1207" s="4">
        <v>12599774</v>
      </c>
      <c r="O1207" s="4">
        <v>12801135</v>
      </c>
      <c r="P1207" s="4">
        <v>12599774</v>
      </c>
      <c r="Q1207" s="4">
        <v>12801135</v>
      </c>
      <c r="R1207" s="4">
        <v>12599774</v>
      </c>
      <c r="S1207" s="4">
        <v>12801135</v>
      </c>
      <c r="T1207" s="4">
        <v>12599774</v>
      </c>
      <c r="U1207" s="4">
        <v>12801135</v>
      </c>
      <c r="V1207" s="4">
        <v>12599774</v>
      </c>
      <c r="W1207" s="4">
        <v>12801135</v>
      </c>
      <c r="X1207" s="4">
        <v>12599774</v>
      </c>
      <c r="Y1207" s="4">
        <v>12801135</v>
      </c>
    </row>
    <row r="1208" spans="1:25" ht="19.5" customHeight="1" x14ac:dyDescent="0.25">
      <c r="A1208" s="2" t="s">
        <v>3055</v>
      </c>
      <c r="B1208" s="2" t="s">
        <v>16</v>
      </c>
      <c r="C1208" s="2" t="s">
        <v>3056</v>
      </c>
      <c r="D1208" s="2" t="s">
        <v>3057</v>
      </c>
      <c r="E1208" s="2" t="s">
        <v>3058</v>
      </c>
      <c r="F1208" s="3">
        <v>42688.4</v>
      </c>
      <c r="G1208" s="3">
        <v>101000</v>
      </c>
      <c r="H1208" s="3">
        <v>200000</v>
      </c>
      <c r="I1208" s="3">
        <v>200000</v>
      </c>
      <c r="J1208" s="3">
        <v>200000</v>
      </c>
      <c r="K1208" s="3">
        <v>200000</v>
      </c>
      <c r="L1208" s="4">
        <v>200000</v>
      </c>
      <c r="M1208" s="4">
        <v>200000</v>
      </c>
      <c r="N1208" s="4">
        <v>200000</v>
      </c>
      <c r="O1208" s="4">
        <v>200000</v>
      </c>
      <c r="P1208" s="4">
        <v>200000</v>
      </c>
      <c r="Q1208" s="4">
        <v>200000</v>
      </c>
      <c r="R1208" s="4">
        <v>200000</v>
      </c>
      <c r="S1208" s="4">
        <v>200000</v>
      </c>
      <c r="T1208" s="4">
        <v>200000</v>
      </c>
      <c r="U1208" s="4">
        <v>200000</v>
      </c>
      <c r="V1208" s="4">
        <v>200000</v>
      </c>
      <c r="W1208" s="4">
        <v>200000</v>
      </c>
      <c r="X1208" s="4">
        <v>200000</v>
      </c>
      <c r="Y1208" s="4">
        <v>200000</v>
      </c>
    </row>
    <row r="1209" spans="1:25" ht="19.5" customHeight="1" x14ac:dyDescent="0.25">
      <c r="A1209" s="2" t="s">
        <v>3055</v>
      </c>
      <c r="B1209" s="2" t="s">
        <v>16</v>
      </c>
      <c r="C1209" s="2" t="s">
        <v>3059</v>
      </c>
      <c r="D1209" s="2" t="s">
        <v>3060</v>
      </c>
      <c r="E1209" s="2" t="s">
        <v>3038</v>
      </c>
      <c r="F1209" s="3">
        <v>38668.410000000003</v>
      </c>
      <c r="G1209" s="3">
        <v>200000</v>
      </c>
      <c r="H1209" s="3">
        <v>210000</v>
      </c>
      <c r="I1209" s="3">
        <v>210000</v>
      </c>
      <c r="J1209" s="3">
        <v>210000</v>
      </c>
      <c r="K1209" s="3">
        <v>210000</v>
      </c>
      <c r="L1209" s="4">
        <v>210000</v>
      </c>
      <c r="M1209" s="4">
        <v>210000</v>
      </c>
      <c r="N1209" s="4">
        <v>210000</v>
      </c>
      <c r="O1209" s="4">
        <v>210000</v>
      </c>
      <c r="P1209" s="4">
        <v>210000</v>
      </c>
      <c r="Q1209" s="4">
        <v>210000</v>
      </c>
      <c r="R1209" s="4">
        <v>210000</v>
      </c>
      <c r="S1209" s="4">
        <v>210000</v>
      </c>
      <c r="T1209" s="4">
        <v>210000</v>
      </c>
      <c r="U1209" s="4">
        <v>210000</v>
      </c>
      <c r="V1209" s="4">
        <v>210000</v>
      </c>
      <c r="W1209" s="4">
        <v>210000</v>
      </c>
      <c r="X1209" s="4">
        <v>210000</v>
      </c>
      <c r="Y1209" s="4">
        <v>210000</v>
      </c>
    </row>
    <row r="1210" spans="1:25" ht="19.5" customHeight="1" x14ac:dyDescent="0.25">
      <c r="A1210" s="2" t="s">
        <v>3055</v>
      </c>
      <c r="B1210" s="2" t="s">
        <v>16</v>
      </c>
      <c r="C1210" s="2" t="s">
        <v>3061</v>
      </c>
      <c r="D1210" s="2" t="s">
        <v>3062</v>
      </c>
      <c r="E1210" s="2" t="s">
        <v>3063</v>
      </c>
      <c r="F1210" s="3">
        <v>0</v>
      </c>
      <c r="G1210" s="3">
        <v>63000</v>
      </c>
      <c r="H1210" s="3">
        <v>53000</v>
      </c>
      <c r="I1210" s="3">
        <v>53000</v>
      </c>
      <c r="J1210" s="3">
        <v>53000</v>
      </c>
      <c r="K1210" s="3">
        <v>53000</v>
      </c>
      <c r="L1210" s="4">
        <v>53000</v>
      </c>
      <c r="M1210" s="4">
        <v>53000</v>
      </c>
      <c r="N1210" s="4">
        <v>53000</v>
      </c>
      <c r="O1210" s="4">
        <v>53000</v>
      </c>
      <c r="P1210" s="4">
        <v>53000</v>
      </c>
      <c r="Q1210" s="4">
        <v>53000</v>
      </c>
      <c r="R1210" s="4">
        <v>53000</v>
      </c>
      <c r="S1210" s="4">
        <v>53000</v>
      </c>
      <c r="T1210" s="4">
        <v>53000</v>
      </c>
      <c r="U1210" s="4">
        <v>53000</v>
      </c>
      <c r="V1210" s="4">
        <v>53000</v>
      </c>
      <c r="W1210" s="4">
        <v>53000</v>
      </c>
      <c r="X1210" s="4">
        <v>53000</v>
      </c>
      <c r="Y1210" s="4">
        <v>53000</v>
      </c>
    </row>
    <row r="1211" spans="1:25" ht="19.5" customHeight="1" x14ac:dyDescent="0.25">
      <c r="A1211" s="2" t="s">
        <v>3055</v>
      </c>
      <c r="B1211" s="2" t="s">
        <v>16</v>
      </c>
      <c r="C1211" s="2" t="s">
        <v>3064</v>
      </c>
      <c r="D1211" s="2" t="s">
        <v>3065</v>
      </c>
      <c r="E1211" s="2" t="s">
        <v>3044</v>
      </c>
      <c r="F1211" s="4">
        <v>0</v>
      </c>
      <c r="G1211" s="3">
        <v>10500</v>
      </c>
      <c r="H1211" s="3">
        <v>10500</v>
      </c>
      <c r="I1211" s="3">
        <v>10500</v>
      </c>
      <c r="J1211" s="3">
        <v>10500</v>
      </c>
      <c r="K1211" s="3">
        <v>10500</v>
      </c>
      <c r="L1211" s="4">
        <v>10500</v>
      </c>
      <c r="M1211" s="4">
        <v>10500</v>
      </c>
      <c r="N1211" s="4">
        <v>10500</v>
      </c>
      <c r="O1211" s="4">
        <v>10500</v>
      </c>
      <c r="P1211" s="4">
        <v>10500</v>
      </c>
      <c r="Q1211" s="4">
        <v>10500</v>
      </c>
      <c r="R1211" s="4">
        <v>10500</v>
      </c>
      <c r="S1211" s="4">
        <v>10500</v>
      </c>
      <c r="T1211" s="4">
        <v>10500</v>
      </c>
      <c r="U1211" s="4">
        <v>10500</v>
      </c>
      <c r="V1211" s="4">
        <v>10500</v>
      </c>
      <c r="W1211" s="4">
        <v>10500</v>
      </c>
      <c r="X1211" s="4">
        <v>10500</v>
      </c>
      <c r="Y1211" s="4">
        <v>10500</v>
      </c>
    </row>
    <row r="1212" spans="1:25" ht="19.5" customHeight="1" x14ac:dyDescent="0.25">
      <c r="A1212" s="2" t="s">
        <v>3055</v>
      </c>
      <c r="B1212" s="2" t="s">
        <v>44</v>
      </c>
      <c r="C1212" s="2" t="s">
        <v>3066</v>
      </c>
      <c r="D1212" s="2" t="s">
        <v>3067</v>
      </c>
      <c r="E1212" s="2" t="s">
        <v>1819</v>
      </c>
      <c r="F1212" s="4">
        <v>112552.37</v>
      </c>
      <c r="G1212" s="3">
        <v>783000</v>
      </c>
      <c r="H1212" s="3">
        <v>281000</v>
      </c>
      <c r="I1212" s="3">
        <v>281000</v>
      </c>
      <c r="J1212" s="3">
        <v>281000</v>
      </c>
      <c r="K1212" s="3">
        <v>281000</v>
      </c>
      <c r="L1212" s="4">
        <v>281000</v>
      </c>
      <c r="M1212" s="4">
        <v>281000</v>
      </c>
      <c r="N1212" s="4">
        <v>281000</v>
      </c>
      <c r="O1212" s="4">
        <v>281000</v>
      </c>
      <c r="P1212" s="4">
        <v>281000</v>
      </c>
      <c r="Q1212" s="4">
        <v>281000</v>
      </c>
      <c r="R1212" s="4">
        <v>281000</v>
      </c>
      <c r="S1212" s="4">
        <v>281000</v>
      </c>
      <c r="T1212" s="4">
        <v>281000</v>
      </c>
      <c r="U1212" s="4">
        <v>281000</v>
      </c>
      <c r="V1212" s="4">
        <v>281000</v>
      </c>
      <c r="W1212" s="4">
        <v>281000</v>
      </c>
      <c r="X1212" s="4">
        <v>281000</v>
      </c>
      <c r="Y1212" s="4">
        <v>281000</v>
      </c>
    </row>
    <row r="1213" spans="1:25" ht="19.5" customHeight="1" x14ac:dyDescent="0.25">
      <c r="A1213" s="2" t="s">
        <v>3055</v>
      </c>
      <c r="B1213" s="2" t="s">
        <v>44</v>
      </c>
      <c r="C1213" s="2" t="s">
        <v>3068</v>
      </c>
      <c r="D1213" s="2" t="s">
        <v>3069</v>
      </c>
      <c r="E1213" s="2" t="s">
        <v>3052</v>
      </c>
      <c r="F1213" s="3">
        <v>6907</v>
      </c>
      <c r="G1213" s="3">
        <v>206000</v>
      </c>
      <c r="H1213" s="3">
        <v>206000</v>
      </c>
      <c r="I1213" s="3">
        <v>206000</v>
      </c>
      <c r="J1213" s="3">
        <v>206000</v>
      </c>
      <c r="K1213" s="3">
        <v>206000</v>
      </c>
      <c r="L1213" s="4">
        <v>206000</v>
      </c>
      <c r="M1213" s="4">
        <v>206000</v>
      </c>
      <c r="N1213" s="4">
        <v>206000</v>
      </c>
      <c r="O1213" s="4">
        <v>206000</v>
      </c>
      <c r="P1213" s="4">
        <v>206000</v>
      </c>
      <c r="Q1213" s="4">
        <v>206000</v>
      </c>
      <c r="R1213" s="4">
        <v>206000</v>
      </c>
      <c r="S1213" s="4">
        <v>206000</v>
      </c>
      <c r="T1213" s="4">
        <v>206000</v>
      </c>
      <c r="U1213" s="4">
        <v>206000</v>
      </c>
      <c r="V1213" s="4">
        <v>206000</v>
      </c>
      <c r="W1213" s="4">
        <v>206000</v>
      </c>
      <c r="X1213" s="4">
        <v>206000</v>
      </c>
      <c r="Y1213" s="4">
        <v>206000</v>
      </c>
    </row>
    <row r="1214" spans="1:25" ht="19.5" customHeight="1" x14ac:dyDescent="0.25">
      <c r="A1214" s="2" t="s">
        <v>3055</v>
      </c>
      <c r="B1214" s="2" t="s">
        <v>54</v>
      </c>
      <c r="C1214" s="2" t="s">
        <v>54</v>
      </c>
      <c r="D1214" s="2" t="s">
        <v>3070</v>
      </c>
      <c r="E1214" s="2" t="s">
        <v>3054</v>
      </c>
      <c r="F1214" s="3">
        <v>12180036.199999999</v>
      </c>
      <c r="G1214" s="3">
        <v>13091356</v>
      </c>
      <c r="H1214" s="3">
        <v>13940430</v>
      </c>
      <c r="I1214" s="3">
        <v>14164662</v>
      </c>
      <c r="J1214" s="3">
        <v>13940430</v>
      </c>
      <c r="K1214" s="3">
        <v>14164662</v>
      </c>
      <c r="L1214" s="4">
        <v>13940430</v>
      </c>
      <c r="M1214" s="4">
        <v>14164662</v>
      </c>
      <c r="N1214" s="4">
        <v>13940430</v>
      </c>
      <c r="O1214" s="4">
        <v>14164662</v>
      </c>
      <c r="P1214" s="4">
        <v>13940430</v>
      </c>
      <c r="Q1214" s="4">
        <v>14164662</v>
      </c>
      <c r="R1214" s="4">
        <v>13940430</v>
      </c>
      <c r="S1214" s="4">
        <v>14164662</v>
      </c>
      <c r="T1214" s="4">
        <v>13940430</v>
      </c>
      <c r="U1214" s="4">
        <v>14164662</v>
      </c>
      <c r="V1214" s="4">
        <v>13940430</v>
      </c>
      <c r="W1214" s="4">
        <v>14164662</v>
      </c>
      <c r="X1214" s="4">
        <v>13940430</v>
      </c>
      <c r="Y1214" s="4">
        <v>14164662</v>
      </c>
    </row>
    <row r="1215" spans="1:25" ht="19.5" customHeight="1" x14ac:dyDescent="0.25">
      <c r="A1215" s="2" t="s">
        <v>3071</v>
      </c>
      <c r="B1215" s="2" t="s">
        <v>887</v>
      </c>
      <c r="C1215" s="2" t="s">
        <v>3072</v>
      </c>
      <c r="D1215" s="2" t="s">
        <v>3073</v>
      </c>
      <c r="E1215" s="2" t="s">
        <v>3074</v>
      </c>
      <c r="F1215" s="3">
        <v>827440459.59000003</v>
      </c>
      <c r="G1215" s="3">
        <v>824291520</v>
      </c>
      <c r="H1215" s="3">
        <v>849020267</v>
      </c>
      <c r="I1215" s="3">
        <v>874490874</v>
      </c>
      <c r="J1215" s="3">
        <v>849020267</v>
      </c>
      <c r="K1215" s="3">
        <v>874490874</v>
      </c>
      <c r="L1215" s="4">
        <v>849020267</v>
      </c>
      <c r="M1215" s="4">
        <v>874490874</v>
      </c>
      <c r="N1215" s="4">
        <v>849020267</v>
      </c>
      <c r="O1215" s="4">
        <v>874490874</v>
      </c>
      <c r="P1215" s="4">
        <v>849020267</v>
      </c>
      <c r="Q1215" s="4">
        <v>874490874</v>
      </c>
      <c r="R1215" s="4">
        <v>849020267</v>
      </c>
      <c r="S1215" s="4">
        <v>874490874</v>
      </c>
      <c r="T1215" s="4">
        <v>849020267</v>
      </c>
      <c r="U1215" s="4">
        <v>874490874</v>
      </c>
      <c r="V1215" s="4">
        <v>849020267</v>
      </c>
      <c r="W1215" s="4">
        <v>874490874</v>
      </c>
      <c r="X1215" s="4">
        <v>849020267</v>
      </c>
      <c r="Y1215" s="4">
        <v>874490874</v>
      </c>
    </row>
    <row r="1216" spans="1:25" ht="19.5" customHeight="1" x14ac:dyDescent="0.25">
      <c r="A1216" s="2" t="s">
        <v>3071</v>
      </c>
      <c r="B1216" s="2" t="s">
        <v>887</v>
      </c>
      <c r="C1216" s="2" t="s">
        <v>3075</v>
      </c>
      <c r="D1216" s="2" t="s">
        <v>3076</v>
      </c>
      <c r="E1216" s="2" t="s">
        <v>3077</v>
      </c>
      <c r="F1216" s="3">
        <v>82643519.129999995</v>
      </c>
      <c r="G1216" s="3">
        <v>90830634</v>
      </c>
      <c r="H1216" s="3">
        <v>90830634</v>
      </c>
      <c r="I1216" s="3">
        <v>93990898</v>
      </c>
      <c r="J1216" s="3">
        <v>90830634</v>
      </c>
      <c r="K1216" s="3">
        <v>93990898</v>
      </c>
      <c r="L1216" s="4">
        <v>90830634</v>
      </c>
      <c r="M1216" s="4">
        <v>93990898</v>
      </c>
      <c r="N1216" s="4">
        <v>90830634</v>
      </c>
      <c r="O1216" s="4">
        <v>93990898</v>
      </c>
      <c r="P1216" s="4">
        <v>90830634</v>
      </c>
      <c r="Q1216" s="4">
        <v>93990898</v>
      </c>
      <c r="R1216" s="4">
        <v>90830634</v>
      </c>
      <c r="S1216" s="4">
        <v>93990898</v>
      </c>
      <c r="T1216" s="4">
        <v>90830634</v>
      </c>
      <c r="U1216" s="4">
        <v>93990898</v>
      </c>
      <c r="V1216" s="4">
        <v>90830634</v>
      </c>
      <c r="W1216" s="4">
        <v>93990898</v>
      </c>
      <c r="X1216" s="4">
        <v>90830634</v>
      </c>
      <c r="Y1216" s="4">
        <v>93990898</v>
      </c>
    </row>
    <row r="1217" spans="1:25" ht="19.5" customHeight="1" x14ac:dyDescent="0.25">
      <c r="A1217" s="2" t="s">
        <v>3071</v>
      </c>
      <c r="B1217" s="2" t="s">
        <v>887</v>
      </c>
      <c r="C1217" s="2" t="s">
        <v>3078</v>
      </c>
      <c r="D1217" s="2" t="s">
        <v>3079</v>
      </c>
      <c r="E1217" s="2" t="s">
        <v>3080</v>
      </c>
      <c r="F1217" s="3">
        <v>23645241.66</v>
      </c>
      <c r="G1217" s="3">
        <v>25839844</v>
      </c>
      <c r="H1217" s="3">
        <v>25839844</v>
      </c>
      <c r="I1217" s="3">
        <v>26225104</v>
      </c>
      <c r="J1217" s="3">
        <v>25839844</v>
      </c>
      <c r="K1217" s="3">
        <v>26225104</v>
      </c>
      <c r="L1217" s="4">
        <v>25839844</v>
      </c>
      <c r="M1217" s="4">
        <v>26225104</v>
      </c>
      <c r="N1217" s="4">
        <v>25839844</v>
      </c>
      <c r="O1217" s="4">
        <v>26225104</v>
      </c>
      <c r="P1217" s="4">
        <v>25839844</v>
      </c>
      <c r="Q1217" s="4">
        <v>26225104</v>
      </c>
      <c r="R1217" s="4">
        <v>25839844</v>
      </c>
      <c r="S1217" s="4">
        <v>26225104</v>
      </c>
      <c r="T1217" s="4">
        <v>25839844</v>
      </c>
      <c r="U1217" s="4">
        <v>26225104</v>
      </c>
      <c r="V1217" s="4">
        <v>25839844</v>
      </c>
      <c r="W1217" s="4">
        <v>26225104</v>
      </c>
      <c r="X1217" s="4">
        <v>25839844</v>
      </c>
      <c r="Y1217" s="4">
        <v>26225104</v>
      </c>
    </row>
    <row r="1218" spans="1:25" ht="19.5" customHeight="1" x14ac:dyDescent="0.25">
      <c r="A1218" s="2" t="s">
        <v>3071</v>
      </c>
      <c r="B1218" s="2" t="s">
        <v>887</v>
      </c>
      <c r="C1218" s="2" t="s">
        <v>3081</v>
      </c>
      <c r="D1218" s="2" t="s">
        <v>3082</v>
      </c>
      <c r="E1218" s="2" t="s">
        <v>3083</v>
      </c>
      <c r="F1218" s="3">
        <v>814702159.95000005</v>
      </c>
      <c r="G1218" s="3">
        <v>989360953</v>
      </c>
      <c r="H1218" s="3">
        <v>989360954</v>
      </c>
      <c r="I1218" s="3">
        <v>1023563551</v>
      </c>
      <c r="J1218" s="3">
        <v>989360954</v>
      </c>
      <c r="K1218" s="3">
        <v>1023563551</v>
      </c>
      <c r="L1218" s="4">
        <v>989360954</v>
      </c>
      <c r="M1218" s="4">
        <v>1023563551</v>
      </c>
      <c r="N1218" s="4">
        <v>989360954</v>
      </c>
      <c r="O1218" s="4">
        <v>1023563551</v>
      </c>
      <c r="P1218" s="4">
        <v>989360954</v>
      </c>
      <c r="Q1218" s="4">
        <v>1023563551</v>
      </c>
      <c r="R1218" s="4">
        <v>989360954</v>
      </c>
      <c r="S1218" s="4">
        <v>1023563551</v>
      </c>
      <c r="T1218" s="4">
        <v>989360954</v>
      </c>
      <c r="U1218" s="4">
        <v>1023563551</v>
      </c>
      <c r="V1218" s="4">
        <v>989360954</v>
      </c>
      <c r="W1218" s="4">
        <v>1023563551</v>
      </c>
      <c r="X1218" s="4">
        <v>989360954</v>
      </c>
      <c r="Y1218" s="4">
        <v>1023563551</v>
      </c>
    </row>
    <row r="1219" spans="1:25" ht="19.5" customHeight="1" x14ac:dyDescent="0.25">
      <c r="A1219" s="2" t="s">
        <v>3071</v>
      </c>
      <c r="B1219" s="2" t="s">
        <v>887</v>
      </c>
      <c r="C1219" s="2" t="s">
        <v>3084</v>
      </c>
      <c r="D1219" s="2" t="s">
        <v>3085</v>
      </c>
      <c r="E1219" s="2" t="s">
        <v>3086</v>
      </c>
      <c r="F1219" s="3">
        <v>3283647</v>
      </c>
      <c r="G1219" s="3">
        <v>4477000</v>
      </c>
      <c r="H1219" s="3">
        <v>4477000</v>
      </c>
      <c r="I1219" s="3">
        <v>4477000</v>
      </c>
      <c r="J1219" s="3">
        <v>4477000</v>
      </c>
      <c r="K1219" s="3">
        <v>4477000</v>
      </c>
      <c r="L1219" s="4">
        <v>4477000</v>
      </c>
      <c r="M1219" s="4">
        <v>4477000</v>
      </c>
      <c r="N1219" s="4">
        <v>4477000</v>
      </c>
      <c r="O1219" s="4">
        <v>4477000</v>
      </c>
      <c r="P1219" s="4">
        <v>4477000</v>
      </c>
      <c r="Q1219" s="4">
        <v>4477000</v>
      </c>
      <c r="R1219" s="4">
        <v>4477000</v>
      </c>
      <c r="S1219" s="4">
        <v>4477000</v>
      </c>
      <c r="T1219" s="4">
        <v>4477000</v>
      </c>
      <c r="U1219" s="4">
        <v>4477000</v>
      </c>
      <c r="V1219" s="4">
        <v>4477000</v>
      </c>
      <c r="W1219" s="4">
        <v>4477000</v>
      </c>
      <c r="X1219" s="4">
        <v>4477000</v>
      </c>
      <c r="Y1219" s="4">
        <v>4477000</v>
      </c>
    </row>
    <row r="1220" spans="1:25" ht="19.5" customHeight="1" x14ac:dyDescent="0.25">
      <c r="A1220" s="2" t="s">
        <v>3071</v>
      </c>
      <c r="B1220" s="2" t="s">
        <v>887</v>
      </c>
      <c r="C1220" s="2" t="s">
        <v>3087</v>
      </c>
      <c r="D1220" s="2" t="s">
        <v>3088</v>
      </c>
      <c r="E1220" s="2" t="s">
        <v>3089</v>
      </c>
      <c r="F1220" s="3">
        <v>1956316.68</v>
      </c>
      <c r="G1220" s="3">
        <v>1810144</v>
      </c>
      <c r="H1220" s="3">
        <v>2050085</v>
      </c>
      <c r="I1220" s="3">
        <v>2118913</v>
      </c>
      <c r="J1220" s="3">
        <v>2050085</v>
      </c>
      <c r="K1220" s="3">
        <v>2118913</v>
      </c>
      <c r="L1220" s="4">
        <v>2050085</v>
      </c>
      <c r="M1220" s="4">
        <v>2118913</v>
      </c>
      <c r="N1220" s="4">
        <v>2050085</v>
      </c>
      <c r="O1220" s="4">
        <v>2118913</v>
      </c>
      <c r="P1220" s="4">
        <v>2050085</v>
      </c>
      <c r="Q1220" s="4">
        <v>2118913</v>
      </c>
      <c r="R1220" s="4">
        <v>2050085</v>
      </c>
      <c r="S1220" s="4">
        <v>2118913</v>
      </c>
      <c r="T1220" s="4">
        <v>2050085</v>
      </c>
      <c r="U1220" s="4">
        <v>2118913</v>
      </c>
      <c r="V1220" s="4">
        <v>2050085</v>
      </c>
      <c r="W1220" s="4">
        <v>2118913</v>
      </c>
      <c r="X1220" s="4">
        <v>2050085</v>
      </c>
      <c r="Y1220" s="4">
        <v>2118913</v>
      </c>
    </row>
    <row r="1221" spans="1:25" ht="19.5" customHeight="1" x14ac:dyDescent="0.25">
      <c r="A1221" s="2" t="s">
        <v>3071</v>
      </c>
      <c r="B1221" s="2" t="s">
        <v>887</v>
      </c>
      <c r="C1221" s="2" t="s">
        <v>3090</v>
      </c>
      <c r="D1221" s="2" t="s">
        <v>3091</v>
      </c>
      <c r="E1221" s="2" t="s">
        <v>3092</v>
      </c>
      <c r="F1221" s="4">
        <v>4178464.49</v>
      </c>
      <c r="G1221" s="3">
        <v>5308830</v>
      </c>
      <c r="H1221" s="3">
        <v>4432933</v>
      </c>
      <c r="I1221" s="3">
        <v>4565921</v>
      </c>
      <c r="J1221" s="3">
        <v>4432933</v>
      </c>
      <c r="K1221" s="3">
        <v>4565921</v>
      </c>
      <c r="L1221" s="4">
        <v>4432933</v>
      </c>
      <c r="M1221" s="4">
        <v>4565921</v>
      </c>
      <c r="N1221" s="4">
        <v>4432933</v>
      </c>
      <c r="O1221" s="4">
        <v>4565921</v>
      </c>
      <c r="P1221" s="4">
        <v>4432933</v>
      </c>
      <c r="Q1221" s="4">
        <v>4565921</v>
      </c>
      <c r="R1221" s="4">
        <v>4432933</v>
      </c>
      <c r="S1221" s="4">
        <v>4565921</v>
      </c>
      <c r="T1221" s="4">
        <v>4432933</v>
      </c>
      <c r="U1221" s="4">
        <v>4565921</v>
      </c>
      <c r="V1221" s="4">
        <v>4432933</v>
      </c>
      <c r="W1221" s="4">
        <v>4565921</v>
      </c>
      <c r="X1221" s="4">
        <v>4432933</v>
      </c>
      <c r="Y1221" s="4">
        <v>4565921</v>
      </c>
    </row>
    <row r="1222" spans="1:25" ht="19.5" customHeight="1" x14ac:dyDescent="0.25">
      <c r="A1222" s="2" t="s">
        <v>3071</v>
      </c>
      <c r="B1222" s="2" t="s">
        <v>887</v>
      </c>
      <c r="C1222" s="2" t="s">
        <v>3093</v>
      </c>
      <c r="D1222" s="2" t="s">
        <v>3094</v>
      </c>
      <c r="E1222" s="2" t="s">
        <v>3095</v>
      </c>
      <c r="F1222" s="3">
        <v>12628213.939999999</v>
      </c>
      <c r="G1222" s="3">
        <v>16806372</v>
      </c>
      <c r="H1222" s="3">
        <v>14397032</v>
      </c>
      <c r="I1222" s="3">
        <v>14798897</v>
      </c>
      <c r="J1222" s="3">
        <v>14397032</v>
      </c>
      <c r="K1222" s="3">
        <v>14798897</v>
      </c>
      <c r="L1222" s="4">
        <v>14397032</v>
      </c>
      <c r="M1222" s="4">
        <v>14798897</v>
      </c>
      <c r="N1222" s="4">
        <v>14397032</v>
      </c>
      <c r="O1222" s="4">
        <v>14798897</v>
      </c>
      <c r="P1222" s="4">
        <v>14397032</v>
      </c>
      <c r="Q1222" s="4">
        <v>14798897</v>
      </c>
      <c r="R1222" s="4">
        <v>14397032</v>
      </c>
      <c r="S1222" s="4">
        <v>14798897</v>
      </c>
      <c r="T1222" s="4">
        <v>14397032</v>
      </c>
      <c r="U1222" s="4">
        <v>14798897</v>
      </c>
      <c r="V1222" s="4">
        <v>14397032</v>
      </c>
      <c r="W1222" s="4">
        <v>14798897</v>
      </c>
      <c r="X1222" s="4">
        <v>14397032</v>
      </c>
      <c r="Y1222" s="4">
        <v>14798897</v>
      </c>
    </row>
    <row r="1223" spans="1:25" ht="19.5" customHeight="1" x14ac:dyDescent="0.25">
      <c r="A1223" s="2" t="s">
        <v>3096</v>
      </c>
      <c r="B1223" s="2" t="s">
        <v>54</v>
      </c>
      <c r="C1223" s="2" t="s">
        <v>54</v>
      </c>
      <c r="D1223" s="2" t="s">
        <v>3097</v>
      </c>
      <c r="E1223" s="2" t="s">
        <v>3098</v>
      </c>
      <c r="F1223" s="3">
        <v>1600</v>
      </c>
      <c r="G1223" s="3">
        <v>1056</v>
      </c>
      <c r="H1223" s="3">
        <v>1000</v>
      </c>
      <c r="I1223" s="3">
        <v>1000</v>
      </c>
      <c r="J1223" s="3">
        <v>1000</v>
      </c>
      <c r="K1223" s="3">
        <v>1000</v>
      </c>
      <c r="L1223" s="4">
        <v>1000</v>
      </c>
      <c r="M1223" s="4">
        <v>1000</v>
      </c>
      <c r="N1223" s="4">
        <v>1000</v>
      </c>
      <c r="O1223" s="4">
        <v>1000</v>
      </c>
      <c r="P1223" s="4">
        <v>1000</v>
      </c>
      <c r="Q1223" s="4">
        <v>1000</v>
      </c>
      <c r="R1223" s="4">
        <v>1000</v>
      </c>
      <c r="S1223" s="4">
        <v>1000</v>
      </c>
      <c r="T1223" s="4">
        <v>1000</v>
      </c>
      <c r="U1223" s="4">
        <v>1000</v>
      </c>
      <c r="V1223" s="4">
        <v>1000</v>
      </c>
      <c r="W1223" s="4">
        <v>1000</v>
      </c>
      <c r="X1223" s="4">
        <v>1000</v>
      </c>
      <c r="Y1223" s="4">
        <v>1000</v>
      </c>
    </row>
    <row r="1224" spans="1:25" ht="19.5" customHeight="1" x14ac:dyDescent="0.25">
      <c r="A1224" s="2" t="s">
        <v>3096</v>
      </c>
      <c r="B1224" s="2" t="s">
        <v>54</v>
      </c>
      <c r="C1224" s="2" t="s">
        <v>54</v>
      </c>
      <c r="D1224" s="2" t="s">
        <v>3099</v>
      </c>
      <c r="E1224" s="2" t="s">
        <v>3100</v>
      </c>
      <c r="F1224" s="3">
        <v>26037.91</v>
      </c>
      <c r="G1224" s="3">
        <v>22320</v>
      </c>
      <c r="H1224" s="3">
        <v>22000</v>
      </c>
      <c r="I1224" s="3">
        <v>22000</v>
      </c>
      <c r="J1224" s="3">
        <v>22000</v>
      </c>
      <c r="K1224" s="3">
        <v>22000</v>
      </c>
      <c r="L1224" s="4">
        <v>22000</v>
      </c>
      <c r="M1224" s="4">
        <v>22000</v>
      </c>
      <c r="N1224" s="4">
        <v>22000</v>
      </c>
      <c r="O1224" s="4">
        <v>22000</v>
      </c>
      <c r="P1224" s="4">
        <v>22000</v>
      </c>
      <c r="Q1224" s="4">
        <v>22000</v>
      </c>
      <c r="R1224" s="4">
        <v>22000</v>
      </c>
      <c r="S1224" s="4">
        <v>22000</v>
      </c>
      <c r="T1224" s="4">
        <v>22000</v>
      </c>
      <c r="U1224" s="4">
        <v>22000</v>
      </c>
      <c r="V1224" s="4">
        <v>22000</v>
      </c>
      <c r="W1224" s="4">
        <v>22000</v>
      </c>
      <c r="X1224" s="4">
        <v>22000</v>
      </c>
      <c r="Y1224" s="4">
        <v>22000</v>
      </c>
    </row>
    <row r="1225" spans="1:25" ht="19.5" customHeight="1" x14ac:dyDescent="0.25">
      <c r="A1225" s="2" t="s">
        <v>3096</v>
      </c>
      <c r="B1225" s="2" t="s">
        <v>54</v>
      </c>
      <c r="C1225" s="2" t="s">
        <v>54</v>
      </c>
      <c r="D1225" s="2" t="s">
        <v>3101</v>
      </c>
      <c r="E1225" s="2" t="s">
        <v>3102</v>
      </c>
      <c r="F1225" s="3">
        <v>232850</v>
      </c>
      <c r="G1225" s="3">
        <v>202300</v>
      </c>
      <c r="H1225" s="3">
        <v>201000</v>
      </c>
      <c r="I1225" s="3">
        <v>201000</v>
      </c>
      <c r="J1225" s="3">
        <v>201000</v>
      </c>
      <c r="K1225" s="3">
        <v>201000</v>
      </c>
      <c r="L1225" s="4">
        <v>201000</v>
      </c>
      <c r="M1225" s="4">
        <v>201000</v>
      </c>
      <c r="N1225" s="4">
        <v>201000</v>
      </c>
      <c r="O1225" s="4">
        <v>201000</v>
      </c>
      <c r="P1225" s="4">
        <v>201000</v>
      </c>
      <c r="Q1225" s="4">
        <v>201000</v>
      </c>
      <c r="R1225" s="4">
        <v>201000</v>
      </c>
      <c r="S1225" s="4">
        <v>201000</v>
      </c>
      <c r="T1225" s="4">
        <v>201000</v>
      </c>
      <c r="U1225" s="4">
        <v>201000</v>
      </c>
      <c r="V1225" s="4">
        <v>201000</v>
      </c>
      <c r="W1225" s="4">
        <v>201000</v>
      </c>
      <c r="X1225" s="4">
        <v>201000</v>
      </c>
      <c r="Y1225" s="4">
        <v>201000</v>
      </c>
    </row>
    <row r="1226" spans="1:25" ht="19.5" customHeight="1" x14ac:dyDescent="0.25">
      <c r="A1226" s="2" t="s">
        <v>3096</v>
      </c>
      <c r="B1226" s="2" t="s">
        <v>54</v>
      </c>
      <c r="C1226" s="2" t="s">
        <v>54</v>
      </c>
      <c r="D1226" s="2" t="s">
        <v>3103</v>
      </c>
      <c r="E1226" s="2" t="s">
        <v>3104</v>
      </c>
      <c r="F1226" s="3">
        <v>34400000</v>
      </c>
      <c r="G1226" s="3">
        <v>34750000</v>
      </c>
      <c r="H1226" s="3">
        <v>35000000</v>
      </c>
      <c r="I1226" s="3">
        <v>35250000</v>
      </c>
      <c r="J1226" s="3">
        <v>35000000</v>
      </c>
      <c r="K1226" s="3">
        <v>35250000</v>
      </c>
      <c r="L1226" s="4">
        <v>35000000</v>
      </c>
      <c r="M1226" s="4">
        <v>35250000</v>
      </c>
      <c r="N1226" s="4">
        <v>35000000</v>
      </c>
      <c r="O1226" s="4">
        <v>35250000</v>
      </c>
      <c r="P1226" s="4">
        <v>35000000</v>
      </c>
      <c r="Q1226" s="4">
        <v>35250000</v>
      </c>
      <c r="R1226" s="4">
        <v>35000000</v>
      </c>
      <c r="S1226" s="4">
        <v>35250000</v>
      </c>
      <c r="T1226" s="4">
        <v>35000000</v>
      </c>
      <c r="U1226" s="4">
        <v>35250000</v>
      </c>
      <c r="V1226" s="4">
        <v>35000000</v>
      </c>
      <c r="W1226" s="4">
        <v>35250000</v>
      </c>
      <c r="X1226" s="4">
        <v>35000000</v>
      </c>
      <c r="Y1226" s="4">
        <v>35250000</v>
      </c>
    </row>
    <row r="1227" spans="1:25" ht="19.5" customHeight="1" x14ac:dyDescent="0.25">
      <c r="A1227" s="2" t="s">
        <v>3105</v>
      </c>
      <c r="B1227" s="2" t="s">
        <v>16</v>
      </c>
      <c r="C1227" s="2" t="s">
        <v>3106</v>
      </c>
      <c r="D1227" s="2" t="s">
        <v>3107</v>
      </c>
      <c r="E1227" s="2" t="s">
        <v>1712</v>
      </c>
      <c r="F1227" s="3">
        <v>76272.53</v>
      </c>
      <c r="G1227" s="3">
        <v>80000</v>
      </c>
      <c r="H1227" s="3">
        <v>50000</v>
      </c>
      <c r="I1227" s="3">
        <v>50000</v>
      </c>
      <c r="J1227" s="3">
        <v>50000</v>
      </c>
      <c r="K1227" s="3">
        <v>50000</v>
      </c>
      <c r="L1227" s="4">
        <v>50000</v>
      </c>
      <c r="M1227" s="4">
        <v>50000</v>
      </c>
      <c r="N1227" s="4">
        <v>50000</v>
      </c>
      <c r="O1227" s="4">
        <v>50000</v>
      </c>
      <c r="P1227" s="4">
        <v>50000</v>
      </c>
      <c r="Q1227" s="4">
        <v>50000</v>
      </c>
      <c r="R1227" s="4">
        <v>50000</v>
      </c>
      <c r="S1227" s="4">
        <v>50000</v>
      </c>
      <c r="T1227" s="4">
        <v>50000</v>
      </c>
      <c r="U1227" s="4">
        <v>50000</v>
      </c>
      <c r="V1227" s="4">
        <v>50000</v>
      </c>
      <c r="W1227" s="4">
        <v>50000</v>
      </c>
      <c r="X1227" s="4">
        <v>50000</v>
      </c>
      <c r="Y1227" s="4">
        <v>50000</v>
      </c>
    </row>
    <row r="1228" spans="1:25" ht="19.5" customHeight="1" x14ac:dyDescent="0.25">
      <c r="A1228" s="2" t="s">
        <v>3105</v>
      </c>
      <c r="B1228" s="2" t="s">
        <v>16</v>
      </c>
      <c r="C1228" s="2" t="s">
        <v>20</v>
      </c>
      <c r="D1228" s="2" t="s">
        <v>3108</v>
      </c>
      <c r="E1228" s="2" t="s">
        <v>3109</v>
      </c>
      <c r="F1228" s="3">
        <v>221846.29</v>
      </c>
      <c r="G1228" s="3">
        <v>241000</v>
      </c>
      <c r="H1228" s="3">
        <v>265000</v>
      </c>
      <c r="I1228" s="3">
        <v>265000</v>
      </c>
      <c r="J1228" s="3">
        <v>265000</v>
      </c>
      <c r="K1228" s="3">
        <v>265000</v>
      </c>
      <c r="L1228" s="4">
        <v>265000</v>
      </c>
      <c r="M1228" s="4">
        <v>265000</v>
      </c>
      <c r="N1228" s="4">
        <v>265000</v>
      </c>
      <c r="O1228" s="4">
        <v>265000</v>
      </c>
      <c r="P1228" s="4">
        <v>265000</v>
      </c>
      <c r="Q1228" s="4">
        <v>265000</v>
      </c>
      <c r="R1228" s="4">
        <v>265000</v>
      </c>
      <c r="S1228" s="4">
        <v>265000</v>
      </c>
      <c r="T1228" s="4">
        <v>265000</v>
      </c>
      <c r="U1228" s="4">
        <v>265000</v>
      </c>
      <c r="V1228" s="4">
        <v>265000</v>
      </c>
      <c r="W1228" s="4">
        <v>265000</v>
      </c>
      <c r="X1228" s="4">
        <v>265000</v>
      </c>
      <c r="Y1228" s="4">
        <v>265000</v>
      </c>
    </row>
    <row r="1229" spans="1:25" ht="19.5" customHeight="1" x14ac:dyDescent="0.25">
      <c r="A1229" s="2" t="s">
        <v>3105</v>
      </c>
      <c r="B1229" s="2" t="s">
        <v>16</v>
      </c>
      <c r="C1229" s="2" t="s">
        <v>20</v>
      </c>
      <c r="D1229" s="2" t="s">
        <v>3110</v>
      </c>
      <c r="E1229" s="2" t="s">
        <v>22</v>
      </c>
      <c r="F1229" s="3">
        <v>9266654.9100000001</v>
      </c>
      <c r="G1229" s="3">
        <v>10646387</v>
      </c>
      <c r="H1229" s="3">
        <v>11750000</v>
      </c>
      <c r="I1229" s="3">
        <v>12200000</v>
      </c>
      <c r="J1229" s="3">
        <v>11750000</v>
      </c>
      <c r="K1229" s="3">
        <v>12200000</v>
      </c>
      <c r="L1229" s="4">
        <v>11750000</v>
      </c>
      <c r="M1229" s="4">
        <v>12200000</v>
      </c>
      <c r="N1229" s="4">
        <v>11750000</v>
      </c>
      <c r="O1229" s="4">
        <v>12200000</v>
      </c>
      <c r="P1229" s="4">
        <v>11750000</v>
      </c>
      <c r="Q1229" s="4">
        <v>12200000</v>
      </c>
      <c r="R1229" s="4">
        <v>11750000</v>
      </c>
      <c r="S1229" s="4">
        <v>12200000</v>
      </c>
      <c r="T1229" s="4">
        <v>11750000</v>
      </c>
      <c r="U1229" s="4">
        <v>12200000</v>
      </c>
      <c r="V1229" s="4">
        <v>11750000</v>
      </c>
      <c r="W1229" s="4">
        <v>12200000</v>
      </c>
      <c r="X1229" s="4">
        <v>11750000</v>
      </c>
      <c r="Y1229" s="4">
        <v>12200000</v>
      </c>
    </row>
    <row r="1230" spans="1:25" ht="19.5" customHeight="1" x14ac:dyDescent="0.25">
      <c r="A1230" s="2" t="s">
        <v>3105</v>
      </c>
      <c r="B1230" s="2" t="s">
        <v>16</v>
      </c>
      <c r="C1230" s="2" t="s">
        <v>3111</v>
      </c>
      <c r="D1230" s="2" t="s">
        <v>3112</v>
      </c>
      <c r="E1230" s="2" t="s">
        <v>3113</v>
      </c>
      <c r="F1230" s="3">
        <v>445584.14</v>
      </c>
      <c r="G1230" s="3">
        <v>530000</v>
      </c>
      <c r="H1230" s="3">
        <v>100000</v>
      </c>
      <c r="I1230" s="3">
        <v>100000</v>
      </c>
      <c r="J1230" s="3">
        <v>100000</v>
      </c>
      <c r="K1230" s="3">
        <v>100000</v>
      </c>
      <c r="L1230" s="4">
        <v>100000</v>
      </c>
      <c r="M1230" s="4">
        <v>100000</v>
      </c>
      <c r="N1230" s="4">
        <v>100000</v>
      </c>
      <c r="O1230" s="4">
        <v>100000</v>
      </c>
      <c r="P1230" s="4">
        <v>100000</v>
      </c>
      <c r="Q1230" s="4">
        <v>100000</v>
      </c>
      <c r="R1230" s="4">
        <v>100000</v>
      </c>
      <c r="S1230" s="4">
        <v>100000</v>
      </c>
      <c r="T1230" s="4">
        <v>100000</v>
      </c>
      <c r="U1230" s="4">
        <v>100000</v>
      </c>
      <c r="V1230" s="4">
        <v>100000</v>
      </c>
      <c r="W1230" s="4">
        <v>100000</v>
      </c>
      <c r="X1230" s="4">
        <v>100000</v>
      </c>
      <c r="Y1230" s="4">
        <v>100000</v>
      </c>
    </row>
    <row r="1231" spans="1:25" ht="19.5" customHeight="1" x14ac:dyDescent="0.25">
      <c r="A1231" s="2" t="s">
        <v>3105</v>
      </c>
      <c r="B1231" s="2" t="s">
        <v>16</v>
      </c>
      <c r="C1231" s="2" t="s">
        <v>774</v>
      </c>
      <c r="D1231" s="2" t="s">
        <v>3114</v>
      </c>
      <c r="E1231" s="2" t="s">
        <v>776</v>
      </c>
      <c r="F1231" s="3">
        <v>3166114.63</v>
      </c>
      <c r="G1231" s="3">
        <v>2500200</v>
      </c>
      <c r="H1231" s="3">
        <v>3150000</v>
      </c>
      <c r="I1231" s="3">
        <v>3250000</v>
      </c>
      <c r="J1231" s="3">
        <v>3150000</v>
      </c>
      <c r="K1231" s="3">
        <v>3250000</v>
      </c>
      <c r="L1231" s="4">
        <v>3150000</v>
      </c>
      <c r="M1231" s="4">
        <v>3250000</v>
      </c>
      <c r="N1231" s="4">
        <v>3150000</v>
      </c>
      <c r="O1231" s="4">
        <v>3250000</v>
      </c>
      <c r="P1231" s="4">
        <v>3150000</v>
      </c>
      <c r="Q1231" s="4">
        <v>3250000</v>
      </c>
      <c r="R1231" s="4">
        <v>3150000</v>
      </c>
      <c r="S1231" s="4">
        <v>3250000</v>
      </c>
      <c r="T1231" s="4">
        <v>3150000</v>
      </c>
      <c r="U1231" s="4">
        <v>3250000</v>
      </c>
      <c r="V1231" s="4">
        <v>3150000</v>
      </c>
      <c r="W1231" s="4">
        <v>3250000</v>
      </c>
      <c r="X1231" s="4">
        <v>3150000</v>
      </c>
      <c r="Y1231" s="4">
        <v>3250000</v>
      </c>
    </row>
    <row r="1232" spans="1:25" ht="19.5" customHeight="1" x14ac:dyDescent="0.25">
      <c r="A1232" s="2" t="s">
        <v>3105</v>
      </c>
      <c r="B1232" s="2" t="s">
        <v>44</v>
      </c>
      <c r="C1232" s="2" t="s">
        <v>3115</v>
      </c>
      <c r="D1232" s="2" t="s">
        <v>3116</v>
      </c>
      <c r="E1232" s="2" t="s">
        <v>3117</v>
      </c>
      <c r="F1232" s="3">
        <v>379835.3</v>
      </c>
      <c r="G1232" s="3">
        <v>911000</v>
      </c>
      <c r="H1232" s="3">
        <v>1050000</v>
      </c>
      <c r="I1232" s="3">
        <v>1050000</v>
      </c>
      <c r="J1232" s="3">
        <v>1050000</v>
      </c>
      <c r="K1232" s="3">
        <v>1050000</v>
      </c>
      <c r="L1232" s="4">
        <v>1050000</v>
      </c>
      <c r="M1232" s="4">
        <v>1050000</v>
      </c>
      <c r="N1232" s="4">
        <v>1050000</v>
      </c>
      <c r="O1232" s="4">
        <v>1050000</v>
      </c>
      <c r="P1232" s="4">
        <v>1050000</v>
      </c>
      <c r="Q1232" s="4">
        <v>1050000</v>
      </c>
      <c r="R1232" s="4">
        <v>1050000</v>
      </c>
      <c r="S1232" s="4">
        <v>1050000</v>
      </c>
      <c r="T1232" s="4">
        <v>1050000</v>
      </c>
      <c r="U1232" s="4">
        <v>1050000</v>
      </c>
      <c r="V1232" s="4">
        <v>1050000</v>
      </c>
      <c r="W1232" s="4">
        <v>1050000</v>
      </c>
      <c r="X1232" s="4">
        <v>1050000</v>
      </c>
      <c r="Y1232" s="4">
        <v>1050000</v>
      </c>
    </row>
    <row r="1233" spans="1:25" ht="19.5" customHeight="1" x14ac:dyDescent="0.25">
      <c r="A1233" s="2" t="s">
        <v>3105</v>
      </c>
      <c r="B1233" s="2" t="s">
        <v>44</v>
      </c>
      <c r="C1233" s="2" t="s">
        <v>3118</v>
      </c>
      <c r="D1233" s="2" t="s">
        <v>3119</v>
      </c>
      <c r="E1233" s="2" t="s">
        <v>3120</v>
      </c>
      <c r="F1233" s="3">
        <v>2067429</v>
      </c>
      <c r="G1233" s="3">
        <v>2113000</v>
      </c>
      <c r="H1233" s="3">
        <v>2500000</v>
      </c>
      <c r="I1233" s="3">
        <v>2500000</v>
      </c>
      <c r="J1233" s="3">
        <v>2500000</v>
      </c>
      <c r="K1233" s="3">
        <v>2500000</v>
      </c>
      <c r="L1233" s="4">
        <v>2500000</v>
      </c>
      <c r="M1233" s="4">
        <v>2500000</v>
      </c>
      <c r="N1233" s="4">
        <v>2500000</v>
      </c>
      <c r="O1233" s="4">
        <v>2500000</v>
      </c>
      <c r="P1233" s="4">
        <v>2500000</v>
      </c>
      <c r="Q1233" s="4">
        <v>2500000</v>
      </c>
      <c r="R1233" s="4">
        <v>2500000</v>
      </c>
      <c r="S1233" s="4">
        <v>2500000</v>
      </c>
      <c r="T1233" s="4">
        <v>2500000</v>
      </c>
      <c r="U1233" s="4">
        <v>2500000</v>
      </c>
      <c r="V1233" s="4">
        <v>2500000</v>
      </c>
      <c r="W1233" s="4">
        <v>2500000</v>
      </c>
      <c r="X1233" s="4">
        <v>2500000</v>
      </c>
      <c r="Y1233" s="4">
        <v>2500000</v>
      </c>
    </row>
    <row r="1234" spans="1:25" ht="19.5" customHeight="1" x14ac:dyDescent="0.25">
      <c r="A1234" s="2" t="s">
        <v>3105</v>
      </c>
      <c r="B1234" s="2" t="s">
        <v>44</v>
      </c>
      <c r="C1234" s="2" t="s">
        <v>3121</v>
      </c>
      <c r="D1234" s="2" t="s">
        <v>3122</v>
      </c>
      <c r="E1234" s="2" t="s">
        <v>3123</v>
      </c>
      <c r="F1234" s="3">
        <v>0</v>
      </c>
      <c r="G1234" s="3">
        <v>50000</v>
      </c>
      <c r="H1234" s="3">
        <v>5000</v>
      </c>
      <c r="I1234" s="3">
        <v>5000</v>
      </c>
      <c r="J1234" s="3">
        <v>5000</v>
      </c>
      <c r="K1234" s="3">
        <v>5000</v>
      </c>
      <c r="L1234" s="4">
        <v>5000</v>
      </c>
      <c r="M1234" s="4">
        <v>5000</v>
      </c>
      <c r="N1234" s="4">
        <v>5000</v>
      </c>
      <c r="O1234" s="4">
        <v>5000</v>
      </c>
      <c r="P1234" s="4">
        <v>5000</v>
      </c>
      <c r="Q1234" s="4">
        <v>5000</v>
      </c>
      <c r="R1234" s="4">
        <v>5000</v>
      </c>
      <c r="S1234" s="4">
        <v>5000</v>
      </c>
      <c r="T1234" s="4">
        <v>5000</v>
      </c>
      <c r="U1234" s="4">
        <v>5000</v>
      </c>
      <c r="V1234" s="4">
        <v>5000</v>
      </c>
      <c r="W1234" s="4">
        <v>5000</v>
      </c>
      <c r="X1234" s="4">
        <v>5000</v>
      </c>
      <c r="Y1234" s="4">
        <v>5000</v>
      </c>
    </row>
    <row r="1235" spans="1:25" ht="19.5" customHeight="1" x14ac:dyDescent="0.25">
      <c r="A1235" s="2" t="s">
        <v>3105</v>
      </c>
      <c r="B1235" s="2" t="s">
        <v>44</v>
      </c>
      <c r="C1235" s="2" t="s">
        <v>3124</v>
      </c>
      <c r="D1235" s="2" t="s">
        <v>3125</v>
      </c>
      <c r="E1235" s="2" t="s">
        <v>3126</v>
      </c>
      <c r="F1235" s="3">
        <v>0</v>
      </c>
      <c r="G1235" s="3">
        <v>300000</v>
      </c>
      <c r="H1235" s="3">
        <v>30000</v>
      </c>
      <c r="I1235" s="3">
        <v>30000</v>
      </c>
      <c r="J1235" s="3">
        <v>30000</v>
      </c>
      <c r="K1235" s="3">
        <v>30000</v>
      </c>
      <c r="L1235" s="4">
        <v>30000</v>
      </c>
      <c r="M1235" s="4">
        <v>30000</v>
      </c>
      <c r="N1235" s="4">
        <v>30000</v>
      </c>
      <c r="O1235" s="4">
        <v>30000</v>
      </c>
      <c r="P1235" s="4">
        <v>30000</v>
      </c>
      <c r="Q1235" s="4">
        <v>30000</v>
      </c>
      <c r="R1235" s="4">
        <v>30000</v>
      </c>
      <c r="S1235" s="4">
        <v>30000</v>
      </c>
      <c r="T1235" s="4">
        <v>30000</v>
      </c>
      <c r="U1235" s="4">
        <v>30000</v>
      </c>
      <c r="V1235" s="4">
        <v>30000</v>
      </c>
      <c r="W1235" s="4">
        <v>30000</v>
      </c>
      <c r="X1235" s="4">
        <v>30000</v>
      </c>
      <c r="Y1235" s="4">
        <v>30000</v>
      </c>
    </row>
    <row r="1236" spans="1:25" ht="19.5" customHeight="1" x14ac:dyDescent="0.25">
      <c r="A1236" s="2" t="s">
        <v>3127</v>
      </c>
      <c r="B1236" s="2" t="s">
        <v>16</v>
      </c>
      <c r="C1236" s="2" t="s">
        <v>20</v>
      </c>
      <c r="D1236" s="2" t="s">
        <v>3128</v>
      </c>
      <c r="E1236" s="2" t="s">
        <v>22</v>
      </c>
      <c r="F1236" s="3">
        <v>632335.38</v>
      </c>
      <c r="G1236" s="3">
        <v>696615</v>
      </c>
      <c r="H1236" s="3">
        <v>679000</v>
      </c>
      <c r="I1236" s="3">
        <v>696000</v>
      </c>
      <c r="J1236" s="3">
        <v>679000</v>
      </c>
      <c r="K1236" s="3">
        <v>696000</v>
      </c>
      <c r="L1236" s="4">
        <v>679000</v>
      </c>
      <c r="M1236" s="4">
        <v>696000</v>
      </c>
      <c r="N1236" s="4">
        <v>679000</v>
      </c>
      <c r="O1236" s="4">
        <v>696000</v>
      </c>
      <c r="P1236" s="4">
        <v>679000</v>
      </c>
      <c r="Q1236" s="4">
        <v>696000</v>
      </c>
      <c r="R1236" s="4">
        <v>679000</v>
      </c>
      <c r="S1236" s="4">
        <v>696000</v>
      </c>
      <c r="T1236" s="4">
        <v>679000</v>
      </c>
      <c r="U1236" s="4">
        <v>696000</v>
      </c>
      <c r="V1236" s="4">
        <v>679000</v>
      </c>
      <c r="W1236" s="4">
        <v>696000</v>
      </c>
      <c r="X1236" s="4">
        <v>679000</v>
      </c>
      <c r="Y1236" s="4">
        <v>696000</v>
      </c>
    </row>
    <row r="1237" spans="1:25" ht="19.5" customHeight="1" x14ac:dyDescent="0.25">
      <c r="A1237" s="2" t="s">
        <v>3129</v>
      </c>
      <c r="B1237" s="2" t="s">
        <v>16</v>
      </c>
      <c r="C1237" s="2" t="s">
        <v>3130</v>
      </c>
      <c r="D1237" s="2" t="s">
        <v>3131</v>
      </c>
      <c r="E1237" s="2" t="s">
        <v>3132</v>
      </c>
      <c r="F1237" s="3">
        <v>201945.27</v>
      </c>
      <c r="G1237" s="3">
        <v>204756</v>
      </c>
      <c r="H1237" s="3">
        <v>205000</v>
      </c>
      <c r="I1237" s="3">
        <v>205000</v>
      </c>
      <c r="J1237" s="3">
        <v>205000</v>
      </c>
      <c r="K1237" s="3">
        <v>205000</v>
      </c>
      <c r="L1237" s="4">
        <v>205000</v>
      </c>
      <c r="M1237" s="4">
        <v>205000</v>
      </c>
      <c r="N1237" s="4">
        <v>205000</v>
      </c>
      <c r="O1237" s="4">
        <v>205000</v>
      </c>
      <c r="P1237" s="4">
        <v>205000</v>
      </c>
      <c r="Q1237" s="4">
        <v>205000</v>
      </c>
      <c r="R1237" s="4">
        <v>205000</v>
      </c>
      <c r="S1237" s="4">
        <v>205000</v>
      </c>
      <c r="T1237" s="4">
        <v>205000</v>
      </c>
      <c r="U1237" s="4">
        <v>205000</v>
      </c>
      <c r="V1237" s="4">
        <v>205000</v>
      </c>
      <c r="W1237" s="4">
        <v>205000</v>
      </c>
      <c r="X1237" s="4">
        <v>205000</v>
      </c>
      <c r="Y1237" s="4">
        <v>205000</v>
      </c>
    </row>
    <row r="1238" spans="1:25" ht="19.5" customHeight="1" x14ac:dyDescent="0.25">
      <c r="A1238" s="2" t="s">
        <v>3129</v>
      </c>
      <c r="B1238" s="2" t="s">
        <v>16</v>
      </c>
      <c r="C1238" s="2" t="s">
        <v>3133</v>
      </c>
      <c r="D1238" s="2" t="s">
        <v>3134</v>
      </c>
      <c r="E1238" s="2" t="s">
        <v>2344</v>
      </c>
      <c r="F1238" s="3">
        <v>11149.71</v>
      </c>
      <c r="G1238" s="3">
        <v>17000</v>
      </c>
      <c r="H1238" s="3">
        <v>25000</v>
      </c>
      <c r="I1238" s="3">
        <v>25000</v>
      </c>
      <c r="J1238" s="3">
        <v>25000</v>
      </c>
      <c r="K1238" s="3">
        <v>25000</v>
      </c>
      <c r="L1238" s="4">
        <v>25000</v>
      </c>
      <c r="M1238" s="4">
        <v>25000</v>
      </c>
      <c r="N1238" s="4">
        <v>25000</v>
      </c>
      <c r="O1238" s="4">
        <v>25000</v>
      </c>
      <c r="P1238" s="4">
        <v>25000</v>
      </c>
      <c r="Q1238" s="4">
        <v>25000</v>
      </c>
      <c r="R1238" s="4">
        <v>25000</v>
      </c>
      <c r="S1238" s="4">
        <v>25000</v>
      </c>
      <c r="T1238" s="4">
        <v>25000</v>
      </c>
      <c r="U1238" s="4">
        <v>25000</v>
      </c>
      <c r="V1238" s="4">
        <v>25000</v>
      </c>
      <c r="W1238" s="4">
        <v>25000</v>
      </c>
      <c r="X1238" s="4">
        <v>25000</v>
      </c>
      <c r="Y1238" s="4">
        <v>25000</v>
      </c>
    </row>
    <row r="1239" spans="1:25" ht="19.5" customHeight="1" x14ac:dyDescent="0.25">
      <c r="A1239" s="2" t="s">
        <v>3129</v>
      </c>
      <c r="B1239" s="2" t="s">
        <v>16</v>
      </c>
      <c r="C1239" s="2" t="s">
        <v>3135</v>
      </c>
      <c r="D1239" s="2" t="s">
        <v>3136</v>
      </c>
      <c r="E1239" s="2" t="s">
        <v>3137</v>
      </c>
      <c r="F1239" s="3">
        <v>274921.84999999998</v>
      </c>
      <c r="G1239" s="3">
        <v>238400</v>
      </c>
      <c r="H1239" s="3">
        <v>285000</v>
      </c>
      <c r="I1239" s="3">
        <v>285000</v>
      </c>
      <c r="J1239" s="3">
        <v>285000</v>
      </c>
      <c r="K1239" s="3">
        <v>285000</v>
      </c>
      <c r="L1239" s="4">
        <v>285000</v>
      </c>
      <c r="M1239" s="4">
        <v>285000</v>
      </c>
      <c r="N1239" s="4">
        <v>285000</v>
      </c>
      <c r="O1239" s="4">
        <v>285000</v>
      </c>
      <c r="P1239" s="4">
        <v>285000</v>
      </c>
      <c r="Q1239" s="4">
        <v>285000</v>
      </c>
      <c r="R1239" s="4">
        <v>285000</v>
      </c>
      <c r="S1239" s="4">
        <v>285000</v>
      </c>
      <c r="T1239" s="4">
        <v>285000</v>
      </c>
      <c r="U1239" s="4">
        <v>285000</v>
      </c>
      <c r="V1239" s="4">
        <v>285000</v>
      </c>
      <c r="W1239" s="4">
        <v>285000</v>
      </c>
      <c r="X1239" s="4">
        <v>285000</v>
      </c>
      <c r="Y1239" s="4">
        <v>285000</v>
      </c>
    </row>
    <row r="1240" spans="1:25" ht="19.5" customHeight="1" x14ac:dyDescent="0.25">
      <c r="A1240" s="2" t="s">
        <v>3129</v>
      </c>
      <c r="B1240" s="2" t="s">
        <v>16</v>
      </c>
      <c r="C1240" s="2" t="s">
        <v>3138</v>
      </c>
      <c r="D1240" s="2" t="s">
        <v>3139</v>
      </c>
      <c r="E1240" s="2" t="s">
        <v>3140</v>
      </c>
      <c r="F1240" s="3">
        <v>623208.48</v>
      </c>
      <c r="G1240" s="3">
        <v>591389</v>
      </c>
      <c r="H1240" s="3">
        <v>737389</v>
      </c>
      <c r="I1240" s="3">
        <v>737389</v>
      </c>
      <c r="J1240" s="3">
        <v>737389</v>
      </c>
      <c r="K1240" s="3">
        <v>737389</v>
      </c>
      <c r="L1240" s="4">
        <v>737389</v>
      </c>
      <c r="M1240" s="4">
        <v>737389</v>
      </c>
      <c r="N1240" s="4">
        <v>737389</v>
      </c>
      <c r="O1240" s="4">
        <v>737389</v>
      </c>
      <c r="P1240" s="4">
        <v>737389</v>
      </c>
      <c r="Q1240" s="4">
        <v>737389</v>
      </c>
      <c r="R1240" s="4">
        <v>737389</v>
      </c>
      <c r="S1240" s="4">
        <v>737389</v>
      </c>
      <c r="T1240" s="4">
        <v>737389</v>
      </c>
      <c r="U1240" s="4">
        <v>737389</v>
      </c>
      <c r="V1240" s="4">
        <v>737389</v>
      </c>
      <c r="W1240" s="4">
        <v>737389</v>
      </c>
      <c r="X1240" s="4">
        <v>737389</v>
      </c>
      <c r="Y1240" s="4">
        <v>737389</v>
      </c>
    </row>
    <row r="1241" spans="1:25" ht="19.5" customHeight="1" x14ac:dyDescent="0.25">
      <c r="A1241" s="2" t="s">
        <v>3129</v>
      </c>
      <c r="B1241" s="2" t="s">
        <v>16</v>
      </c>
      <c r="C1241" s="2" t="s">
        <v>3141</v>
      </c>
      <c r="D1241" s="2" t="s">
        <v>3142</v>
      </c>
      <c r="E1241" s="2" t="s">
        <v>3143</v>
      </c>
      <c r="F1241" s="3">
        <v>1385021.15</v>
      </c>
      <c r="G1241" s="3">
        <v>1338828</v>
      </c>
      <c r="H1241" s="3">
        <v>149879</v>
      </c>
      <c r="I1241" s="3">
        <v>272016</v>
      </c>
      <c r="J1241" s="3">
        <v>149879</v>
      </c>
      <c r="K1241" s="3">
        <v>272016</v>
      </c>
      <c r="L1241" s="4">
        <v>149879</v>
      </c>
      <c r="M1241" s="4">
        <v>272016</v>
      </c>
      <c r="N1241" s="4">
        <v>149879</v>
      </c>
      <c r="O1241" s="4">
        <v>272016</v>
      </c>
      <c r="P1241" s="4">
        <v>149879</v>
      </c>
      <c r="Q1241" s="4">
        <v>272016</v>
      </c>
      <c r="R1241" s="4">
        <v>149879</v>
      </c>
      <c r="S1241" s="4">
        <v>272016</v>
      </c>
      <c r="T1241" s="4">
        <v>149879</v>
      </c>
      <c r="U1241" s="4">
        <v>272016</v>
      </c>
      <c r="V1241" s="4">
        <v>149879</v>
      </c>
      <c r="W1241" s="4">
        <v>272016</v>
      </c>
      <c r="X1241" s="4">
        <v>149879</v>
      </c>
      <c r="Y1241" s="4">
        <v>272016</v>
      </c>
    </row>
    <row r="1242" spans="1:25" ht="19.5" customHeight="1" x14ac:dyDescent="0.25">
      <c r="A1242" s="2" t="s">
        <v>3129</v>
      </c>
      <c r="B1242" s="2" t="s">
        <v>16</v>
      </c>
      <c r="C1242" s="2" t="s">
        <v>3144</v>
      </c>
      <c r="D1242" s="2" t="s">
        <v>3145</v>
      </c>
      <c r="E1242" s="2" t="s">
        <v>3146</v>
      </c>
      <c r="F1242" s="3">
        <v>11165.89</v>
      </c>
      <c r="G1242" s="3">
        <v>5000</v>
      </c>
      <c r="H1242" s="3">
        <v>13440</v>
      </c>
      <c r="I1242" s="3">
        <v>13440</v>
      </c>
      <c r="J1242" s="3">
        <v>13440</v>
      </c>
      <c r="K1242" s="3">
        <v>13440</v>
      </c>
      <c r="L1242" s="4">
        <v>13440</v>
      </c>
      <c r="M1242" s="4">
        <v>13440</v>
      </c>
      <c r="N1242" s="4">
        <v>13440</v>
      </c>
      <c r="O1242" s="4">
        <v>13440</v>
      </c>
      <c r="P1242" s="4">
        <v>13440</v>
      </c>
      <c r="Q1242" s="4">
        <v>13440</v>
      </c>
      <c r="R1242" s="4">
        <v>13440</v>
      </c>
      <c r="S1242" s="4">
        <v>13440</v>
      </c>
      <c r="T1242" s="4">
        <v>13440</v>
      </c>
      <c r="U1242" s="4">
        <v>13440</v>
      </c>
      <c r="V1242" s="4">
        <v>13440</v>
      </c>
      <c r="W1242" s="4">
        <v>13440</v>
      </c>
      <c r="X1242" s="4">
        <v>13440</v>
      </c>
      <c r="Y1242" s="4">
        <v>13440</v>
      </c>
    </row>
    <row r="1243" spans="1:25" ht="19.5" customHeight="1" x14ac:dyDescent="0.25">
      <c r="A1243" s="2" t="s">
        <v>3129</v>
      </c>
      <c r="B1243" s="2" t="s">
        <v>16</v>
      </c>
      <c r="C1243" s="2" t="s">
        <v>3147</v>
      </c>
      <c r="D1243" s="2" t="s">
        <v>3148</v>
      </c>
      <c r="E1243" s="2" t="s">
        <v>3149</v>
      </c>
      <c r="F1243" s="3">
        <v>423560.58</v>
      </c>
      <c r="G1243" s="3">
        <v>428372</v>
      </c>
      <c r="H1243" s="3">
        <v>47699</v>
      </c>
      <c r="I1243" s="3">
        <v>86568</v>
      </c>
      <c r="J1243" s="3">
        <v>47699</v>
      </c>
      <c r="K1243" s="3">
        <v>86568</v>
      </c>
      <c r="L1243" s="4">
        <v>47699</v>
      </c>
      <c r="M1243" s="4">
        <v>86568</v>
      </c>
      <c r="N1243" s="4">
        <v>47699</v>
      </c>
      <c r="O1243" s="4">
        <v>86568</v>
      </c>
      <c r="P1243" s="4">
        <v>47699</v>
      </c>
      <c r="Q1243" s="4">
        <v>86568</v>
      </c>
      <c r="R1243" s="4">
        <v>47699</v>
      </c>
      <c r="S1243" s="4">
        <v>86568</v>
      </c>
      <c r="T1243" s="4">
        <v>47699</v>
      </c>
      <c r="U1243" s="4">
        <v>86568</v>
      </c>
      <c r="V1243" s="4">
        <v>47699</v>
      </c>
      <c r="W1243" s="4">
        <v>86568</v>
      </c>
      <c r="X1243" s="4">
        <v>47699</v>
      </c>
      <c r="Y1243" s="4">
        <v>86568</v>
      </c>
    </row>
    <row r="1244" spans="1:25" ht="19.5" customHeight="1" x14ac:dyDescent="0.25">
      <c r="A1244" s="2" t="s">
        <v>3129</v>
      </c>
      <c r="B1244" s="2" t="s">
        <v>16</v>
      </c>
      <c r="C1244" s="2" t="s">
        <v>3150</v>
      </c>
      <c r="D1244" s="2" t="s">
        <v>3151</v>
      </c>
      <c r="E1244" s="2" t="s">
        <v>3152</v>
      </c>
      <c r="F1244" s="3">
        <v>20928875.390000001</v>
      </c>
      <c r="G1244" s="3">
        <v>16005000</v>
      </c>
      <c r="H1244" s="3">
        <v>14500000</v>
      </c>
      <c r="I1244" s="3">
        <v>14500000</v>
      </c>
      <c r="J1244" s="3">
        <v>14500000</v>
      </c>
      <c r="K1244" s="3">
        <v>14500000</v>
      </c>
      <c r="L1244" s="4">
        <v>14500000</v>
      </c>
      <c r="M1244" s="4">
        <v>14500000</v>
      </c>
      <c r="N1244" s="4">
        <v>14500000</v>
      </c>
      <c r="O1244" s="4">
        <v>14500000</v>
      </c>
      <c r="P1244" s="4">
        <v>14500000</v>
      </c>
      <c r="Q1244" s="4">
        <v>14500000</v>
      </c>
      <c r="R1244" s="4">
        <v>14500000</v>
      </c>
      <c r="S1244" s="4">
        <v>14500000</v>
      </c>
      <c r="T1244" s="4">
        <v>14500000</v>
      </c>
      <c r="U1244" s="4">
        <v>14500000</v>
      </c>
      <c r="V1244" s="4">
        <v>14500000</v>
      </c>
      <c r="W1244" s="4">
        <v>14500000</v>
      </c>
      <c r="X1244" s="4">
        <v>14500000</v>
      </c>
      <c r="Y1244" s="4">
        <v>14500000</v>
      </c>
    </row>
    <row r="1245" spans="1:25" ht="19.5" customHeight="1" x14ac:dyDescent="0.25">
      <c r="A1245" s="2" t="s">
        <v>3129</v>
      </c>
      <c r="B1245" s="2" t="s">
        <v>16</v>
      </c>
      <c r="C1245" s="2" t="s">
        <v>3153</v>
      </c>
      <c r="D1245" s="2" t="s">
        <v>3154</v>
      </c>
      <c r="E1245" s="2" t="s">
        <v>3155</v>
      </c>
      <c r="F1245" s="3">
        <v>635326.1</v>
      </c>
      <c r="G1245" s="3">
        <v>400000</v>
      </c>
      <c r="H1245" s="3">
        <v>542904</v>
      </c>
      <c r="I1245" s="3">
        <v>602904</v>
      </c>
      <c r="J1245" s="3">
        <v>542904</v>
      </c>
      <c r="K1245" s="3">
        <v>602904</v>
      </c>
      <c r="L1245" s="4">
        <v>542904</v>
      </c>
      <c r="M1245" s="4">
        <v>602904</v>
      </c>
      <c r="N1245" s="4">
        <v>542904</v>
      </c>
      <c r="O1245" s="4">
        <v>602904</v>
      </c>
      <c r="P1245" s="4">
        <v>542904</v>
      </c>
      <c r="Q1245" s="4">
        <v>602904</v>
      </c>
      <c r="R1245" s="4">
        <v>542904</v>
      </c>
      <c r="S1245" s="4">
        <v>602904</v>
      </c>
      <c r="T1245" s="4">
        <v>542904</v>
      </c>
      <c r="U1245" s="4">
        <v>602904</v>
      </c>
      <c r="V1245" s="4">
        <v>542904</v>
      </c>
      <c r="W1245" s="4">
        <v>602904</v>
      </c>
      <c r="X1245" s="4">
        <v>542904</v>
      </c>
      <c r="Y1245" s="4">
        <v>602904</v>
      </c>
    </row>
    <row r="1246" spans="1:25" ht="19.5" customHeight="1" x14ac:dyDescent="0.25">
      <c r="A1246" s="2" t="s">
        <v>3129</v>
      </c>
      <c r="B1246" s="2" t="s">
        <v>16</v>
      </c>
      <c r="C1246" s="2" t="s">
        <v>3156</v>
      </c>
      <c r="D1246" s="2" t="s">
        <v>3157</v>
      </c>
      <c r="E1246" s="2" t="s">
        <v>3158</v>
      </c>
      <c r="F1246" s="3">
        <v>29372000</v>
      </c>
      <c r="G1246" s="3">
        <v>25500000</v>
      </c>
      <c r="H1246" s="3">
        <v>25896000</v>
      </c>
      <c r="I1246" s="3">
        <v>27888000</v>
      </c>
      <c r="J1246" s="3">
        <v>25896000</v>
      </c>
      <c r="K1246" s="3">
        <v>27888000</v>
      </c>
      <c r="L1246" s="4">
        <v>25896000</v>
      </c>
      <c r="M1246" s="4">
        <v>27888000</v>
      </c>
      <c r="N1246" s="4">
        <v>25896000</v>
      </c>
      <c r="O1246" s="4">
        <v>27888000</v>
      </c>
      <c r="P1246" s="4">
        <v>25896000</v>
      </c>
      <c r="Q1246" s="4">
        <v>27888000</v>
      </c>
      <c r="R1246" s="4">
        <v>25896000</v>
      </c>
      <c r="S1246" s="4">
        <v>27888000</v>
      </c>
      <c r="T1246" s="4">
        <v>25896000</v>
      </c>
      <c r="U1246" s="4">
        <v>27888000</v>
      </c>
      <c r="V1246" s="4">
        <v>25896000</v>
      </c>
      <c r="W1246" s="4">
        <v>27888000</v>
      </c>
      <c r="X1246" s="4">
        <v>25896000</v>
      </c>
      <c r="Y1246" s="4">
        <v>27888000</v>
      </c>
    </row>
    <row r="1247" spans="1:25" ht="19.5" customHeight="1" x14ac:dyDescent="0.25">
      <c r="A1247" s="2" t="s">
        <v>3129</v>
      </c>
      <c r="B1247" s="2" t="s">
        <v>16</v>
      </c>
      <c r="C1247" s="2" t="s">
        <v>3156</v>
      </c>
      <c r="D1247" s="2" t="s">
        <v>3159</v>
      </c>
      <c r="E1247" s="2" t="s">
        <v>3160</v>
      </c>
      <c r="F1247" s="3">
        <v>5126268.38</v>
      </c>
      <c r="G1247" s="3">
        <v>5527801</v>
      </c>
      <c r="H1247" s="3">
        <v>6684000</v>
      </c>
      <c r="I1247" s="3">
        <v>6684000</v>
      </c>
      <c r="J1247" s="3">
        <v>6684000</v>
      </c>
      <c r="K1247" s="3">
        <v>6684000</v>
      </c>
      <c r="L1247" s="4">
        <v>6684000</v>
      </c>
      <c r="M1247" s="4">
        <v>6684000</v>
      </c>
      <c r="N1247" s="4">
        <v>6684000</v>
      </c>
      <c r="O1247" s="4">
        <v>6684000</v>
      </c>
      <c r="P1247" s="4">
        <v>6684000</v>
      </c>
      <c r="Q1247" s="4">
        <v>6684000</v>
      </c>
      <c r="R1247" s="4">
        <v>6684000</v>
      </c>
      <c r="S1247" s="4">
        <v>6684000</v>
      </c>
      <c r="T1247" s="4">
        <v>6684000</v>
      </c>
      <c r="U1247" s="4">
        <v>6684000</v>
      </c>
      <c r="V1247" s="4">
        <v>6684000</v>
      </c>
      <c r="W1247" s="4">
        <v>6684000</v>
      </c>
      <c r="X1247" s="4">
        <v>6684000</v>
      </c>
      <c r="Y1247" s="4">
        <v>6684000</v>
      </c>
    </row>
    <row r="1248" spans="1:25" ht="19.5" customHeight="1" x14ac:dyDescent="0.25">
      <c r="A1248" s="2" t="s">
        <v>3129</v>
      </c>
      <c r="B1248" s="2" t="s">
        <v>44</v>
      </c>
      <c r="C1248" s="2" t="s">
        <v>3161</v>
      </c>
      <c r="D1248" s="2" t="s">
        <v>3162</v>
      </c>
      <c r="E1248" s="2" t="s">
        <v>3163</v>
      </c>
      <c r="F1248" s="3">
        <v>0</v>
      </c>
      <c r="G1248" s="3">
        <v>31200</v>
      </c>
      <c r="H1248" s="3">
        <v>38315</v>
      </c>
      <c r="I1248" s="3">
        <v>38315</v>
      </c>
      <c r="J1248" s="3">
        <v>38315</v>
      </c>
      <c r="K1248" s="3">
        <v>38315</v>
      </c>
      <c r="L1248" s="4">
        <v>38315</v>
      </c>
      <c r="M1248" s="4">
        <v>38315</v>
      </c>
      <c r="N1248" s="4">
        <v>38315</v>
      </c>
      <c r="O1248" s="4">
        <v>38315</v>
      </c>
      <c r="P1248" s="4">
        <v>38315</v>
      </c>
      <c r="Q1248" s="4">
        <v>38315</v>
      </c>
      <c r="R1248" s="4">
        <v>38315</v>
      </c>
      <c r="S1248" s="4">
        <v>38315</v>
      </c>
      <c r="T1248" s="4">
        <v>38315</v>
      </c>
      <c r="U1248" s="4">
        <v>38315</v>
      </c>
      <c r="V1248" s="4">
        <v>38315</v>
      </c>
      <c r="W1248" s="4">
        <v>38315</v>
      </c>
      <c r="X1248" s="4">
        <v>38315</v>
      </c>
      <c r="Y1248" s="4">
        <v>38315</v>
      </c>
    </row>
    <row r="1249" spans="1:25" ht="19.5" customHeight="1" x14ac:dyDescent="0.25">
      <c r="A1249" s="2" t="s">
        <v>3129</v>
      </c>
      <c r="B1249" s="2" t="s">
        <v>54</v>
      </c>
      <c r="C1249" s="2" t="s">
        <v>54</v>
      </c>
      <c r="D1249" s="2" t="s">
        <v>3164</v>
      </c>
      <c r="E1249" s="2" t="s">
        <v>3165</v>
      </c>
      <c r="F1249" s="3">
        <v>5715485.3499999996</v>
      </c>
      <c r="G1249" s="3">
        <v>6454523</v>
      </c>
      <c r="H1249" s="3">
        <v>5944609</v>
      </c>
      <c r="I1249" s="3">
        <v>6019884</v>
      </c>
      <c r="J1249" s="3">
        <v>6044609</v>
      </c>
      <c r="K1249" s="3">
        <v>6119884</v>
      </c>
      <c r="L1249" s="4">
        <v>6344609</v>
      </c>
      <c r="M1249" s="4">
        <v>6519884</v>
      </c>
      <c r="N1249" s="4">
        <v>6344609</v>
      </c>
      <c r="O1249" s="4">
        <v>6519884</v>
      </c>
      <c r="P1249" s="4">
        <v>6344609</v>
      </c>
      <c r="Q1249" s="4">
        <v>6519884</v>
      </c>
      <c r="R1249" s="4">
        <v>6944609</v>
      </c>
      <c r="S1249" s="4">
        <v>7419884</v>
      </c>
      <c r="T1249" s="4">
        <v>6944609</v>
      </c>
      <c r="U1249" s="4">
        <v>7419884</v>
      </c>
      <c r="V1249" s="4">
        <v>6944609</v>
      </c>
      <c r="W1249" s="4">
        <v>7419884</v>
      </c>
      <c r="X1249" s="4">
        <v>6944609</v>
      </c>
      <c r="Y1249" s="4">
        <v>7419884</v>
      </c>
    </row>
    <row r="1250" spans="1:25" ht="19.5" customHeight="1" x14ac:dyDescent="0.25">
      <c r="A1250" s="2" t="s">
        <v>3129</v>
      </c>
      <c r="B1250" s="2" t="s">
        <v>54</v>
      </c>
      <c r="C1250" s="2" t="s">
        <v>54</v>
      </c>
      <c r="D1250" s="2" t="s">
        <v>3166</v>
      </c>
      <c r="E1250" s="2" t="s">
        <v>3167</v>
      </c>
      <c r="F1250" s="3">
        <v>2988031.43</v>
      </c>
      <c r="G1250" s="3">
        <v>3149900</v>
      </c>
      <c r="H1250" s="3">
        <v>4431065</v>
      </c>
      <c r="I1250" s="3">
        <v>4564087</v>
      </c>
      <c r="J1250" s="3">
        <v>4580944</v>
      </c>
      <c r="K1250" s="3">
        <v>4741277</v>
      </c>
      <c r="L1250" s="4">
        <v>4580944</v>
      </c>
      <c r="M1250" s="4">
        <v>4741277</v>
      </c>
      <c r="N1250" s="4">
        <v>4580944</v>
      </c>
      <c r="O1250" s="4">
        <v>4741277</v>
      </c>
      <c r="P1250" s="4">
        <v>4580944</v>
      </c>
      <c r="Q1250" s="4">
        <v>4741277</v>
      </c>
      <c r="R1250" s="4">
        <v>4881554</v>
      </c>
      <c r="S1250" s="4">
        <v>5076816</v>
      </c>
      <c r="T1250" s="4">
        <v>4881554</v>
      </c>
      <c r="U1250" s="4">
        <v>5076816</v>
      </c>
      <c r="V1250" s="4">
        <v>4881554</v>
      </c>
      <c r="W1250" s="4">
        <v>5076816</v>
      </c>
      <c r="X1250" s="4">
        <v>4881554</v>
      </c>
      <c r="Y1250" s="4">
        <v>5076816</v>
      </c>
    </row>
    <row r="1251" spans="1:25" ht="19.5" customHeight="1" x14ac:dyDescent="0.25">
      <c r="A1251" s="2" t="s">
        <v>3129</v>
      </c>
      <c r="B1251" s="2" t="s">
        <v>54</v>
      </c>
      <c r="C1251" s="2" t="s">
        <v>54</v>
      </c>
      <c r="D1251" s="2" t="s">
        <v>3168</v>
      </c>
      <c r="E1251" s="2" t="s">
        <v>3169</v>
      </c>
      <c r="F1251" s="3">
        <v>890211.87</v>
      </c>
      <c r="G1251" s="3">
        <v>1024450</v>
      </c>
      <c r="H1251" s="3">
        <v>1410172</v>
      </c>
      <c r="I1251" s="3">
        <v>1452508</v>
      </c>
      <c r="J1251" s="3">
        <v>1457872</v>
      </c>
      <c r="K1251" s="3">
        <v>1508898</v>
      </c>
      <c r="L1251" s="4">
        <v>1457872</v>
      </c>
      <c r="M1251" s="4">
        <v>1508898</v>
      </c>
      <c r="N1251" s="4">
        <v>1457872</v>
      </c>
      <c r="O1251" s="4">
        <v>1508898</v>
      </c>
      <c r="P1251" s="4">
        <v>1457872</v>
      </c>
      <c r="Q1251" s="4">
        <v>1508898</v>
      </c>
      <c r="R1251" s="4">
        <v>2063870</v>
      </c>
      <c r="S1251" s="4">
        <v>2146425</v>
      </c>
      <c r="T1251" s="4">
        <v>2063870</v>
      </c>
      <c r="U1251" s="4">
        <v>2146425</v>
      </c>
      <c r="V1251" s="4">
        <v>2063870</v>
      </c>
      <c r="W1251" s="4">
        <v>2146425</v>
      </c>
      <c r="X1251" s="4">
        <v>2063870</v>
      </c>
      <c r="Y1251" s="4">
        <v>2146425</v>
      </c>
    </row>
    <row r="1252" spans="1:25" ht="19.5" customHeight="1" x14ac:dyDescent="0.25">
      <c r="A1252" s="2" t="s">
        <v>3129</v>
      </c>
      <c r="B1252" s="2" t="s">
        <v>54</v>
      </c>
      <c r="C1252" s="2" t="s">
        <v>54</v>
      </c>
      <c r="D1252" s="2" t="s">
        <v>3170</v>
      </c>
      <c r="E1252" s="2" t="s">
        <v>3171</v>
      </c>
      <c r="F1252" s="3">
        <v>39474.980000000003</v>
      </c>
      <c r="G1252" s="3">
        <v>40000</v>
      </c>
      <c r="H1252" s="3">
        <v>50000</v>
      </c>
      <c r="I1252" s="3">
        <v>50000</v>
      </c>
      <c r="J1252" s="3">
        <v>50000</v>
      </c>
      <c r="K1252" s="3">
        <v>50000</v>
      </c>
      <c r="L1252" s="4">
        <v>50000</v>
      </c>
      <c r="M1252" s="4">
        <v>50000</v>
      </c>
      <c r="N1252" s="4">
        <v>50000</v>
      </c>
      <c r="O1252" s="4">
        <v>50000</v>
      </c>
      <c r="P1252" s="4">
        <v>50000</v>
      </c>
      <c r="Q1252" s="4">
        <v>50000</v>
      </c>
      <c r="R1252" s="4">
        <v>50000</v>
      </c>
      <c r="S1252" s="4">
        <v>50000</v>
      </c>
      <c r="T1252" s="4">
        <v>50000</v>
      </c>
      <c r="U1252" s="4">
        <v>50000</v>
      </c>
      <c r="V1252" s="4">
        <v>50000</v>
      </c>
      <c r="W1252" s="4">
        <v>50000</v>
      </c>
      <c r="X1252" s="4">
        <v>50000</v>
      </c>
      <c r="Y1252" s="4">
        <v>50000</v>
      </c>
    </row>
    <row r="1253" spans="1:25" ht="19.5" customHeight="1" x14ac:dyDescent="0.25">
      <c r="A1253" s="2" t="s">
        <v>3129</v>
      </c>
      <c r="B1253" s="2" t="s">
        <v>54</v>
      </c>
      <c r="C1253" s="2" t="s">
        <v>54</v>
      </c>
      <c r="D1253" s="2" t="s">
        <v>3172</v>
      </c>
      <c r="E1253" s="2" t="s">
        <v>3173</v>
      </c>
      <c r="F1253" s="3">
        <v>83462160.269999996</v>
      </c>
      <c r="G1253" s="3">
        <v>82598981</v>
      </c>
      <c r="H1253" s="3">
        <v>125000000</v>
      </c>
      <c r="I1253" s="3">
        <v>125000000</v>
      </c>
      <c r="J1253" s="3">
        <v>133104000</v>
      </c>
      <c r="K1253" s="3">
        <v>137112000</v>
      </c>
      <c r="L1253" s="4">
        <v>133104000</v>
      </c>
      <c r="M1253" s="4">
        <v>137112000</v>
      </c>
      <c r="N1253" s="4">
        <v>133104000</v>
      </c>
      <c r="O1253" s="4">
        <v>137112000</v>
      </c>
      <c r="P1253" s="4">
        <v>130104000</v>
      </c>
      <c r="Q1253" s="4">
        <v>134112000</v>
      </c>
      <c r="R1253" s="4">
        <v>129197392</v>
      </c>
      <c r="S1253" s="4">
        <v>133138934</v>
      </c>
      <c r="T1253" s="4">
        <v>129197392</v>
      </c>
      <c r="U1253" s="4">
        <v>133138934</v>
      </c>
      <c r="V1253" s="4">
        <v>132197392</v>
      </c>
      <c r="W1253" s="4">
        <v>136138934</v>
      </c>
      <c r="X1253" s="4">
        <v>132197392</v>
      </c>
      <c r="Y1253" s="4">
        <v>136138934</v>
      </c>
    </row>
    <row r="1254" spans="1:25" ht="19.5" customHeight="1" x14ac:dyDescent="0.25">
      <c r="A1254" s="2" t="s">
        <v>3174</v>
      </c>
      <c r="B1254" s="2" t="s">
        <v>16</v>
      </c>
      <c r="C1254" s="2" t="s">
        <v>3175</v>
      </c>
      <c r="D1254" s="2" t="s">
        <v>3176</v>
      </c>
      <c r="E1254" s="2" t="s">
        <v>3177</v>
      </c>
      <c r="F1254" s="3">
        <v>827321.36</v>
      </c>
      <c r="G1254" s="3">
        <v>1200000</v>
      </c>
      <c r="H1254" s="3">
        <v>2200000</v>
      </c>
      <c r="I1254" s="3">
        <v>2200000</v>
      </c>
      <c r="J1254" s="3">
        <v>2200000</v>
      </c>
      <c r="K1254" s="3">
        <v>2200000</v>
      </c>
      <c r="L1254" s="4">
        <v>2200000</v>
      </c>
      <c r="M1254" s="4">
        <v>2200000</v>
      </c>
      <c r="N1254" s="4">
        <v>2200000</v>
      </c>
      <c r="O1254" s="4">
        <v>2200000</v>
      </c>
      <c r="P1254" s="4">
        <v>2200000</v>
      </c>
      <c r="Q1254" s="4">
        <v>2200000</v>
      </c>
      <c r="R1254" s="4">
        <v>2200000</v>
      </c>
      <c r="S1254" s="4">
        <v>2200000</v>
      </c>
      <c r="T1254" s="4">
        <v>2200000</v>
      </c>
      <c r="U1254" s="4">
        <v>2200000</v>
      </c>
      <c r="V1254" s="4">
        <v>2200000</v>
      </c>
      <c r="W1254" s="4">
        <v>2200000</v>
      </c>
      <c r="X1254" s="4">
        <v>2200000</v>
      </c>
      <c r="Y1254" s="4">
        <v>2200000</v>
      </c>
    </row>
    <row r="1255" spans="1:25" ht="19.5" customHeight="1" x14ac:dyDescent="0.25">
      <c r="A1255" s="2" t="s">
        <v>3174</v>
      </c>
      <c r="B1255" s="2" t="s">
        <v>16</v>
      </c>
      <c r="C1255" s="2" t="s">
        <v>3178</v>
      </c>
      <c r="D1255" s="2" t="s">
        <v>3179</v>
      </c>
      <c r="E1255" s="2" t="s">
        <v>3180</v>
      </c>
      <c r="F1255" s="3">
        <v>346093.66</v>
      </c>
      <c r="G1255" s="3">
        <v>346253</v>
      </c>
      <c r="H1255" s="3">
        <v>346253</v>
      </c>
      <c r="I1255" s="3">
        <v>346253</v>
      </c>
      <c r="J1255" s="3">
        <v>346253</v>
      </c>
      <c r="K1255" s="3">
        <v>346253</v>
      </c>
      <c r="L1255" s="4">
        <v>346253</v>
      </c>
      <c r="M1255" s="4">
        <v>346253</v>
      </c>
      <c r="N1255" s="4">
        <v>346253</v>
      </c>
      <c r="O1255" s="4">
        <v>346253</v>
      </c>
      <c r="P1255" s="4">
        <v>346253</v>
      </c>
      <c r="Q1255" s="4">
        <v>346253</v>
      </c>
      <c r="R1255" s="4">
        <v>346253</v>
      </c>
      <c r="S1255" s="4">
        <v>346253</v>
      </c>
      <c r="T1255" s="4">
        <v>346253</v>
      </c>
      <c r="U1255" s="4">
        <v>346253</v>
      </c>
      <c r="V1255" s="4">
        <v>346253</v>
      </c>
      <c r="W1255" s="4">
        <v>346253</v>
      </c>
      <c r="X1255" s="4">
        <v>346253</v>
      </c>
      <c r="Y1255" s="4">
        <v>346253</v>
      </c>
    </row>
    <row r="1256" spans="1:25" ht="19.5" customHeight="1" x14ac:dyDescent="0.25">
      <c r="A1256" s="2" t="s">
        <v>3174</v>
      </c>
      <c r="B1256" s="2" t="s">
        <v>16</v>
      </c>
      <c r="C1256" s="2" t="s">
        <v>3181</v>
      </c>
      <c r="D1256" s="2" t="s">
        <v>3182</v>
      </c>
      <c r="E1256" s="2" t="s">
        <v>3183</v>
      </c>
      <c r="F1256" s="3">
        <v>889858.38</v>
      </c>
      <c r="G1256" s="3">
        <v>1095195</v>
      </c>
      <c r="H1256" s="3">
        <v>1205185</v>
      </c>
      <c r="I1256" s="3">
        <v>1205185</v>
      </c>
      <c r="J1256" s="3">
        <v>1205185</v>
      </c>
      <c r="K1256" s="3">
        <v>1205185</v>
      </c>
      <c r="L1256" s="4">
        <v>1205185</v>
      </c>
      <c r="M1256" s="4">
        <v>1205185</v>
      </c>
      <c r="N1256" s="4">
        <v>1205185</v>
      </c>
      <c r="O1256" s="4">
        <v>1205185</v>
      </c>
      <c r="P1256" s="4">
        <v>1205185</v>
      </c>
      <c r="Q1256" s="4">
        <v>1205185</v>
      </c>
      <c r="R1256" s="4">
        <v>1205185</v>
      </c>
      <c r="S1256" s="4">
        <v>1205185</v>
      </c>
      <c r="T1256" s="4">
        <v>1205185</v>
      </c>
      <c r="U1256" s="4">
        <v>1205185</v>
      </c>
      <c r="V1256" s="4">
        <v>1205185</v>
      </c>
      <c r="W1256" s="4">
        <v>1205185</v>
      </c>
      <c r="X1256" s="4">
        <v>1205185</v>
      </c>
      <c r="Y1256" s="4">
        <v>1205185</v>
      </c>
    </row>
    <row r="1257" spans="1:25" ht="19.5" customHeight="1" x14ac:dyDescent="0.25">
      <c r="A1257" s="2" t="s">
        <v>3174</v>
      </c>
      <c r="B1257" s="2" t="s">
        <v>16</v>
      </c>
      <c r="C1257" s="2" t="s">
        <v>3184</v>
      </c>
      <c r="D1257" s="2" t="s">
        <v>3185</v>
      </c>
      <c r="E1257" s="2" t="s">
        <v>3186</v>
      </c>
      <c r="F1257" s="3">
        <v>32728283.91</v>
      </c>
      <c r="G1257" s="3">
        <v>36015760</v>
      </c>
      <c r="H1257" s="3">
        <v>36615760</v>
      </c>
      <c r="I1257" s="3">
        <v>36615760</v>
      </c>
      <c r="J1257" s="3">
        <v>36615760</v>
      </c>
      <c r="K1257" s="3">
        <v>36615760</v>
      </c>
      <c r="L1257" s="4">
        <v>36615760</v>
      </c>
      <c r="M1257" s="4">
        <v>36615760</v>
      </c>
      <c r="N1257" s="4">
        <v>36615760</v>
      </c>
      <c r="O1257" s="4">
        <v>36615760</v>
      </c>
      <c r="P1257" s="4">
        <v>36615760</v>
      </c>
      <c r="Q1257" s="4">
        <v>36615760</v>
      </c>
      <c r="R1257" s="4">
        <v>36615760</v>
      </c>
      <c r="S1257" s="4">
        <v>36615760</v>
      </c>
      <c r="T1257" s="4">
        <v>36615760</v>
      </c>
      <c r="U1257" s="4">
        <v>36615760</v>
      </c>
      <c r="V1257" s="4">
        <v>36615760</v>
      </c>
      <c r="W1257" s="4">
        <v>36615760</v>
      </c>
      <c r="X1257" s="4">
        <v>36615760</v>
      </c>
      <c r="Y1257" s="4">
        <v>36615760</v>
      </c>
    </row>
    <row r="1258" spans="1:25" ht="19.5" customHeight="1" x14ac:dyDescent="0.25">
      <c r="A1258" s="2" t="s">
        <v>3174</v>
      </c>
      <c r="B1258" s="2" t="s">
        <v>16</v>
      </c>
      <c r="C1258" s="2" t="s">
        <v>3184</v>
      </c>
      <c r="D1258" s="2" t="s">
        <v>3187</v>
      </c>
      <c r="E1258" s="2" t="s">
        <v>3188</v>
      </c>
      <c r="F1258" s="3">
        <v>25925</v>
      </c>
      <c r="G1258" s="3">
        <v>67521</v>
      </c>
      <c r="H1258" s="3">
        <v>85000</v>
      </c>
      <c r="I1258" s="3">
        <v>85000</v>
      </c>
      <c r="J1258" s="3">
        <v>85000</v>
      </c>
      <c r="K1258" s="3">
        <v>85000</v>
      </c>
      <c r="L1258" s="4">
        <v>85000</v>
      </c>
      <c r="M1258" s="4">
        <v>85000</v>
      </c>
      <c r="N1258" s="4">
        <v>85000</v>
      </c>
      <c r="O1258" s="4">
        <v>85000</v>
      </c>
      <c r="P1258" s="4">
        <v>85000</v>
      </c>
      <c r="Q1258" s="4">
        <v>85000</v>
      </c>
      <c r="R1258" s="4">
        <v>85000</v>
      </c>
      <c r="S1258" s="4">
        <v>85000</v>
      </c>
      <c r="T1258" s="4">
        <v>85000</v>
      </c>
      <c r="U1258" s="4">
        <v>85000</v>
      </c>
      <c r="V1258" s="4">
        <v>85000</v>
      </c>
      <c r="W1258" s="4">
        <v>85000</v>
      </c>
      <c r="X1258" s="4">
        <v>85000</v>
      </c>
      <c r="Y1258" s="4">
        <v>85000</v>
      </c>
    </row>
    <row r="1259" spans="1:25" ht="19.5" customHeight="1" x14ac:dyDescent="0.25">
      <c r="A1259" s="2" t="s">
        <v>3174</v>
      </c>
      <c r="B1259" s="2" t="s">
        <v>16</v>
      </c>
      <c r="C1259" s="2" t="s">
        <v>3189</v>
      </c>
      <c r="D1259" s="2" t="s">
        <v>3190</v>
      </c>
      <c r="E1259" s="2" t="s">
        <v>3191</v>
      </c>
      <c r="F1259" s="3">
        <v>200524.75</v>
      </c>
      <c r="G1259" s="3">
        <v>195000</v>
      </c>
      <c r="H1259" s="3">
        <v>195000</v>
      </c>
      <c r="I1259" s="3">
        <v>195000</v>
      </c>
      <c r="J1259" s="3">
        <v>195000</v>
      </c>
      <c r="K1259" s="3">
        <v>195000</v>
      </c>
      <c r="L1259" s="4">
        <v>195000</v>
      </c>
      <c r="M1259" s="4">
        <v>195000</v>
      </c>
      <c r="N1259" s="4">
        <v>195000</v>
      </c>
      <c r="O1259" s="4">
        <v>195000</v>
      </c>
      <c r="P1259" s="4">
        <v>195000</v>
      </c>
      <c r="Q1259" s="4">
        <v>195000</v>
      </c>
      <c r="R1259" s="4">
        <v>195000</v>
      </c>
      <c r="S1259" s="4">
        <v>195000</v>
      </c>
      <c r="T1259" s="4">
        <v>195000</v>
      </c>
      <c r="U1259" s="4">
        <v>195000</v>
      </c>
      <c r="V1259" s="4">
        <v>195000</v>
      </c>
      <c r="W1259" s="4">
        <v>195000</v>
      </c>
      <c r="X1259" s="4">
        <v>195000</v>
      </c>
      <c r="Y1259" s="4">
        <v>195000</v>
      </c>
    </row>
    <row r="1260" spans="1:25" ht="19.5" customHeight="1" x14ac:dyDescent="0.25">
      <c r="A1260" s="2" t="s">
        <v>3174</v>
      </c>
      <c r="B1260" s="2" t="s">
        <v>16</v>
      </c>
      <c r="C1260" s="2" t="s">
        <v>3189</v>
      </c>
      <c r="D1260" s="2" t="s">
        <v>3192</v>
      </c>
      <c r="E1260" s="2" t="s">
        <v>3193</v>
      </c>
      <c r="F1260" s="3">
        <v>505494.86</v>
      </c>
      <c r="G1260" s="3">
        <v>450000</v>
      </c>
      <c r="H1260" s="3">
        <v>450000</v>
      </c>
      <c r="I1260" s="3">
        <v>450000</v>
      </c>
      <c r="J1260" s="3">
        <v>450000</v>
      </c>
      <c r="K1260" s="3">
        <v>450000</v>
      </c>
      <c r="L1260" s="4">
        <v>450000</v>
      </c>
      <c r="M1260" s="4">
        <v>450000</v>
      </c>
      <c r="N1260" s="4">
        <v>450000</v>
      </c>
      <c r="O1260" s="4">
        <v>450000</v>
      </c>
      <c r="P1260" s="4">
        <v>450000</v>
      </c>
      <c r="Q1260" s="4">
        <v>450000</v>
      </c>
      <c r="R1260" s="4">
        <v>450000</v>
      </c>
      <c r="S1260" s="4">
        <v>450000</v>
      </c>
      <c r="T1260" s="4">
        <v>450000</v>
      </c>
      <c r="U1260" s="4">
        <v>450000</v>
      </c>
      <c r="V1260" s="4">
        <v>450000</v>
      </c>
      <c r="W1260" s="4">
        <v>450000</v>
      </c>
      <c r="X1260" s="4">
        <v>450000</v>
      </c>
      <c r="Y1260" s="4">
        <v>450000</v>
      </c>
    </row>
    <row r="1261" spans="1:25" ht="19.5" customHeight="1" x14ac:dyDescent="0.25">
      <c r="A1261" s="2" t="s">
        <v>3174</v>
      </c>
      <c r="B1261" s="2" t="s">
        <v>16</v>
      </c>
      <c r="C1261" s="2" t="s">
        <v>3189</v>
      </c>
      <c r="D1261" s="2" t="s">
        <v>3194</v>
      </c>
      <c r="E1261" s="2" t="s">
        <v>3195</v>
      </c>
      <c r="F1261" s="3">
        <v>77306.149999999994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4">
        <v>0</v>
      </c>
      <c r="M1261" s="4">
        <v>0</v>
      </c>
      <c r="N1261" s="4">
        <v>0</v>
      </c>
      <c r="O1261" s="4">
        <v>0</v>
      </c>
      <c r="P1261" s="4">
        <v>0</v>
      </c>
      <c r="Q1261" s="4">
        <v>0</v>
      </c>
      <c r="R1261" s="4">
        <v>0</v>
      </c>
      <c r="S1261" s="4">
        <v>0</v>
      </c>
      <c r="T1261" s="4">
        <v>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</row>
    <row r="1262" spans="1:25" ht="19.5" customHeight="1" x14ac:dyDescent="0.25">
      <c r="A1262" s="2" t="s">
        <v>3174</v>
      </c>
      <c r="B1262" s="2" t="s">
        <v>16</v>
      </c>
      <c r="C1262" s="2" t="s">
        <v>3189</v>
      </c>
      <c r="D1262" s="2" t="s">
        <v>3196</v>
      </c>
      <c r="E1262" s="2" t="s">
        <v>3197</v>
      </c>
      <c r="F1262" s="3">
        <v>283819.11</v>
      </c>
      <c r="G1262" s="3">
        <v>299942</v>
      </c>
      <c r="H1262" s="3">
        <v>299942</v>
      </c>
      <c r="I1262" s="3">
        <v>299942</v>
      </c>
      <c r="J1262" s="3">
        <v>299942</v>
      </c>
      <c r="K1262" s="3">
        <v>299942</v>
      </c>
      <c r="L1262" s="4">
        <v>299942</v>
      </c>
      <c r="M1262" s="4">
        <v>299942</v>
      </c>
      <c r="N1262" s="4">
        <v>299942</v>
      </c>
      <c r="O1262" s="4">
        <v>299942</v>
      </c>
      <c r="P1262" s="4">
        <v>299942</v>
      </c>
      <c r="Q1262" s="4">
        <v>299942</v>
      </c>
      <c r="R1262" s="4">
        <v>299942</v>
      </c>
      <c r="S1262" s="4">
        <v>299942</v>
      </c>
      <c r="T1262" s="4">
        <v>299942</v>
      </c>
      <c r="U1262" s="4">
        <v>299942</v>
      </c>
      <c r="V1262" s="4">
        <v>299942</v>
      </c>
      <c r="W1262" s="4">
        <v>299942</v>
      </c>
      <c r="X1262" s="4">
        <v>299942</v>
      </c>
      <c r="Y1262" s="4">
        <v>299942</v>
      </c>
    </row>
    <row r="1263" spans="1:25" ht="19.5" customHeight="1" x14ac:dyDescent="0.25">
      <c r="A1263" s="2" t="s">
        <v>3174</v>
      </c>
      <c r="B1263" s="2" t="s">
        <v>16</v>
      </c>
      <c r="C1263" s="2" t="s">
        <v>3189</v>
      </c>
      <c r="D1263" s="2" t="s">
        <v>3198</v>
      </c>
      <c r="E1263" s="2" t="s">
        <v>3199</v>
      </c>
      <c r="F1263" s="3">
        <v>241189.33</v>
      </c>
      <c r="G1263" s="3">
        <v>1165000</v>
      </c>
      <c r="H1263" s="3">
        <v>1165000</v>
      </c>
      <c r="I1263" s="3">
        <v>1165000</v>
      </c>
      <c r="J1263" s="3">
        <v>1165000</v>
      </c>
      <c r="K1263" s="3">
        <v>1165000</v>
      </c>
      <c r="L1263" s="4">
        <v>1165000</v>
      </c>
      <c r="M1263" s="4">
        <v>1165000</v>
      </c>
      <c r="N1263" s="4">
        <v>1165000</v>
      </c>
      <c r="O1263" s="4">
        <v>1165000</v>
      </c>
      <c r="P1263" s="4">
        <v>1165000</v>
      </c>
      <c r="Q1263" s="4">
        <v>1165000</v>
      </c>
      <c r="R1263" s="4">
        <v>1165000</v>
      </c>
      <c r="S1263" s="4">
        <v>1165000</v>
      </c>
      <c r="T1263" s="4">
        <v>1165000</v>
      </c>
      <c r="U1263" s="4">
        <v>1165000</v>
      </c>
      <c r="V1263" s="4">
        <v>1165000</v>
      </c>
      <c r="W1263" s="4">
        <v>1165000</v>
      </c>
      <c r="X1263" s="4">
        <v>1165000</v>
      </c>
      <c r="Y1263" s="4">
        <v>1165000</v>
      </c>
    </row>
    <row r="1264" spans="1:25" ht="19.5" customHeight="1" x14ac:dyDescent="0.25">
      <c r="A1264" s="2" t="s">
        <v>3174</v>
      </c>
      <c r="B1264" s="2" t="s">
        <v>16</v>
      </c>
      <c r="C1264" s="2" t="s">
        <v>3189</v>
      </c>
      <c r="D1264" s="2" t="s">
        <v>3200</v>
      </c>
      <c r="E1264" s="2" t="s">
        <v>3201</v>
      </c>
      <c r="F1264" s="3">
        <v>6147390.7800000003</v>
      </c>
      <c r="G1264" s="3">
        <v>4919696</v>
      </c>
      <c r="H1264" s="3">
        <v>4919696</v>
      </c>
      <c r="I1264" s="3">
        <v>4919696</v>
      </c>
      <c r="J1264" s="3">
        <v>4919696</v>
      </c>
      <c r="K1264" s="3">
        <v>4919696</v>
      </c>
      <c r="L1264" s="4">
        <v>4919696</v>
      </c>
      <c r="M1264" s="4">
        <v>4919696</v>
      </c>
      <c r="N1264" s="4">
        <v>4919696</v>
      </c>
      <c r="O1264" s="4">
        <v>4919696</v>
      </c>
      <c r="P1264" s="4">
        <v>4919696</v>
      </c>
      <c r="Q1264" s="4">
        <v>4919696</v>
      </c>
      <c r="R1264" s="4">
        <v>4919696</v>
      </c>
      <c r="S1264" s="4">
        <v>4919696</v>
      </c>
      <c r="T1264" s="4">
        <v>4919696</v>
      </c>
      <c r="U1264" s="4">
        <v>4919696</v>
      </c>
      <c r="V1264" s="4">
        <v>4919696</v>
      </c>
      <c r="W1264" s="4">
        <v>4919696</v>
      </c>
      <c r="X1264" s="4">
        <v>4919696</v>
      </c>
      <c r="Y1264" s="4">
        <v>4919696</v>
      </c>
    </row>
    <row r="1265" spans="1:25" ht="19.5" customHeight="1" x14ac:dyDescent="0.25">
      <c r="A1265" s="2" t="s">
        <v>3174</v>
      </c>
      <c r="B1265" s="2" t="s">
        <v>16</v>
      </c>
      <c r="C1265" s="2" t="s">
        <v>3202</v>
      </c>
      <c r="D1265" s="2" t="s">
        <v>3203</v>
      </c>
      <c r="E1265" s="2" t="s">
        <v>3204</v>
      </c>
      <c r="F1265" s="3">
        <v>1579798.33</v>
      </c>
      <c r="G1265" s="3">
        <v>1500000</v>
      </c>
      <c r="H1265" s="3">
        <v>3000000</v>
      </c>
      <c r="I1265" s="3">
        <v>3000000</v>
      </c>
      <c r="J1265" s="3">
        <v>3000000</v>
      </c>
      <c r="K1265" s="3">
        <v>3000000</v>
      </c>
      <c r="L1265" s="4">
        <v>3000000</v>
      </c>
      <c r="M1265" s="4">
        <v>3000000</v>
      </c>
      <c r="N1265" s="4">
        <v>3000000</v>
      </c>
      <c r="O1265" s="4">
        <v>3000000</v>
      </c>
      <c r="P1265" s="4">
        <v>3000000</v>
      </c>
      <c r="Q1265" s="4">
        <v>3000000</v>
      </c>
      <c r="R1265" s="4">
        <v>3000000</v>
      </c>
      <c r="S1265" s="4">
        <v>3000000</v>
      </c>
      <c r="T1265" s="4">
        <v>3000000</v>
      </c>
      <c r="U1265" s="4">
        <v>3000000</v>
      </c>
      <c r="V1265" s="4">
        <v>3000000</v>
      </c>
      <c r="W1265" s="4">
        <v>3000000</v>
      </c>
      <c r="X1265" s="4">
        <v>3000000</v>
      </c>
      <c r="Y1265" s="4">
        <v>3000000</v>
      </c>
    </row>
    <row r="1266" spans="1:25" ht="19.5" customHeight="1" x14ac:dyDescent="0.25">
      <c r="A1266" s="2" t="s">
        <v>3174</v>
      </c>
      <c r="B1266" s="2" t="s">
        <v>16</v>
      </c>
      <c r="C1266" s="2" t="s">
        <v>3205</v>
      </c>
      <c r="D1266" s="2" t="s">
        <v>3206</v>
      </c>
      <c r="E1266" s="2" t="s">
        <v>3207</v>
      </c>
      <c r="F1266" s="3">
        <v>0</v>
      </c>
      <c r="G1266" s="4">
        <v>0</v>
      </c>
      <c r="H1266" s="4">
        <v>50000</v>
      </c>
      <c r="I1266" s="4">
        <v>50000</v>
      </c>
      <c r="J1266" s="4">
        <v>50000</v>
      </c>
      <c r="K1266" s="4">
        <v>50000</v>
      </c>
      <c r="L1266" s="4">
        <v>50000</v>
      </c>
      <c r="M1266" s="4">
        <v>50000</v>
      </c>
      <c r="N1266" s="4">
        <v>50000</v>
      </c>
      <c r="O1266" s="4">
        <v>50000</v>
      </c>
      <c r="P1266" s="4">
        <v>50000</v>
      </c>
      <c r="Q1266" s="4">
        <v>50000</v>
      </c>
      <c r="R1266" s="4">
        <v>50000</v>
      </c>
      <c r="S1266" s="4">
        <v>50000</v>
      </c>
      <c r="T1266" s="4">
        <v>50000</v>
      </c>
      <c r="U1266" s="4">
        <v>50000</v>
      </c>
      <c r="V1266" s="4">
        <v>50000</v>
      </c>
      <c r="W1266" s="4">
        <v>50000</v>
      </c>
      <c r="X1266" s="4">
        <v>50000</v>
      </c>
      <c r="Y1266" s="4">
        <v>50000</v>
      </c>
    </row>
    <row r="1267" spans="1:25" ht="19.5" customHeight="1" x14ac:dyDescent="0.25">
      <c r="A1267" s="2" t="s">
        <v>3174</v>
      </c>
      <c r="B1267" s="2" t="s">
        <v>16</v>
      </c>
      <c r="C1267" s="2" t="s">
        <v>3208</v>
      </c>
      <c r="D1267" s="2" t="s">
        <v>3209</v>
      </c>
      <c r="E1267" s="2" t="s">
        <v>3210</v>
      </c>
      <c r="F1267" s="3">
        <v>0</v>
      </c>
      <c r="G1267" s="3">
        <v>0</v>
      </c>
      <c r="H1267" s="3">
        <v>316000</v>
      </c>
      <c r="I1267" s="3">
        <v>316000</v>
      </c>
      <c r="J1267" s="3">
        <v>316000</v>
      </c>
      <c r="K1267" s="3">
        <v>316000</v>
      </c>
      <c r="L1267" s="4">
        <v>316000</v>
      </c>
      <c r="M1267" s="4">
        <v>316000</v>
      </c>
      <c r="N1267" s="4">
        <v>316000</v>
      </c>
      <c r="O1267" s="4">
        <v>316000</v>
      </c>
      <c r="P1267" s="4">
        <v>316000</v>
      </c>
      <c r="Q1267" s="4">
        <v>316000</v>
      </c>
      <c r="R1267" s="4">
        <v>316000</v>
      </c>
      <c r="S1267" s="4">
        <v>316000</v>
      </c>
      <c r="T1267" s="4">
        <v>316000</v>
      </c>
      <c r="U1267" s="4">
        <v>316000</v>
      </c>
      <c r="V1267" s="4">
        <v>316000</v>
      </c>
      <c r="W1267" s="4">
        <v>316000</v>
      </c>
      <c r="X1267" s="4">
        <v>316000</v>
      </c>
      <c r="Y1267" s="4">
        <v>316000</v>
      </c>
    </row>
    <row r="1268" spans="1:25" ht="19.5" customHeight="1" x14ac:dyDescent="0.25">
      <c r="A1268" s="2" t="s">
        <v>3174</v>
      </c>
      <c r="B1268" s="2" t="s">
        <v>44</v>
      </c>
      <c r="C1268" s="2" t="s">
        <v>3211</v>
      </c>
      <c r="D1268" s="2" t="s">
        <v>3212</v>
      </c>
      <c r="E1268" s="2" t="s">
        <v>3213</v>
      </c>
      <c r="F1268" s="3">
        <v>1118062.19</v>
      </c>
      <c r="G1268" s="3">
        <v>1397959</v>
      </c>
      <c r="H1268" s="3">
        <v>1397959</v>
      </c>
      <c r="I1268" s="3">
        <v>1397959</v>
      </c>
      <c r="J1268" s="3">
        <v>1397959</v>
      </c>
      <c r="K1268" s="3">
        <v>1397959</v>
      </c>
      <c r="L1268" s="4">
        <v>1397959</v>
      </c>
      <c r="M1268" s="4">
        <v>1397959</v>
      </c>
      <c r="N1268" s="4">
        <v>1397959</v>
      </c>
      <c r="O1268" s="4">
        <v>1397959</v>
      </c>
      <c r="P1268" s="4">
        <v>1397959</v>
      </c>
      <c r="Q1268" s="4">
        <v>1397959</v>
      </c>
      <c r="R1268" s="4">
        <v>1397959</v>
      </c>
      <c r="S1268" s="4">
        <v>1397959</v>
      </c>
      <c r="T1268" s="4">
        <v>1397959</v>
      </c>
      <c r="U1268" s="4">
        <v>1397959</v>
      </c>
      <c r="V1268" s="4">
        <v>1397959</v>
      </c>
      <c r="W1268" s="4">
        <v>1397959</v>
      </c>
      <c r="X1268" s="4">
        <v>1397959</v>
      </c>
      <c r="Y1268" s="4">
        <v>1397959</v>
      </c>
    </row>
    <row r="1269" spans="1:25" ht="19.5" customHeight="1" x14ac:dyDescent="0.25">
      <c r="A1269" s="2" t="s">
        <v>3174</v>
      </c>
      <c r="B1269" s="2" t="s">
        <v>44</v>
      </c>
      <c r="C1269" s="2" t="s">
        <v>3214</v>
      </c>
      <c r="D1269" s="2" t="s">
        <v>3215</v>
      </c>
      <c r="E1269" s="2" t="s">
        <v>3216</v>
      </c>
      <c r="F1269" s="3">
        <v>11019905.390000001</v>
      </c>
      <c r="G1269" s="4">
        <v>10082069</v>
      </c>
      <c r="H1269" s="4">
        <v>10082069</v>
      </c>
      <c r="I1269" s="4">
        <v>10082069</v>
      </c>
      <c r="J1269" s="4">
        <v>10082069</v>
      </c>
      <c r="K1269" s="4">
        <v>10082069</v>
      </c>
      <c r="L1269" s="4">
        <v>10082069</v>
      </c>
      <c r="M1269" s="4">
        <v>10082069</v>
      </c>
      <c r="N1269" s="4">
        <v>10082069</v>
      </c>
      <c r="O1269" s="4">
        <v>10082069</v>
      </c>
      <c r="P1269" s="4">
        <v>10082069</v>
      </c>
      <c r="Q1269" s="4">
        <v>10082069</v>
      </c>
      <c r="R1269" s="4">
        <v>10082069</v>
      </c>
      <c r="S1269" s="4">
        <v>10082069</v>
      </c>
      <c r="T1269" s="4">
        <v>10082069</v>
      </c>
      <c r="U1269" s="4">
        <v>10082069</v>
      </c>
      <c r="V1269" s="4">
        <v>10082069</v>
      </c>
      <c r="W1269" s="4">
        <v>10082069</v>
      </c>
      <c r="X1269" s="4">
        <v>10082069</v>
      </c>
      <c r="Y1269" s="4">
        <v>10082069</v>
      </c>
    </row>
    <row r="1270" spans="1:25" ht="19.5" customHeight="1" x14ac:dyDescent="0.25">
      <c r="A1270" s="2" t="s">
        <v>3174</v>
      </c>
      <c r="B1270" s="2" t="s">
        <v>44</v>
      </c>
      <c r="C1270" s="2" t="s">
        <v>3214</v>
      </c>
      <c r="D1270" s="2" t="s">
        <v>3217</v>
      </c>
      <c r="E1270" s="2" t="s">
        <v>3218</v>
      </c>
      <c r="F1270" s="3">
        <v>1314066.33</v>
      </c>
      <c r="G1270" s="3">
        <v>450000</v>
      </c>
      <c r="H1270" s="3">
        <v>450000</v>
      </c>
      <c r="I1270" s="3">
        <v>450000</v>
      </c>
      <c r="J1270" s="3">
        <v>450000</v>
      </c>
      <c r="K1270" s="3">
        <v>450000</v>
      </c>
      <c r="L1270" s="4">
        <v>450000</v>
      </c>
      <c r="M1270" s="4">
        <v>450000</v>
      </c>
      <c r="N1270" s="4">
        <v>450000</v>
      </c>
      <c r="O1270" s="4">
        <v>450000</v>
      </c>
      <c r="P1270" s="4">
        <v>450000</v>
      </c>
      <c r="Q1270" s="4">
        <v>450000</v>
      </c>
      <c r="R1270" s="4">
        <v>450000</v>
      </c>
      <c r="S1270" s="4">
        <v>450000</v>
      </c>
      <c r="T1270" s="4">
        <v>450000</v>
      </c>
      <c r="U1270" s="4">
        <v>450000</v>
      </c>
      <c r="V1270" s="4">
        <v>450000</v>
      </c>
      <c r="W1270" s="4">
        <v>450000</v>
      </c>
      <c r="X1270" s="4">
        <v>450000</v>
      </c>
      <c r="Y1270" s="4">
        <v>450000</v>
      </c>
    </row>
    <row r="1271" spans="1:25" ht="19.5" customHeight="1" x14ac:dyDescent="0.25">
      <c r="A1271" s="2" t="s">
        <v>3174</v>
      </c>
      <c r="B1271" s="2" t="s">
        <v>44</v>
      </c>
      <c r="C1271" s="2" t="s">
        <v>3219</v>
      </c>
      <c r="D1271" s="2" t="s">
        <v>3220</v>
      </c>
      <c r="E1271" s="2" t="s">
        <v>3221</v>
      </c>
      <c r="F1271" s="3">
        <v>145863.10999999999</v>
      </c>
      <c r="G1271" s="3">
        <v>100000</v>
      </c>
      <c r="H1271" s="3">
        <v>21000</v>
      </c>
      <c r="I1271" s="3">
        <v>0</v>
      </c>
      <c r="J1271" s="3">
        <v>21000</v>
      </c>
      <c r="K1271" s="3">
        <v>0</v>
      </c>
      <c r="L1271" s="4">
        <v>21000</v>
      </c>
      <c r="M1271" s="4">
        <v>0</v>
      </c>
      <c r="N1271" s="4">
        <v>21000</v>
      </c>
      <c r="O1271" s="4">
        <v>0</v>
      </c>
      <c r="P1271" s="4">
        <v>21000</v>
      </c>
      <c r="Q1271" s="4">
        <v>0</v>
      </c>
      <c r="R1271" s="4">
        <v>21000</v>
      </c>
      <c r="S1271" s="4">
        <v>0</v>
      </c>
      <c r="T1271" s="4">
        <v>21000</v>
      </c>
      <c r="U1271" s="4">
        <v>0</v>
      </c>
      <c r="V1271" s="4">
        <v>21000</v>
      </c>
      <c r="W1271" s="4">
        <v>0</v>
      </c>
      <c r="X1271" s="4">
        <v>21000</v>
      </c>
      <c r="Y1271" s="4">
        <v>0</v>
      </c>
    </row>
    <row r="1272" spans="1:25" ht="19.5" customHeight="1" x14ac:dyDescent="0.25">
      <c r="A1272" s="2" t="s">
        <v>3222</v>
      </c>
      <c r="B1272" s="2" t="s">
        <v>248</v>
      </c>
      <c r="C1272" s="2" t="s">
        <v>3223</v>
      </c>
      <c r="D1272" s="2" t="s">
        <v>3224</v>
      </c>
      <c r="E1272" s="2" t="s">
        <v>3225</v>
      </c>
      <c r="F1272" s="3">
        <v>873874.52</v>
      </c>
      <c r="G1272" s="3">
        <v>872864</v>
      </c>
      <c r="H1272" s="3">
        <v>937244</v>
      </c>
      <c r="I1272" s="3">
        <v>946036</v>
      </c>
      <c r="J1272" s="3">
        <v>937244</v>
      </c>
      <c r="K1272" s="3">
        <v>946036</v>
      </c>
      <c r="L1272" s="4">
        <v>937244</v>
      </c>
      <c r="M1272" s="4">
        <v>946036</v>
      </c>
      <c r="N1272" s="4">
        <v>937244</v>
      </c>
      <c r="O1272" s="4">
        <v>946036</v>
      </c>
      <c r="P1272" s="4">
        <v>937244</v>
      </c>
      <c r="Q1272" s="4">
        <v>946036</v>
      </c>
      <c r="R1272" s="4">
        <v>937244</v>
      </c>
      <c r="S1272" s="4">
        <v>946036</v>
      </c>
      <c r="T1272" s="4">
        <v>937244</v>
      </c>
      <c r="U1272" s="4">
        <v>946036</v>
      </c>
      <c r="V1272" s="4">
        <v>937244</v>
      </c>
      <c r="W1272" s="4">
        <v>946036</v>
      </c>
      <c r="X1272" s="4">
        <v>937244</v>
      </c>
      <c r="Y1272" s="4">
        <v>946036</v>
      </c>
    </row>
    <row r="1273" spans="1:25" ht="19.5" customHeight="1" x14ac:dyDescent="0.25">
      <c r="A1273" s="2" t="s">
        <v>3222</v>
      </c>
      <c r="B1273" s="2" t="s">
        <v>248</v>
      </c>
      <c r="C1273" s="2" t="s">
        <v>3226</v>
      </c>
      <c r="D1273" s="2" t="s">
        <v>3227</v>
      </c>
      <c r="E1273" s="2" t="s">
        <v>3228</v>
      </c>
      <c r="F1273" s="3">
        <v>294847.28000000003</v>
      </c>
      <c r="G1273" s="3">
        <v>291522</v>
      </c>
      <c r="H1273" s="3">
        <v>304822</v>
      </c>
      <c r="I1273" s="3">
        <v>307922</v>
      </c>
      <c r="J1273" s="3">
        <v>304822</v>
      </c>
      <c r="K1273" s="3">
        <v>307922</v>
      </c>
      <c r="L1273" s="4">
        <v>304822</v>
      </c>
      <c r="M1273" s="4">
        <v>307922</v>
      </c>
      <c r="N1273" s="4">
        <v>304822</v>
      </c>
      <c r="O1273" s="4">
        <v>307922</v>
      </c>
      <c r="P1273" s="4">
        <v>304822</v>
      </c>
      <c r="Q1273" s="4">
        <v>307922</v>
      </c>
      <c r="R1273" s="4">
        <v>304822</v>
      </c>
      <c r="S1273" s="4">
        <v>307922</v>
      </c>
      <c r="T1273" s="4">
        <v>304822</v>
      </c>
      <c r="U1273" s="4">
        <v>307922</v>
      </c>
      <c r="V1273" s="4">
        <v>304822</v>
      </c>
      <c r="W1273" s="4">
        <v>307922</v>
      </c>
      <c r="X1273" s="4">
        <v>304822</v>
      </c>
      <c r="Y1273" s="4">
        <v>307922</v>
      </c>
    </row>
    <row r="1274" spans="1:25" ht="19.5" customHeight="1" x14ac:dyDescent="0.25">
      <c r="A1274" s="2" t="s">
        <v>3222</v>
      </c>
      <c r="B1274" s="2" t="s">
        <v>54</v>
      </c>
      <c r="C1274" s="2" t="s">
        <v>54</v>
      </c>
      <c r="D1274" s="2" t="s">
        <v>3229</v>
      </c>
      <c r="E1274" s="2" t="s">
        <v>3230</v>
      </c>
      <c r="F1274" s="3">
        <v>43681473.600000001</v>
      </c>
      <c r="G1274" s="3">
        <v>43576674</v>
      </c>
      <c r="H1274" s="3">
        <v>50500000</v>
      </c>
      <c r="I1274" s="3">
        <v>53500000</v>
      </c>
      <c r="J1274" s="3">
        <v>50500000</v>
      </c>
      <c r="K1274" s="3">
        <v>53500000</v>
      </c>
      <c r="L1274" s="4">
        <v>50500000</v>
      </c>
      <c r="M1274" s="4">
        <v>53500000</v>
      </c>
      <c r="N1274" s="4">
        <v>50500000</v>
      </c>
      <c r="O1274" s="4">
        <v>53500000</v>
      </c>
      <c r="P1274" s="4">
        <v>50500000</v>
      </c>
      <c r="Q1274" s="4">
        <v>53500000</v>
      </c>
      <c r="R1274" s="4">
        <v>50500000</v>
      </c>
      <c r="S1274" s="4">
        <v>53500000</v>
      </c>
      <c r="T1274" s="4">
        <v>50500000</v>
      </c>
      <c r="U1274" s="4">
        <v>53500000</v>
      </c>
      <c r="V1274" s="4">
        <v>50500000</v>
      </c>
      <c r="W1274" s="4">
        <v>53500000</v>
      </c>
      <c r="X1274" s="4">
        <v>50500000</v>
      </c>
      <c r="Y1274" s="4">
        <v>53500000</v>
      </c>
    </row>
    <row r="1275" spans="1:25" ht="19.5" customHeight="1" x14ac:dyDescent="0.25">
      <c r="A1275" s="2" t="s">
        <v>3222</v>
      </c>
      <c r="B1275" s="2" t="s">
        <v>54</v>
      </c>
      <c r="C1275" s="2" t="s">
        <v>54</v>
      </c>
      <c r="D1275" s="2" t="s">
        <v>3231</v>
      </c>
      <c r="E1275" s="2" t="s">
        <v>3232</v>
      </c>
      <c r="F1275" s="3">
        <v>226688024.38999999</v>
      </c>
      <c r="G1275" s="3">
        <v>132224435</v>
      </c>
      <c r="H1275" s="3">
        <v>246500000</v>
      </c>
      <c r="I1275" s="3">
        <v>237000000</v>
      </c>
      <c r="J1275" s="3">
        <v>246500000</v>
      </c>
      <c r="K1275" s="3">
        <v>237000000</v>
      </c>
      <c r="L1275" s="4">
        <v>246500000</v>
      </c>
      <c r="M1275" s="4">
        <v>237000000</v>
      </c>
      <c r="N1275" s="4">
        <v>246500000</v>
      </c>
      <c r="O1275" s="4">
        <v>237000000</v>
      </c>
      <c r="P1275" s="4">
        <v>246500000</v>
      </c>
      <c r="Q1275" s="4">
        <v>237000000</v>
      </c>
      <c r="R1275" s="4">
        <v>246500000</v>
      </c>
      <c r="S1275" s="4">
        <v>237000000</v>
      </c>
      <c r="T1275" s="4">
        <v>246500000</v>
      </c>
      <c r="U1275" s="4">
        <v>237000000</v>
      </c>
      <c r="V1275" s="4">
        <v>246500000</v>
      </c>
      <c r="W1275" s="4">
        <v>237000000</v>
      </c>
      <c r="X1275" s="4">
        <v>246500000</v>
      </c>
      <c r="Y1275" s="4">
        <v>237000000</v>
      </c>
    </row>
    <row r="1276" spans="1:25" ht="19.5" customHeight="1" x14ac:dyDescent="0.25">
      <c r="A1276" s="2" t="s">
        <v>3233</v>
      </c>
      <c r="B1276" s="2" t="s">
        <v>16</v>
      </c>
      <c r="C1276" s="2" t="s">
        <v>20</v>
      </c>
      <c r="D1276" s="2" t="s">
        <v>3234</v>
      </c>
      <c r="E1276" s="2" t="s">
        <v>22</v>
      </c>
      <c r="F1276" s="3">
        <v>975761.64</v>
      </c>
      <c r="G1276" s="3">
        <v>1168045</v>
      </c>
      <c r="H1276" s="3">
        <v>1168045</v>
      </c>
      <c r="I1276" s="3">
        <v>1168045</v>
      </c>
      <c r="J1276" s="3">
        <v>1168045</v>
      </c>
      <c r="K1276" s="3">
        <v>1168045</v>
      </c>
      <c r="L1276" s="4">
        <v>1168045</v>
      </c>
      <c r="M1276" s="4">
        <v>1168045</v>
      </c>
      <c r="N1276" s="4">
        <v>1168045</v>
      </c>
      <c r="O1276" s="4">
        <v>1168045</v>
      </c>
      <c r="P1276" s="4">
        <v>1168045</v>
      </c>
      <c r="Q1276" s="4">
        <v>1168045</v>
      </c>
      <c r="R1276" s="4">
        <v>1168045</v>
      </c>
      <c r="S1276" s="4">
        <v>1168045</v>
      </c>
      <c r="T1276" s="4">
        <v>1168045</v>
      </c>
      <c r="U1276" s="4">
        <v>1168045</v>
      </c>
      <c r="V1276" s="4">
        <v>1168045</v>
      </c>
      <c r="W1276" s="4">
        <v>1168045</v>
      </c>
      <c r="X1276" s="4">
        <v>1168045</v>
      </c>
      <c r="Y1276" s="4">
        <v>1168045</v>
      </c>
    </row>
    <row r="1277" spans="1:25" ht="19.5" customHeight="1" x14ac:dyDescent="0.25">
      <c r="A1277" s="2" t="s">
        <v>3235</v>
      </c>
      <c r="B1277" s="2" t="s">
        <v>16</v>
      </c>
      <c r="C1277" s="2" t="s">
        <v>3236</v>
      </c>
      <c r="D1277" s="2" t="s">
        <v>3237</v>
      </c>
      <c r="E1277" s="2" t="s">
        <v>3238</v>
      </c>
      <c r="F1277" s="3">
        <v>951601.4</v>
      </c>
      <c r="G1277" s="3">
        <v>833850</v>
      </c>
      <c r="H1277" s="3">
        <v>1200000</v>
      </c>
      <c r="I1277" s="3">
        <v>1200000</v>
      </c>
      <c r="J1277" s="3">
        <v>1200000</v>
      </c>
      <c r="K1277" s="3">
        <v>1200000</v>
      </c>
      <c r="L1277" s="4">
        <v>1200000</v>
      </c>
      <c r="M1277" s="4">
        <v>1200000</v>
      </c>
      <c r="N1277" s="4">
        <v>1200000</v>
      </c>
      <c r="O1277" s="4">
        <v>1200000</v>
      </c>
      <c r="P1277" s="4">
        <v>1200000</v>
      </c>
      <c r="Q1277" s="4">
        <v>1200000</v>
      </c>
      <c r="R1277" s="4">
        <v>1200000</v>
      </c>
      <c r="S1277" s="4">
        <v>1200000</v>
      </c>
      <c r="T1277" s="4">
        <v>1200000</v>
      </c>
      <c r="U1277" s="4">
        <v>1200000</v>
      </c>
      <c r="V1277" s="4">
        <v>1200000</v>
      </c>
      <c r="W1277" s="4">
        <v>1200000</v>
      </c>
      <c r="X1277" s="4">
        <v>1200000</v>
      </c>
      <c r="Y1277" s="4">
        <v>1200000</v>
      </c>
    </row>
    <row r="1278" spans="1:25" ht="19.5" customHeight="1" x14ac:dyDescent="0.25">
      <c r="A1278" s="2" t="s">
        <v>3235</v>
      </c>
      <c r="B1278" s="2" t="s">
        <v>16</v>
      </c>
      <c r="C1278" s="2" t="s">
        <v>3239</v>
      </c>
      <c r="D1278" s="2" t="s">
        <v>3240</v>
      </c>
      <c r="E1278" s="2" t="s">
        <v>3241</v>
      </c>
      <c r="F1278" s="3">
        <v>1431098.55</v>
      </c>
      <c r="G1278" s="3">
        <v>1527500</v>
      </c>
      <c r="H1278" s="3">
        <v>1550000</v>
      </c>
      <c r="I1278" s="3">
        <v>1550000</v>
      </c>
      <c r="J1278" s="3">
        <v>1550000</v>
      </c>
      <c r="K1278" s="3">
        <v>1550000</v>
      </c>
      <c r="L1278" s="4">
        <v>1550000</v>
      </c>
      <c r="M1278" s="4">
        <v>1550000</v>
      </c>
      <c r="N1278" s="4">
        <v>1550000</v>
      </c>
      <c r="O1278" s="4">
        <v>1550000</v>
      </c>
      <c r="P1278" s="4">
        <v>1550000</v>
      </c>
      <c r="Q1278" s="4">
        <v>1550000</v>
      </c>
      <c r="R1278" s="4">
        <v>1550000</v>
      </c>
      <c r="S1278" s="4">
        <v>1550000</v>
      </c>
      <c r="T1278" s="4">
        <v>1550000</v>
      </c>
      <c r="U1278" s="4">
        <v>1550000</v>
      </c>
      <c r="V1278" s="4">
        <v>1550000</v>
      </c>
      <c r="W1278" s="4">
        <v>1550000</v>
      </c>
      <c r="X1278" s="4">
        <v>1550000</v>
      </c>
      <c r="Y1278" s="4">
        <v>1550000</v>
      </c>
    </row>
    <row r="1279" spans="1:25" ht="19.5" customHeight="1" x14ac:dyDescent="0.25">
      <c r="A1279" s="2" t="s">
        <v>3235</v>
      </c>
      <c r="B1279" s="2" t="s">
        <v>16</v>
      </c>
      <c r="C1279" s="2" t="s">
        <v>3242</v>
      </c>
      <c r="D1279" s="2" t="s">
        <v>3243</v>
      </c>
      <c r="E1279" s="2" t="s">
        <v>3244</v>
      </c>
      <c r="F1279" s="3">
        <v>3370816.94</v>
      </c>
      <c r="G1279" s="3">
        <v>3605500</v>
      </c>
      <c r="H1279" s="3">
        <v>4070948</v>
      </c>
      <c r="I1279" s="3">
        <v>4070948</v>
      </c>
      <c r="J1279" s="3">
        <v>4070948</v>
      </c>
      <c r="K1279" s="3">
        <v>4070948</v>
      </c>
      <c r="L1279" s="4">
        <v>4070948</v>
      </c>
      <c r="M1279" s="4">
        <v>4070948</v>
      </c>
      <c r="N1279" s="4">
        <v>4070948</v>
      </c>
      <c r="O1279" s="4">
        <v>4070948</v>
      </c>
      <c r="P1279" s="4">
        <v>4070948</v>
      </c>
      <c r="Q1279" s="4">
        <v>4070948</v>
      </c>
      <c r="R1279" s="4">
        <v>4070948</v>
      </c>
      <c r="S1279" s="4">
        <v>4070948</v>
      </c>
      <c r="T1279" s="4">
        <v>4070948</v>
      </c>
      <c r="U1279" s="4">
        <v>4070948</v>
      </c>
      <c r="V1279" s="4">
        <v>4070948</v>
      </c>
      <c r="W1279" s="4">
        <v>4070948</v>
      </c>
      <c r="X1279" s="4">
        <v>4070948</v>
      </c>
      <c r="Y1279" s="4">
        <v>4070948</v>
      </c>
    </row>
    <row r="1280" spans="1:25" ht="19.5" customHeight="1" x14ac:dyDescent="0.25">
      <c r="A1280" s="2" t="s">
        <v>3235</v>
      </c>
      <c r="B1280" s="2" t="s">
        <v>16</v>
      </c>
      <c r="C1280" s="2" t="s">
        <v>3245</v>
      </c>
      <c r="D1280" s="2" t="s">
        <v>3246</v>
      </c>
      <c r="E1280" s="2" t="s">
        <v>3247</v>
      </c>
      <c r="F1280" s="3">
        <v>6408520.5499999998</v>
      </c>
      <c r="G1280" s="3">
        <v>8512095</v>
      </c>
      <c r="H1280" s="3">
        <v>8512095</v>
      </c>
      <c r="I1280" s="3">
        <v>8512095</v>
      </c>
      <c r="J1280" s="3">
        <v>8512095</v>
      </c>
      <c r="K1280" s="3">
        <v>8512095</v>
      </c>
      <c r="L1280" s="4">
        <v>8512095</v>
      </c>
      <c r="M1280" s="4">
        <v>8512095</v>
      </c>
      <c r="N1280" s="4">
        <v>8512095</v>
      </c>
      <c r="O1280" s="4">
        <v>8512095</v>
      </c>
      <c r="P1280" s="4">
        <v>8512095</v>
      </c>
      <c r="Q1280" s="4">
        <v>8512095</v>
      </c>
      <c r="R1280" s="4">
        <v>8512095</v>
      </c>
      <c r="S1280" s="4">
        <v>8512095</v>
      </c>
      <c r="T1280" s="4">
        <v>8512095</v>
      </c>
      <c r="U1280" s="4">
        <v>8512095</v>
      </c>
      <c r="V1280" s="4">
        <v>8512095</v>
      </c>
      <c r="W1280" s="4">
        <v>8512095</v>
      </c>
      <c r="X1280" s="4">
        <v>8512095</v>
      </c>
      <c r="Y1280" s="4">
        <v>8512095</v>
      </c>
    </row>
    <row r="1281" spans="1:25" ht="19.5" customHeight="1" x14ac:dyDescent="0.25">
      <c r="A1281" s="2" t="s">
        <v>3235</v>
      </c>
      <c r="B1281" s="2" t="s">
        <v>16</v>
      </c>
      <c r="C1281" s="2" t="s">
        <v>3248</v>
      </c>
      <c r="D1281" s="2" t="s">
        <v>3249</v>
      </c>
      <c r="E1281" s="2" t="s">
        <v>3250</v>
      </c>
      <c r="F1281" s="3">
        <v>7976448.8300000001</v>
      </c>
      <c r="G1281" s="3">
        <v>8000000</v>
      </c>
      <c r="H1281" s="3">
        <v>8200000</v>
      </c>
      <c r="I1281" s="3">
        <v>8200000</v>
      </c>
      <c r="J1281" s="3">
        <v>8200000</v>
      </c>
      <c r="K1281" s="3">
        <v>8200000</v>
      </c>
      <c r="L1281" s="4">
        <v>8200000</v>
      </c>
      <c r="M1281" s="4">
        <v>8200000</v>
      </c>
      <c r="N1281" s="4">
        <v>8200000</v>
      </c>
      <c r="O1281" s="4">
        <v>8200000</v>
      </c>
      <c r="P1281" s="4">
        <v>8200000</v>
      </c>
      <c r="Q1281" s="4">
        <v>8200000</v>
      </c>
      <c r="R1281" s="4">
        <v>8200000</v>
      </c>
      <c r="S1281" s="4">
        <v>8200000</v>
      </c>
      <c r="T1281" s="4">
        <v>8200000</v>
      </c>
      <c r="U1281" s="4">
        <v>8200000</v>
      </c>
      <c r="V1281" s="4">
        <v>8200000</v>
      </c>
      <c r="W1281" s="4">
        <v>8200000</v>
      </c>
      <c r="X1281" s="4">
        <v>8200000</v>
      </c>
      <c r="Y1281" s="4">
        <v>8200000</v>
      </c>
    </row>
    <row r="1282" spans="1:25" ht="19.5" customHeight="1" x14ac:dyDescent="0.25">
      <c r="A1282" s="2" t="s">
        <v>3235</v>
      </c>
      <c r="B1282" s="2" t="s">
        <v>887</v>
      </c>
      <c r="C1282" s="2" t="s">
        <v>3251</v>
      </c>
      <c r="D1282" s="2" t="s">
        <v>3252</v>
      </c>
      <c r="E1282" s="2" t="s">
        <v>3253</v>
      </c>
      <c r="F1282" s="3">
        <v>5009286.8600000003</v>
      </c>
      <c r="G1282" s="4">
        <v>5500000</v>
      </c>
      <c r="H1282" s="4">
        <v>7000000</v>
      </c>
      <c r="I1282" s="4">
        <v>7000000</v>
      </c>
      <c r="J1282" s="4">
        <v>7000000</v>
      </c>
      <c r="K1282" s="4">
        <v>7000000</v>
      </c>
      <c r="L1282" s="4">
        <v>7000000</v>
      </c>
      <c r="M1282" s="4">
        <v>7000000</v>
      </c>
      <c r="N1282" s="4">
        <v>7000000</v>
      </c>
      <c r="O1282" s="4">
        <v>7000000</v>
      </c>
      <c r="P1282" s="4">
        <v>7000000</v>
      </c>
      <c r="Q1282" s="4">
        <v>7000000</v>
      </c>
      <c r="R1282" s="4">
        <v>7000000</v>
      </c>
      <c r="S1282" s="4">
        <v>7000000</v>
      </c>
      <c r="T1282" s="4">
        <v>7000000</v>
      </c>
      <c r="U1282" s="4">
        <v>7000000</v>
      </c>
      <c r="V1282" s="4">
        <v>7000000</v>
      </c>
      <c r="W1282" s="4">
        <v>7000000</v>
      </c>
      <c r="X1282" s="4">
        <v>7000000</v>
      </c>
      <c r="Y1282" s="4">
        <v>7000000</v>
      </c>
    </row>
    <row r="1283" spans="1:25" ht="19.5" customHeight="1" x14ac:dyDescent="0.25">
      <c r="A1283" s="2" t="s">
        <v>3235</v>
      </c>
      <c r="B1283" s="2" t="s">
        <v>227</v>
      </c>
      <c r="C1283" s="2" t="s">
        <v>3254</v>
      </c>
      <c r="D1283" s="2" t="s">
        <v>3255</v>
      </c>
      <c r="E1283" s="2" t="s">
        <v>3256</v>
      </c>
      <c r="F1283" s="3">
        <v>88600</v>
      </c>
      <c r="G1283" s="3">
        <v>100000</v>
      </c>
      <c r="H1283" s="3">
        <v>100000</v>
      </c>
      <c r="I1283" s="3">
        <v>100000</v>
      </c>
      <c r="J1283" s="3">
        <v>100000</v>
      </c>
      <c r="K1283" s="3">
        <v>100000</v>
      </c>
      <c r="L1283" s="4">
        <v>100000</v>
      </c>
      <c r="M1283" s="4">
        <v>100000</v>
      </c>
      <c r="N1283" s="4">
        <v>100000</v>
      </c>
      <c r="O1283" s="4">
        <v>100000</v>
      </c>
      <c r="P1283" s="4">
        <v>100000</v>
      </c>
      <c r="Q1283" s="4">
        <v>100000</v>
      </c>
      <c r="R1283" s="4">
        <v>100000</v>
      </c>
      <c r="S1283" s="4">
        <v>100000</v>
      </c>
      <c r="T1283" s="4">
        <v>100000</v>
      </c>
      <c r="U1283" s="4">
        <v>100000</v>
      </c>
      <c r="V1283" s="4">
        <v>100000</v>
      </c>
      <c r="W1283" s="4">
        <v>100000</v>
      </c>
      <c r="X1283" s="4">
        <v>100000</v>
      </c>
      <c r="Y1283" s="4">
        <v>100000</v>
      </c>
    </row>
    <row r="1284" spans="1:25" ht="19.5" customHeight="1" x14ac:dyDescent="0.25">
      <c r="A1284" s="2" t="s">
        <v>3257</v>
      </c>
      <c r="B1284" s="2" t="s">
        <v>887</v>
      </c>
      <c r="C1284" s="2" t="s">
        <v>3258</v>
      </c>
      <c r="D1284" s="2" t="s">
        <v>3259</v>
      </c>
      <c r="E1284" s="2" t="s">
        <v>3260</v>
      </c>
      <c r="F1284" s="3">
        <v>4263058</v>
      </c>
      <c r="G1284" s="3">
        <v>3100000</v>
      </c>
      <c r="H1284" s="3">
        <v>3100000</v>
      </c>
      <c r="I1284" s="3">
        <v>3100000</v>
      </c>
      <c r="J1284" s="3">
        <v>3100000</v>
      </c>
      <c r="K1284" s="3">
        <v>3100000</v>
      </c>
      <c r="L1284" s="4">
        <v>3100000</v>
      </c>
      <c r="M1284" s="4">
        <v>3100000</v>
      </c>
      <c r="N1284" s="4">
        <v>3100000</v>
      </c>
      <c r="O1284" s="4">
        <v>3100000</v>
      </c>
      <c r="P1284" s="4">
        <v>3100000</v>
      </c>
      <c r="Q1284" s="4">
        <v>3100000</v>
      </c>
      <c r="R1284" s="4">
        <v>3100000</v>
      </c>
      <c r="S1284" s="4">
        <v>3100000</v>
      </c>
      <c r="T1284" s="4">
        <v>3100000</v>
      </c>
      <c r="U1284" s="4">
        <v>3100000</v>
      </c>
      <c r="V1284" s="4">
        <v>3100000</v>
      </c>
      <c r="W1284" s="4">
        <v>3100000</v>
      </c>
      <c r="X1284" s="4">
        <v>3100000</v>
      </c>
      <c r="Y1284" s="4">
        <v>3100000</v>
      </c>
    </row>
    <row r="1285" spans="1:25" ht="19.5" customHeight="1" x14ac:dyDescent="0.25">
      <c r="A1285" s="2" t="s">
        <v>3257</v>
      </c>
      <c r="B1285" s="2" t="s">
        <v>887</v>
      </c>
      <c r="C1285" s="2" t="s">
        <v>3261</v>
      </c>
      <c r="D1285" s="2" t="s">
        <v>3262</v>
      </c>
      <c r="E1285" s="2" t="s">
        <v>3263</v>
      </c>
      <c r="F1285" s="3">
        <v>40134961.789999999</v>
      </c>
      <c r="G1285" s="3">
        <v>35000000</v>
      </c>
      <c r="H1285" s="3">
        <v>70000000</v>
      </c>
      <c r="I1285" s="3">
        <v>75000000</v>
      </c>
      <c r="J1285" s="3">
        <v>70000000</v>
      </c>
      <c r="K1285" s="3">
        <v>75000000</v>
      </c>
      <c r="L1285" s="4">
        <v>70000000</v>
      </c>
      <c r="M1285" s="4">
        <v>75000000</v>
      </c>
      <c r="N1285" s="4">
        <v>70000000</v>
      </c>
      <c r="O1285" s="4">
        <v>75000000</v>
      </c>
      <c r="P1285" s="4">
        <v>70000000</v>
      </c>
      <c r="Q1285" s="4">
        <v>75000000</v>
      </c>
      <c r="R1285" s="4">
        <v>70000000</v>
      </c>
      <c r="S1285" s="4">
        <v>75000000</v>
      </c>
      <c r="T1285" s="4">
        <v>70000000</v>
      </c>
      <c r="U1285" s="4">
        <v>75000000</v>
      </c>
      <c r="V1285" s="4">
        <v>70000000</v>
      </c>
      <c r="W1285" s="4">
        <v>75000000</v>
      </c>
      <c r="X1285" s="4">
        <v>70000000</v>
      </c>
      <c r="Y1285" s="4">
        <v>75000000</v>
      </c>
    </row>
    <row r="1286" spans="1:25" ht="19.5" customHeight="1" x14ac:dyDescent="0.25">
      <c r="A1286" s="2" t="s">
        <v>3257</v>
      </c>
      <c r="B1286" s="2" t="s">
        <v>887</v>
      </c>
      <c r="C1286" s="2" t="s">
        <v>3264</v>
      </c>
      <c r="D1286" s="2" t="s">
        <v>3265</v>
      </c>
      <c r="E1286" s="2" t="s">
        <v>3266</v>
      </c>
      <c r="F1286" s="3">
        <v>237334533.71000001</v>
      </c>
      <c r="G1286" s="3">
        <v>160000000</v>
      </c>
      <c r="H1286" s="3">
        <v>120000000</v>
      </c>
      <c r="I1286" s="3">
        <v>120000000</v>
      </c>
      <c r="J1286" s="3">
        <v>120000000</v>
      </c>
      <c r="K1286" s="3">
        <v>120000000</v>
      </c>
      <c r="L1286" s="4">
        <v>120000000</v>
      </c>
      <c r="M1286" s="4">
        <v>120000000</v>
      </c>
      <c r="N1286" s="4">
        <v>120000000</v>
      </c>
      <c r="O1286" s="4">
        <v>120000000</v>
      </c>
      <c r="P1286" s="4">
        <v>120000000</v>
      </c>
      <c r="Q1286" s="4">
        <v>120000000</v>
      </c>
      <c r="R1286" s="4">
        <v>120000000</v>
      </c>
      <c r="S1286" s="4">
        <v>120000000</v>
      </c>
      <c r="T1286" s="4">
        <v>120000000</v>
      </c>
      <c r="U1286" s="4">
        <v>120000000</v>
      </c>
      <c r="V1286" s="4">
        <v>120000000</v>
      </c>
      <c r="W1286" s="4">
        <v>120000000</v>
      </c>
      <c r="X1286" s="4">
        <v>120000000</v>
      </c>
      <c r="Y1286" s="4">
        <v>120000000</v>
      </c>
    </row>
    <row r="1287" spans="1:25" ht="19.5" customHeight="1" x14ac:dyDescent="0.25">
      <c r="A1287" s="2" t="s">
        <v>3257</v>
      </c>
      <c r="B1287" s="2" t="s">
        <v>887</v>
      </c>
      <c r="C1287" s="2" t="s">
        <v>3267</v>
      </c>
      <c r="D1287" s="2" t="s">
        <v>3268</v>
      </c>
      <c r="E1287" s="2" t="s">
        <v>3269</v>
      </c>
      <c r="F1287" s="3">
        <v>166553.75</v>
      </c>
      <c r="G1287" s="3">
        <v>240000</v>
      </c>
      <c r="H1287" s="3">
        <v>240000</v>
      </c>
      <c r="I1287" s="3">
        <v>240000</v>
      </c>
      <c r="J1287" s="3">
        <v>240000</v>
      </c>
      <c r="K1287" s="3">
        <v>240000</v>
      </c>
      <c r="L1287" s="4">
        <v>240000</v>
      </c>
      <c r="M1287" s="4">
        <v>240000</v>
      </c>
      <c r="N1287" s="4">
        <v>240000</v>
      </c>
      <c r="O1287" s="4">
        <v>240000</v>
      </c>
      <c r="P1287" s="4">
        <v>240000</v>
      </c>
      <c r="Q1287" s="4">
        <v>240000</v>
      </c>
      <c r="R1287" s="4">
        <v>240000</v>
      </c>
      <c r="S1287" s="4">
        <v>240000</v>
      </c>
      <c r="T1287" s="4">
        <v>240000</v>
      </c>
      <c r="U1287" s="4">
        <v>240000</v>
      </c>
      <c r="V1287" s="4">
        <v>240000</v>
      </c>
      <c r="W1287" s="4">
        <v>240000</v>
      </c>
      <c r="X1287" s="4">
        <v>240000</v>
      </c>
      <c r="Y1287" s="4">
        <v>240000</v>
      </c>
    </row>
    <row r="1288" spans="1:25" ht="19.5" customHeight="1" x14ac:dyDescent="0.25">
      <c r="A1288" s="2" t="s">
        <v>3257</v>
      </c>
      <c r="B1288" s="2" t="s">
        <v>887</v>
      </c>
      <c r="C1288" s="2" t="s">
        <v>3270</v>
      </c>
      <c r="D1288" s="2" t="s">
        <v>3271</v>
      </c>
      <c r="E1288" s="2" t="s">
        <v>3272</v>
      </c>
      <c r="F1288" s="3">
        <v>1267318.19</v>
      </c>
      <c r="G1288" s="3">
        <v>1200000</v>
      </c>
      <c r="H1288" s="3">
        <v>1500000</v>
      </c>
      <c r="I1288" s="3">
        <v>1500000</v>
      </c>
      <c r="J1288" s="3">
        <v>1500000</v>
      </c>
      <c r="K1288" s="3">
        <v>1500000</v>
      </c>
      <c r="L1288" s="4">
        <v>1500000</v>
      </c>
      <c r="M1288" s="4">
        <v>1500000</v>
      </c>
      <c r="N1288" s="4">
        <v>1500000</v>
      </c>
      <c r="O1288" s="4">
        <v>1500000</v>
      </c>
      <c r="P1288" s="4">
        <v>1500000</v>
      </c>
      <c r="Q1288" s="4">
        <v>1500000</v>
      </c>
      <c r="R1288" s="4">
        <v>1500000</v>
      </c>
      <c r="S1288" s="4">
        <v>1500000</v>
      </c>
      <c r="T1288" s="4">
        <v>1500000</v>
      </c>
      <c r="U1288" s="4">
        <v>1500000</v>
      </c>
      <c r="V1288" s="4">
        <v>1500000</v>
      </c>
      <c r="W1288" s="4">
        <v>1500000</v>
      </c>
      <c r="X1288" s="4">
        <v>1500000</v>
      </c>
      <c r="Y1288" s="4">
        <v>1500000</v>
      </c>
    </row>
    <row r="1289" spans="1:25" ht="19.5" customHeight="1" x14ac:dyDescent="0.25">
      <c r="A1289" s="2" t="s">
        <v>3257</v>
      </c>
      <c r="B1289" s="2" t="s">
        <v>887</v>
      </c>
      <c r="C1289" s="2" t="s">
        <v>3273</v>
      </c>
      <c r="D1289" s="2" t="s">
        <v>3274</v>
      </c>
      <c r="E1289" s="2" t="s">
        <v>3275</v>
      </c>
      <c r="F1289" s="3">
        <v>2723584139.5300002</v>
      </c>
      <c r="G1289" s="3">
        <v>2815522510</v>
      </c>
      <c r="H1289" s="3">
        <v>2928800000</v>
      </c>
      <c r="I1289" s="3">
        <v>3057700000</v>
      </c>
      <c r="J1289" s="3">
        <v>2928800000</v>
      </c>
      <c r="K1289" s="3">
        <v>3057700000</v>
      </c>
      <c r="L1289" s="4">
        <v>2928800000</v>
      </c>
      <c r="M1289" s="4">
        <v>3057700000</v>
      </c>
      <c r="N1289" s="4">
        <v>2928800000</v>
      </c>
      <c r="O1289" s="4">
        <v>3057700000</v>
      </c>
      <c r="P1289" s="4">
        <v>2928800000</v>
      </c>
      <c r="Q1289" s="4">
        <v>3057700000</v>
      </c>
      <c r="R1289" s="4">
        <v>2928800000</v>
      </c>
      <c r="S1289" s="4">
        <v>3057700000</v>
      </c>
      <c r="T1289" s="4">
        <v>2928800000</v>
      </c>
      <c r="U1289" s="4">
        <v>3057700000</v>
      </c>
      <c r="V1289" s="4">
        <v>2928800000</v>
      </c>
      <c r="W1289" s="4">
        <v>3057700000</v>
      </c>
      <c r="X1289" s="4">
        <v>2928800000</v>
      </c>
      <c r="Y1289" s="4">
        <v>3057700000</v>
      </c>
    </row>
    <row r="1290" spans="1:25" ht="19.5" customHeight="1" x14ac:dyDescent="0.25">
      <c r="A1290" s="2" t="s">
        <v>3257</v>
      </c>
      <c r="B1290" s="2" t="s">
        <v>887</v>
      </c>
      <c r="C1290" s="2" t="s">
        <v>3276</v>
      </c>
      <c r="D1290" s="2" t="s">
        <v>3277</v>
      </c>
      <c r="E1290" s="2" t="s">
        <v>3278</v>
      </c>
      <c r="F1290" s="3">
        <v>504257243.81</v>
      </c>
      <c r="G1290" s="3">
        <v>488017920</v>
      </c>
      <c r="H1290" s="3">
        <v>560900000</v>
      </c>
      <c r="I1290" s="3">
        <v>594000000</v>
      </c>
      <c r="J1290" s="3">
        <v>560900000</v>
      </c>
      <c r="K1290" s="3">
        <v>594000000</v>
      </c>
      <c r="L1290" s="4">
        <v>560900000</v>
      </c>
      <c r="M1290" s="4">
        <v>594000000</v>
      </c>
      <c r="N1290" s="4">
        <v>560900000</v>
      </c>
      <c r="O1290" s="4">
        <v>594000000</v>
      </c>
      <c r="P1290" s="4">
        <v>560900000</v>
      </c>
      <c r="Q1290" s="4">
        <v>594000000</v>
      </c>
      <c r="R1290" s="4">
        <v>560900000</v>
      </c>
      <c r="S1290" s="4">
        <v>594000000</v>
      </c>
      <c r="T1290" s="4">
        <v>560900000</v>
      </c>
      <c r="U1290" s="4">
        <v>594000000</v>
      </c>
      <c r="V1290" s="4">
        <v>560900000</v>
      </c>
      <c r="W1290" s="4">
        <v>594000000</v>
      </c>
      <c r="X1290" s="4">
        <v>560900000</v>
      </c>
      <c r="Y1290" s="4">
        <v>594000000</v>
      </c>
    </row>
    <row r="1291" spans="1:25" ht="19.5" customHeight="1" x14ac:dyDescent="0.25">
      <c r="A1291" s="2" t="s">
        <v>3257</v>
      </c>
      <c r="B1291" s="2" t="s">
        <v>887</v>
      </c>
      <c r="C1291" s="2" t="s">
        <v>3279</v>
      </c>
      <c r="D1291" s="2" t="s">
        <v>3280</v>
      </c>
      <c r="E1291" s="2" t="s">
        <v>3281</v>
      </c>
      <c r="F1291" s="3">
        <v>209475</v>
      </c>
      <c r="G1291" s="3">
        <v>300000</v>
      </c>
      <c r="H1291" s="3">
        <v>300000</v>
      </c>
      <c r="I1291" s="3">
        <v>300000</v>
      </c>
      <c r="J1291" s="3">
        <v>300000</v>
      </c>
      <c r="K1291" s="3">
        <v>300000</v>
      </c>
      <c r="L1291" s="4">
        <v>300000</v>
      </c>
      <c r="M1291" s="4">
        <v>300000</v>
      </c>
      <c r="N1291" s="4">
        <v>300000</v>
      </c>
      <c r="O1291" s="4">
        <v>300000</v>
      </c>
      <c r="P1291" s="4">
        <v>300000</v>
      </c>
      <c r="Q1291" s="4">
        <v>300000</v>
      </c>
      <c r="R1291" s="4">
        <v>300000</v>
      </c>
      <c r="S1291" s="4">
        <v>300000</v>
      </c>
      <c r="T1291" s="4">
        <v>300000</v>
      </c>
      <c r="U1291" s="4">
        <v>300000</v>
      </c>
      <c r="V1291" s="4">
        <v>300000</v>
      </c>
      <c r="W1291" s="4">
        <v>300000</v>
      </c>
      <c r="X1291" s="4">
        <v>300000</v>
      </c>
      <c r="Y1291" s="4">
        <v>300000</v>
      </c>
    </row>
    <row r="1292" spans="1:25" ht="19.5" customHeight="1" x14ac:dyDescent="0.25">
      <c r="A1292" s="2" t="s">
        <v>3257</v>
      </c>
      <c r="B1292" s="2" t="s">
        <v>887</v>
      </c>
      <c r="C1292" s="2" t="s">
        <v>3282</v>
      </c>
      <c r="D1292" s="2" t="s">
        <v>3283</v>
      </c>
      <c r="E1292" s="2" t="s">
        <v>3284</v>
      </c>
      <c r="F1292" s="3">
        <v>0</v>
      </c>
      <c r="G1292" s="3">
        <v>1000000</v>
      </c>
      <c r="H1292" s="3">
        <v>1000000</v>
      </c>
      <c r="I1292" s="3">
        <v>1000000</v>
      </c>
      <c r="J1292" s="3">
        <v>1000000</v>
      </c>
      <c r="K1292" s="3">
        <v>1000000</v>
      </c>
      <c r="L1292" s="4">
        <v>1000000</v>
      </c>
      <c r="M1292" s="4">
        <v>1000000</v>
      </c>
      <c r="N1292" s="4">
        <v>1000000</v>
      </c>
      <c r="O1292" s="4">
        <v>1000000</v>
      </c>
      <c r="P1292" s="4">
        <v>1000000</v>
      </c>
      <c r="Q1292" s="4">
        <v>1000000</v>
      </c>
      <c r="R1292" s="4">
        <v>1000000</v>
      </c>
      <c r="S1292" s="4">
        <v>1000000</v>
      </c>
      <c r="T1292" s="4">
        <v>1000000</v>
      </c>
      <c r="U1292" s="4">
        <v>1000000</v>
      </c>
      <c r="V1292" s="4">
        <v>1000000</v>
      </c>
      <c r="W1292" s="4">
        <v>1000000</v>
      </c>
      <c r="X1292" s="4">
        <v>1000000</v>
      </c>
      <c r="Y1292" s="4">
        <v>1000000</v>
      </c>
    </row>
    <row r="1293" spans="1:25" ht="19.5" customHeight="1" x14ac:dyDescent="0.25">
      <c r="A1293" s="2" t="s">
        <v>3257</v>
      </c>
      <c r="B1293" s="2" t="s">
        <v>887</v>
      </c>
      <c r="C1293" s="2" t="s">
        <v>3285</v>
      </c>
      <c r="D1293" s="2" t="s">
        <v>3286</v>
      </c>
      <c r="E1293" s="2" t="s">
        <v>3287</v>
      </c>
      <c r="F1293" s="3">
        <v>25851277.84</v>
      </c>
      <c r="G1293" s="3">
        <v>25700000</v>
      </c>
      <c r="H1293" s="3">
        <v>25900000</v>
      </c>
      <c r="I1293" s="3">
        <v>26000000</v>
      </c>
      <c r="J1293" s="3">
        <v>25900000</v>
      </c>
      <c r="K1293" s="3">
        <v>26000000</v>
      </c>
      <c r="L1293" s="4">
        <v>25900000</v>
      </c>
      <c r="M1293" s="4">
        <v>26000000</v>
      </c>
      <c r="N1293" s="4">
        <v>25900000</v>
      </c>
      <c r="O1293" s="4">
        <v>26000000</v>
      </c>
      <c r="P1293" s="4">
        <v>25900000</v>
      </c>
      <c r="Q1293" s="4">
        <v>26000000</v>
      </c>
      <c r="R1293" s="4">
        <v>25900000</v>
      </c>
      <c r="S1293" s="4">
        <v>26000000</v>
      </c>
      <c r="T1293" s="4">
        <v>25900000</v>
      </c>
      <c r="U1293" s="4">
        <v>26000000</v>
      </c>
      <c r="V1293" s="4">
        <v>25900000</v>
      </c>
      <c r="W1293" s="4">
        <v>26000000</v>
      </c>
      <c r="X1293" s="4">
        <v>25900000</v>
      </c>
      <c r="Y1293" s="4">
        <v>26000000</v>
      </c>
    </row>
    <row r="1294" spans="1:25" ht="19.5" customHeight="1" x14ac:dyDescent="0.25">
      <c r="A1294" s="2" t="s">
        <v>3257</v>
      </c>
      <c r="B1294" s="2" t="s">
        <v>887</v>
      </c>
      <c r="C1294" s="2" t="s">
        <v>3288</v>
      </c>
      <c r="D1294" s="2" t="s">
        <v>3289</v>
      </c>
      <c r="E1294" s="2" t="s">
        <v>3290</v>
      </c>
      <c r="F1294" s="3">
        <v>19649691.399999999</v>
      </c>
      <c r="G1294" s="3">
        <v>15000000</v>
      </c>
      <c r="H1294" s="3">
        <v>20000000</v>
      </c>
      <c r="I1294" s="3">
        <v>20000000</v>
      </c>
      <c r="J1294" s="3">
        <v>20000000</v>
      </c>
      <c r="K1294" s="3">
        <v>20000000</v>
      </c>
      <c r="L1294" s="4">
        <v>20000000</v>
      </c>
      <c r="M1294" s="4">
        <v>20000000</v>
      </c>
      <c r="N1294" s="4">
        <v>20000000</v>
      </c>
      <c r="O1294" s="4">
        <v>20000000</v>
      </c>
      <c r="P1294" s="4">
        <v>20000000</v>
      </c>
      <c r="Q1294" s="4">
        <v>20000000</v>
      </c>
      <c r="R1294" s="4">
        <v>20000000</v>
      </c>
      <c r="S1294" s="4">
        <v>20000000</v>
      </c>
      <c r="T1294" s="4">
        <v>20000000</v>
      </c>
      <c r="U1294" s="4">
        <v>20000000</v>
      </c>
      <c r="V1294" s="4">
        <v>20000000</v>
      </c>
      <c r="W1294" s="4">
        <v>20000000</v>
      </c>
      <c r="X1294" s="4">
        <v>20000000</v>
      </c>
      <c r="Y1294" s="4">
        <v>20000000</v>
      </c>
    </row>
    <row r="1295" spans="1:25" ht="19.5" customHeight="1" x14ac:dyDescent="0.25">
      <c r="A1295" s="2" t="s">
        <v>3257</v>
      </c>
      <c r="B1295" s="2" t="s">
        <v>887</v>
      </c>
      <c r="C1295" s="2" t="s">
        <v>3291</v>
      </c>
      <c r="D1295" s="2" t="s">
        <v>3292</v>
      </c>
      <c r="E1295" s="2" t="s">
        <v>3293</v>
      </c>
      <c r="F1295" s="3">
        <v>204222805.88999999</v>
      </c>
      <c r="G1295" s="3">
        <v>222700000</v>
      </c>
      <c r="H1295" s="3">
        <v>235000000</v>
      </c>
      <c r="I1295" s="3">
        <v>242000000</v>
      </c>
      <c r="J1295" s="3">
        <v>235000000</v>
      </c>
      <c r="K1295" s="3">
        <v>242000000</v>
      </c>
      <c r="L1295" s="4">
        <v>235000000</v>
      </c>
      <c r="M1295" s="4">
        <v>242000000</v>
      </c>
      <c r="N1295" s="4">
        <v>235000000</v>
      </c>
      <c r="O1295" s="4">
        <v>242000000</v>
      </c>
      <c r="P1295" s="4">
        <v>235000000</v>
      </c>
      <c r="Q1295" s="4">
        <v>242000000</v>
      </c>
      <c r="R1295" s="4">
        <v>235000000</v>
      </c>
      <c r="S1295" s="4">
        <v>242000000</v>
      </c>
      <c r="T1295" s="4">
        <v>235000000</v>
      </c>
      <c r="U1295" s="4">
        <v>242000000</v>
      </c>
      <c r="V1295" s="4">
        <v>235000000</v>
      </c>
      <c r="W1295" s="4">
        <v>242000000</v>
      </c>
      <c r="X1295" s="4">
        <v>235000000</v>
      </c>
      <c r="Y1295" s="4">
        <v>242000000</v>
      </c>
    </row>
    <row r="1296" spans="1:25" ht="19.5" customHeight="1" x14ac:dyDescent="0.25">
      <c r="A1296" s="2" t="s">
        <v>3257</v>
      </c>
      <c r="B1296" s="2" t="s">
        <v>54</v>
      </c>
      <c r="C1296" s="2" t="s">
        <v>54</v>
      </c>
      <c r="D1296" s="2" t="s">
        <v>3294</v>
      </c>
      <c r="E1296" s="2" t="s">
        <v>3295</v>
      </c>
      <c r="F1296" s="3">
        <v>639424796.23000002</v>
      </c>
      <c r="G1296" s="3">
        <v>650342850</v>
      </c>
      <c r="H1296" s="3">
        <v>651400000</v>
      </c>
      <c r="I1296" s="3">
        <v>658400000</v>
      </c>
      <c r="J1296" s="3">
        <v>651400000</v>
      </c>
      <c r="K1296" s="3">
        <v>658400000</v>
      </c>
      <c r="L1296" s="4">
        <v>651400000</v>
      </c>
      <c r="M1296" s="4">
        <v>658400000</v>
      </c>
      <c r="N1296" s="4">
        <v>651400000</v>
      </c>
      <c r="O1296" s="4">
        <v>658400000</v>
      </c>
      <c r="P1296" s="4">
        <v>651400000</v>
      </c>
      <c r="Q1296" s="4">
        <v>658400000</v>
      </c>
      <c r="R1296" s="4">
        <v>651400000</v>
      </c>
      <c r="S1296" s="4">
        <v>658400000</v>
      </c>
      <c r="T1296" s="4">
        <v>651400000</v>
      </c>
      <c r="U1296" s="4">
        <v>658400000</v>
      </c>
      <c r="V1296" s="4">
        <v>651400000</v>
      </c>
      <c r="W1296" s="4">
        <v>658400000</v>
      </c>
      <c r="X1296" s="4">
        <v>651400000</v>
      </c>
      <c r="Y1296" s="4">
        <v>658400000</v>
      </c>
    </row>
    <row r="1297" spans="1:25" ht="19.5" customHeight="1" x14ac:dyDescent="0.25">
      <c r="A1297" s="2" t="s">
        <v>3257</v>
      </c>
      <c r="B1297" s="2" t="s">
        <v>54</v>
      </c>
      <c r="C1297" s="2" t="s">
        <v>54</v>
      </c>
      <c r="D1297" s="2" t="s">
        <v>3296</v>
      </c>
      <c r="E1297" s="2" t="s">
        <v>3297</v>
      </c>
      <c r="F1297" s="3">
        <v>1161179901.26</v>
      </c>
      <c r="G1297" s="3">
        <v>1207908150</v>
      </c>
      <c r="H1297" s="3">
        <v>1183000000</v>
      </c>
      <c r="I1297" s="3">
        <v>1195600000</v>
      </c>
      <c r="J1297" s="3">
        <v>1183000000</v>
      </c>
      <c r="K1297" s="3">
        <v>1195600000</v>
      </c>
      <c r="L1297" s="4">
        <v>1183000000</v>
      </c>
      <c r="M1297" s="4">
        <v>1195600000</v>
      </c>
      <c r="N1297" s="4">
        <v>1183000000</v>
      </c>
      <c r="O1297" s="4">
        <v>1195600000</v>
      </c>
      <c r="P1297" s="4">
        <v>1183000000</v>
      </c>
      <c r="Q1297" s="4">
        <v>1195600000</v>
      </c>
      <c r="R1297" s="4">
        <v>1183000000</v>
      </c>
      <c r="S1297" s="4">
        <v>1195600000</v>
      </c>
      <c r="T1297" s="4">
        <v>1183000000</v>
      </c>
      <c r="U1297" s="4">
        <v>1195600000</v>
      </c>
      <c r="V1297" s="4">
        <v>1183000000</v>
      </c>
      <c r="W1297" s="4">
        <v>1195600000</v>
      </c>
      <c r="X1297" s="4">
        <v>1183000000</v>
      </c>
      <c r="Y1297" s="4">
        <v>1195600000</v>
      </c>
    </row>
    <row r="1298" spans="1:25" ht="19.5" customHeight="1" x14ac:dyDescent="0.25">
      <c r="A1298" s="2" t="s">
        <v>3257</v>
      </c>
      <c r="B1298" s="2" t="s">
        <v>227</v>
      </c>
      <c r="C1298" s="2" t="s">
        <v>3298</v>
      </c>
      <c r="D1298" s="2" t="s">
        <v>3299</v>
      </c>
      <c r="E1298" s="2" t="s">
        <v>3300</v>
      </c>
      <c r="F1298" s="3">
        <v>52519035.259999998</v>
      </c>
      <c r="G1298" s="3">
        <v>56100000</v>
      </c>
      <c r="H1298" s="3">
        <v>56100000</v>
      </c>
      <c r="I1298" s="3">
        <v>56100000</v>
      </c>
      <c r="J1298" s="3">
        <v>56100000</v>
      </c>
      <c r="K1298" s="3">
        <v>56100000</v>
      </c>
      <c r="L1298" s="4">
        <v>56100000</v>
      </c>
      <c r="M1298" s="4">
        <v>56100000</v>
      </c>
      <c r="N1298" s="4">
        <v>56100000</v>
      </c>
      <c r="O1298" s="4">
        <v>56100000</v>
      </c>
      <c r="P1298" s="4">
        <v>56100000</v>
      </c>
      <c r="Q1298" s="4">
        <v>56100000</v>
      </c>
      <c r="R1298" s="4">
        <v>56100000</v>
      </c>
      <c r="S1298" s="4">
        <v>56100000</v>
      </c>
      <c r="T1298" s="4">
        <v>56100000</v>
      </c>
      <c r="U1298" s="4">
        <v>56100000</v>
      </c>
      <c r="V1298" s="4">
        <v>56100000</v>
      </c>
      <c r="W1298" s="4">
        <v>56100000</v>
      </c>
      <c r="X1298" s="4">
        <v>56100000</v>
      </c>
      <c r="Y1298" s="4">
        <v>56100000</v>
      </c>
    </row>
    <row r="1299" spans="1:25" ht="19.5" customHeight="1" x14ac:dyDescent="0.25">
      <c r="A1299" s="2" t="s">
        <v>3257</v>
      </c>
      <c r="B1299" s="2" t="s">
        <v>3257</v>
      </c>
      <c r="C1299" s="2" t="s">
        <v>3301</v>
      </c>
      <c r="D1299" s="2" t="s">
        <v>3302</v>
      </c>
      <c r="E1299" s="2" t="s">
        <v>3303</v>
      </c>
      <c r="F1299" s="3">
        <v>140591435.13999999</v>
      </c>
      <c r="G1299" s="3">
        <v>147030000</v>
      </c>
      <c r="H1299" s="3">
        <v>150000000</v>
      </c>
      <c r="I1299" s="3">
        <v>153000000</v>
      </c>
      <c r="J1299" s="3">
        <v>150000000</v>
      </c>
      <c r="K1299" s="3">
        <v>153000000</v>
      </c>
      <c r="L1299" s="4">
        <v>150000000</v>
      </c>
      <c r="M1299" s="4">
        <v>153000000</v>
      </c>
      <c r="N1299" s="4">
        <v>150000000</v>
      </c>
      <c r="O1299" s="4">
        <v>153000000</v>
      </c>
      <c r="P1299" s="4">
        <v>150000000</v>
      </c>
      <c r="Q1299" s="4">
        <v>153000000</v>
      </c>
      <c r="R1299" s="4">
        <v>150000000</v>
      </c>
      <c r="S1299" s="4">
        <v>153000000</v>
      </c>
      <c r="T1299" s="4">
        <v>150000000</v>
      </c>
      <c r="U1299" s="4">
        <v>153000000</v>
      </c>
      <c r="V1299" s="4">
        <v>150000000</v>
      </c>
      <c r="W1299" s="4">
        <v>153000000</v>
      </c>
      <c r="X1299" s="4">
        <v>150000000</v>
      </c>
      <c r="Y1299" s="4">
        <v>153000000</v>
      </c>
    </row>
    <row r="1300" spans="1:25" ht="19.5" customHeight="1" x14ac:dyDescent="0.25">
      <c r="A1300" s="2" t="s">
        <v>3257</v>
      </c>
      <c r="B1300" s="2" t="s">
        <v>3257</v>
      </c>
      <c r="C1300" s="2" t="s">
        <v>3304</v>
      </c>
      <c r="D1300" s="2" t="s">
        <v>3305</v>
      </c>
      <c r="E1300" s="2" t="s">
        <v>3306</v>
      </c>
      <c r="F1300" s="3">
        <v>95984802.790000007</v>
      </c>
      <c r="G1300" s="3">
        <v>97800000</v>
      </c>
      <c r="H1300" s="3">
        <v>99800000</v>
      </c>
      <c r="I1300" s="3">
        <v>101800000</v>
      </c>
      <c r="J1300" s="3">
        <v>99800000</v>
      </c>
      <c r="K1300" s="3">
        <v>101800000</v>
      </c>
      <c r="L1300" s="4">
        <v>99800000</v>
      </c>
      <c r="M1300" s="4">
        <v>101800000</v>
      </c>
      <c r="N1300" s="4">
        <v>99800000</v>
      </c>
      <c r="O1300" s="4">
        <v>101800000</v>
      </c>
      <c r="P1300" s="4">
        <v>99800000</v>
      </c>
      <c r="Q1300" s="4">
        <v>101800000</v>
      </c>
      <c r="R1300" s="4">
        <v>99800000</v>
      </c>
      <c r="S1300" s="4">
        <v>101800000</v>
      </c>
      <c r="T1300" s="4">
        <v>99800000</v>
      </c>
      <c r="U1300" s="4">
        <v>101800000</v>
      </c>
      <c r="V1300" s="4">
        <v>99800000</v>
      </c>
      <c r="W1300" s="4">
        <v>101800000</v>
      </c>
      <c r="X1300" s="4">
        <v>99800000</v>
      </c>
      <c r="Y1300" s="4">
        <v>101800000</v>
      </c>
    </row>
    <row r="1301" spans="1:25" ht="19.5" customHeight="1" x14ac:dyDescent="0.25">
      <c r="A1301" s="2" t="s">
        <v>3257</v>
      </c>
      <c r="B1301" s="2" t="s">
        <v>3257</v>
      </c>
      <c r="C1301" s="2" t="s">
        <v>3307</v>
      </c>
      <c r="D1301" s="2" t="s">
        <v>3308</v>
      </c>
      <c r="E1301" s="2" t="s">
        <v>3309</v>
      </c>
      <c r="F1301" s="3">
        <v>13783474.029999999</v>
      </c>
      <c r="G1301" s="3">
        <v>14430000</v>
      </c>
      <c r="H1301" s="3">
        <v>14700000</v>
      </c>
      <c r="I1301" s="3">
        <v>15000000</v>
      </c>
      <c r="J1301" s="3">
        <v>14700000</v>
      </c>
      <c r="K1301" s="3">
        <v>15000000</v>
      </c>
      <c r="L1301" s="4">
        <v>14700000</v>
      </c>
      <c r="M1301" s="4">
        <v>15000000</v>
      </c>
      <c r="N1301" s="4">
        <v>14700000</v>
      </c>
      <c r="O1301" s="4">
        <v>15000000</v>
      </c>
      <c r="P1301" s="4">
        <v>14700000</v>
      </c>
      <c r="Q1301" s="4">
        <v>15000000</v>
      </c>
      <c r="R1301" s="4">
        <v>14700000</v>
      </c>
      <c r="S1301" s="4">
        <v>15000000</v>
      </c>
      <c r="T1301" s="4">
        <v>14700000</v>
      </c>
      <c r="U1301" s="4">
        <v>15000000</v>
      </c>
      <c r="V1301" s="4">
        <v>14700000</v>
      </c>
      <c r="W1301" s="4">
        <v>15000000</v>
      </c>
      <c r="X1301" s="4">
        <v>14700000</v>
      </c>
      <c r="Y1301" s="4">
        <v>15000000</v>
      </c>
    </row>
    <row r="1302" spans="1:25" ht="19.5" customHeight="1" x14ac:dyDescent="0.25">
      <c r="A1302" s="2" t="s">
        <v>3257</v>
      </c>
      <c r="B1302" s="2" t="s">
        <v>3257</v>
      </c>
      <c r="C1302" s="2" t="s">
        <v>3310</v>
      </c>
      <c r="D1302" s="2" t="s">
        <v>3311</v>
      </c>
      <c r="E1302" s="2" t="s">
        <v>3312</v>
      </c>
      <c r="F1302" s="3">
        <v>132343760.90000001</v>
      </c>
      <c r="G1302" s="3">
        <v>111196773</v>
      </c>
      <c r="H1302" s="3">
        <v>83157236</v>
      </c>
      <c r="I1302" s="3">
        <v>72308288</v>
      </c>
      <c r="J1302" s="3">
        <v>83157236</v>
      </c>
      <c r="K1302" s="3">
        <v>72308288</v>
      </c>
      <c r="L1302" s="4">
        <v>83157236</v>
      </c>
      <c r="M1302" s="4">
        <v>72308288</v>
      </c>
      <c r="N1302" s="4">
        <v>83157236</v>
      </c>
      <c r="O1302" s="4">
        <v>72308288</v>
      </c>
      <c r="P1302" s="4">
        <v>83157236</v>
      </c>
      <c r="Q1302" s="4">
        <v>72308288</v>
      </c>
      <c r="R1302" s="4">
        <v>83157236</v>
      </c>
      <c r="S1302" s="4">
        <v>72308288</v>
      </c>
      <c r="T1302" s="4">
        <v>83157236</v>
      </c>
      <c r="U1302" s="4">
        <v>72308288</v>
      </c>
      <c r="V1302" s="4">
        <v>83157236</v>
      </c>
      <c r="W1302" s="4">
        <v>72308288</v>
      </c>
      <c r="X1302" s="4">
        <v>83157236</v>
      </c>
      <c r="Y1302" s="4">
        <v>72308288</v>
      </c>
    </row>
    <row r="1303" spans="1:25" ht="19.5" customHeight="1" x14ac:dyDescent="0.25">
      <c r="A1303" s="2" t="s">
        <v>3257</v>
      </c>
      <c r="B1303" s="2" t="s">
        <v>3257</v>
      </c>
      <c r="C1303" s="2" t="s">
        <v>3313</v>
      </c>
      <c r="D1303" s="2" t="s">
        <v>3314</v>
      </c>
      <c r="E1303" s="2" t="s">
        <v>3315</v>
      </c>
      <c r="F1303" s="3">
        <v>731340.61</v>
      </c>
      <c r="G1303" s="3">
        <v>0</v>
      </c>
      <c r="H1303" s="3">
        <v>2250000</v>
      </c>
      <c r="I1303" s="3">
        <v>0</v>
      </c>
      <c r="J1303" s="3">
        <v>2250000</v>
      </c>
      <c r="K1303" s="3">
        <v>0</v>
      </c>
      <c r="L1303" s="4">
        <v>2250000</v>
      </c>
      <c r="M1303" s="4">
        <v>0</v>
      </c>
      <c r="N1303" s="4">
        <v>2250000</v>
      </c>
      <c r="O1303" s="4">
        <v>0</v>
      </c>
      <c r="P1303" s="4">
        <v>2250000</v>
      </c>
      <c r="Q1303" s="4">
        <v>0</v>
      </c>
      <c r="R1303" s="4">
        <v>2250000</v>
      </c>
      <c r="S1303" s="4">
        <v>0</v>
      </c>
      <c r="T1303" s="4">
        <v>2250000</v>
      </c>
      <c r="U1303" s="4">
        <v>0</v>
      </c>
      <c r="V1303" s="4">
        <v>2250000</v>
      </c>
      <c r="W1303" s="4">
        <v>0</v>
      </c>
      <c r="X1303" s="4">
        <v>2250000</v>
      </c>
      <c r="Y1303" s="4">
        <v>0</v>
      </c>
    </row>
    <row r="1304" spans="1:25" ht="19.5" customHeight="1" x14ac:dyDescent="0.25">
      <c r="A1304" s="2" t="s">
        <v>3257</v>
      </c>
      <c r="B1304" s="2" t="s">
        <v>3257</v>
      </c>
      <c r="C1304" s="2" t="s">
        <v>3316</v>
      </c>
      <c r="D1304" s="2" t="s">
        <v>3317</v>
      </c>
      <c r="E1304" s="2" t="s">
        <v>3318</v>
      </c>
      <c r="F1304" s="3">
        <v>18700912.68</v>
      </c>
      <c r="G1304" s="3">
        <v>23000000</v>
      </c>
      <c r="H1304" s="3">
        <v>23000000</v>
      </c>
      <c r="I1304" s="3">
        <v>23000000</v>
      </c>
      <c r="J1304" s="3">
        <v>23000000</v>
      </c>
      <c r="K1304" s="3">
        <v>23000000</v>
      </c>
      <c r="L1304" s="4">
        <v>23000000</v>
      </c>
      <c r="M1304" s="4">
        <v>23000000</v>
      </c>
      <c r="N1304" s="4">
        <v>23000000</v>
      </c>
      <c r="O1304" s="4">
        <v>23000000</v>
      </c>
      <c r="P1304" s="4">
        <v>23000000</v>
      </c>
      <c r="Q1304" s="4">
        <v>23000000</v>
      </c>
      <c r="R1304" s="4">
        <v>23000000</v>
      </c>
      <c r="S1304" s="4">
        <v>23000000</v>
      </c>
      <c r="T1304" s="4">
        <v>23000000</v>
      </c>
      <c r="U1304" s="4">
        <v>23000000</v>
      </c>
      <c r="V1304" s="4">
        <v>23000000</v>
      </c>
      <c r="W1304" s="4">
        <v>23000000</v>
      </c>
      <c r="X1304" s="4">
        <v>23000000</v>
      </c>
      <c r="Y1304" s="4">
        <v>23000000</v>
      </c>
    </row>
    <row r="1305" spans="1:25" ht="19.5" customHeight="1" x14ac:dyDescent="0.25">
      <c r="A1305" s="2" t="s">
        <v>3257</v>
      </c>
      <c r="B1305" s="2" t="s">
        <v>3257</v>
      </c>
      <c r="C1305" s="2" t="s">
        <v>3319</v>
      </c>
      <c r="D1305" s="2" t="s">
        <v>3320</v>
      </c>
      <c r="E1305" s="2" t="s">
        <v>3321</v>
      </c>
      <c r="F1305" s="3">
        <v>300336611.31999999</v>
      </c>
      <c r="G1305" s="3">
        <v>328000000</v>
      </c>
      <c r="H1305" s="3">
        <v>328000000</v>
      </c>
      <c r="I1305" s="3">
        <v>328000000</v>
      </c>
      <c r="J1305" s="3">
        <v>328000000</v>
      </c>
      <c r="K1305" s="3">
        <v>328000000</v>
      </c>
      <c r="L1305" s="4">
        <v>328000000</v>
      </c>
      <c r="M1305" s="4">
        <v>328000000</v>
      </c>
      <c r="N1305" s="4">
        <v>328000000</v>
      </c>
      <c r="O1305" s="4">
        <v>328000000</v>
      </c>
      <c r="P1305" s="4">
        <v>328000000</v>
      </c>
      <c r="Q1305" s="4">
        <v>328000000</v>
      </c>
      <c r="R1305" s="4">
        <v>328000000</v>
      </c>
      <c r="S1305" s="4">
        <v>328000000</v>
      </c>
      <c r="T1305" s="4">
        <v>328000000</v>
      </c>
      <c r="U1305" s="4">
        <v>328000000</v>
      </c>
      <c r="V1305" s="4">
        <v>328000000</v>
      </c>
      <c r="W1305" s="4">
        <v>328000000</v>
      </c>
      <c r="X1305" s="4">
        <v>328000000</v>
      </c>
      <c r="Y1305" s="4">
        <v>328000000</v>
      </c>
    </row>
    <row r="1306" spans="1:25" ht="19.5" customHeight="1" x14ac:dyDescent="0.25">
      <c r="A1306" s="2" t="s">
        <v>3257</v>
      </c>
      <c r="B1306" s="2" t="s">
        <v>3257</v>
      </c>
      <c r="C1306" s="2" t="s">
        <v>3322</v>
      </c>
      <c r="D1306" s="2" t="s">
        <v>3323</v>
      </c>
      <c r="E1306" s="2" t="s">
        <v>3324</v>
      </c>
      <c r="F1306" s="3">
        <v>855098326.66999996</v>
      </c>
      <c r="G1306" s="3">
        <v>576000000</v>
      </c>
      <c r="H1306" s="3">
        <v>900000000</v>
      </c>
      <c r="I1306" s="3">
        <v>920000000</v>
      </c>
      <c r="J1306" s="3">
        <v>900000000</v>
      </c>
      <c r="K1306" s="3">
        <v>920000000</v>
      </c>
      <c r="L1306" s="4">
        <v>900000000</v>
      </c>
      <c r="M1306" s="4">
        <v>920000000</v>
      </c>
      <c r="N1306" s="4">
        <v>900000000</v>
      </c>
      <c r="O1306" s="4">
        <v>920000000</v>
      </c>
      <c r="P1306" s="4">
        <v>900000000</v>
      </c>
      <c r="Q1306" s="4">
        <v>920000000</v>
      </c>
      <c r="R1306" s="4">
        <v>900000000</v>
      </c>
      <c r="S1306" s="4">
        <v>920000000</v>
      </c>
      <c r="T1306" s="4">
        <v>900000000</v>
      </c>
      <c r="U1306" s="4">
        <v>920000000</v>
      </c>
      <c r="V1306" s="4">
        <v>900000000</v>
      </c>
      <c r="W1306" s="4">
        <v>920000000</v>
      </c>
      <c r="X1306" s="4">
        <v>900000000</v>
      </c>
      <c r="Y1306" s="4">
        <v>920000000</v>
      </c>
    </row>
    <row r="1307" spans="1:25" ht="19.5" customHeight="1" x14ac:dyDescent="0.25">
      <c r="A1307" s="2" t="s">
        <v>3257</v>
      </c>
      <c r="B1307" s="2" t="s">
        <v>3257</v>
      </c>
      <c r="C1307" s="2" t="s">
        <v>3325</v>
      </c>
      <c r="D1307" s="2" t="s">
        <v>3326</v>
      </c>
      <c r="E1307" s="2" t="s">
        <v>3327</v>
      </c>
      <c r="F1307" s="3">
        <v>393088822.25</v>
      </c>
      <c r="G1307" s="3">
        <v>430000000</v>
      </c>
      <c r="H1307" s="3">
        <v>428000000</v>
      </c>
      <c r="I1307" s="3">
        <v>443000000</v>
      </c>
      <c r="J1307" s="3">
        <v>428000000</v>
      </c>
      <c r="K1307" s="3">
        <v>443000000</v>
      </c>
      <c r="L1307" s="4">
        <v>428000000</v>
      </c>
      <c r="M1307" s="4">
        <v>443000000</v>
      </c>
      <c r="N1307" s="4">
        <v>428000000</v>
      </c>
      <c r="O1307" s="4">
        <v>443000000</v>
      </c>
      <c r="P1307" s="4">
        <v>439000000</v>
      </c>
      <c r="Q1307" s="4">
        <v>454000000</v>
      </c>
      <c r="R1307" s="4">
        <v>439000000</v>
      </c>
      <c r="S1307" s="4">
        <v>454000000</v>
      </c>
      <c r="T1307" s="4">
        <v>439000000</v>
      </c>
      <c r="U1307" s="4">
        <v>454000000</v>
      </c>
      <c r="V1307" s="4">
        <v>439000000</v>
      </c>
      <c r="W1307" s="4">
        <v>454000000</v>
      </c>
      <c r="X1307" s="4">
        <v>439000000</v>
      </c>
      <c r="Y1307" s="4">
        <v>454000000</v>
      </c>
    </row>
    <row r="1308" spans="1:25" ht="19.5" customHeight="1" x14ac:dyDescent="0.25">
      <c r="A1308" s="2" t="s">
        <v>3257</v>
      </c>
      <c r="B1308" s="2" t="s">
        <v>3257</v>
      </c>
      <c r="C1308" s="2" t="s">
        <v>3328</v>
      </c>
      <c r="D1308" s="2" t="s">
        <v>3329</v>
      </c>
      <c r="E1308" s="2" t="s">
        <v>3330</v>
      </c>
      <c r="F1308" s="3">
        <v>10476360.060000001</v>
      </c>
      <c r="G1308" s="3">
        <v>14600000</v>
      </c>
      <c r="H1308" s="3">
        <v>14600000</v>
      </c>
      <c r="I1308" s="3">
        <v>14600000</v>
      </c>
      <c r="J1308" s="3">
        <v>14600000</v>
      </c>
      <c r="K1308" s="3">
        <v>14600000</v>
      </c>
      <c r="L1308" s="4">
        <v>14600000</v>
      </c>
      <c r="M1308" s="4">
        <v>14600000</v>
      </c>
      <c r="N1308" s="4">
        <v>14600000</v>
      </c>
      <c r="O1308" s="4">
        <v>14600000</v>
      </c>
      <c r="P1308" s="4">
        <v>14600000</v>
      </c>
      <c r="Q1308" s="4">
        <v>14600000</v>
      </c>
      <c r="R1308" s="4">
        <v>14600000</v>
      </c>
      <c r="S1308" s="4">
        <v>14600000</v>
      </c>
      <c r="T1308" s="4">
        <v>14600000</v>
      </c>
      <c r="U1308" s="4">
        <v>14600000</v>
      </c>
      <c r="V1308" s="4">
        <v>14600000</v>
      </c>
      <c r="W1308" s="4">
        <v>14600000</v>
      </c>
      <c r="X1308" s="4">
        <v>14600000</v>
      </c>
      <c r="Y1308" s="4">
        <v>14600000</v>
      </c>
    </row>
    <row r="1309" spans="1:25" ht="19.5" customHeight="1" x14ac:dyDescent="0.25">
      <c r="A1309" s="2" t="s">
        <v>3257</v>
      </c>
      <c r="B1309" s="2" t="s">
        <v>3257</v>
      </c>
      <c r="C1309" s="2" t="s">
        <v>3331</v>
      </c>
      <c r="D1309" s="2" t="s">
        <v>3332</v>
      </c>
      <c r="E1309" s="2" t="s">
        <v>3333</v>
      </c>
      <c r="F1309" s="3">
        <v>393646531.19999999</v>
      </c>
      <c r="G1309" s="3">
        <v>424900000</v>
      </c>
      <c r="H1309" s="3">
        <v>428000000</v>
      </c>
      <c r="I1309" s="3">
        <v>443000000</v>
      </c>
      <c r="J1309" s="3">
        <v>428000000</v>
      </c>
      <c r="K1309" s="3">
        <v>443000000</v>
      </c>
      <c r="L1309" s="4">
        <v>428000000</v>
      </c>
      <c r="M1309" s="4">
        <v>443000000</v>
      </c>
      <c r="N1309" s="4">
        <v>428000000</v>
      </c>
      <c r="O1309" s="4">
        <v>443000000</v>
      </c>
      <c r="P1309" s="4">
        <v>428000000</v>
      </c>
      <c r="Q1309" s="4">
        <v>443000000</v>
      </c>
      <c r="R1309" s="4">
        <v>428000000</v>
      </c>
      <c r="S1309" s="4">
        <v>443000000</v>
      </c>
      <c r="T1309" s="4">
        <v>428000000</v>
      </c>
      <c r="U1309" s="4">
        <v>443000000</v>
      </c>
      <c r="V1309" s="4">
        <v>428000000</v>
      </c>
      <c r="W1309" s="4">
        <v>443000000</v>
      </c>
      <c r="X1309" s="4">
        <v>428000000</v>
      </c>
      <c r="Y1309" s="4">
        <v>443000000</v>
      </c>
    </row>
    <row r="1310" spans="1:25" ht="19.5" customHeight="1" x14ac:dyDescent="0.25">
      <c r="A1310" s="2" t="s">
        <v>3257</v>
      </c>
      <c r="B1310" s="2" t="s">
        <v>3257</v>
      </c>
      <c r="C1310" s="2" t="s">
        <v>3334</v>
      </c>
      <c r="D1310" s="2" t="s">
        <v>3335</v>
      </c>
      <c r="E1310" s="2" t="s">
        <v>3336</v>
      </c>
      <c r="F1310" s="3">
        <v>12017686.07</v>
      </c>
      <c r="G1310" s="3">
        <v>8620000</v>
      </c>
      <c r="H1310" s="3">
        <v>7000000</v>
      </c>
      <c r="I1310" s="3">
        <v>6000000</v>
      </c>
      <c r="J1310" s="3">
        <v>7000000</v>
      </c>
      <c r="K1310" s="3">
        <v>6000000</v>
      </c>
      <c r="L1310" s="4">
        <v>7000000</v>
      </c>
      <c r="M1310" s="4">
        <v>6000000</v>
      </c>
      <c r="N1310" s="4">
        <v>7000000</v>
      </c>
      <c r="O1310" s="4">
        <v>6000000</v>
      </c>
      <c r="P1310" s="4">
        <v>7000000</v>
      </c>
      <c r="Q1310" s="4">
        <v>6000000</v>
      </c>
      <c r="R1310" s="4">
        <v>7000000</v>
      </c>
      <c r="S1310" s="4">
        <v>6000000</v>
      </c>
      <c r="T1310" s="4">
        <v>7000000</v>
      </c>
      <c r="U1310" s="4">
        <v>6000000</v>
      </c>
      <c r="V1310" s="4">
        <v>7256000</v>
      </c>
      <c r="W1310" s="4">
        <v>6307000</v>
      </c>
      <c r="X1310" s="4">
        <v>7256000</v>
      </c>
      <c r="Y1310" s="4">
        <v>6307000</v>
      </c>
    </row>
    <row r="1311" spans="1:25" ht="19.5" customHeight="1" x14ac:dyDescent="0.25">
      <c r="A1311" s="2" t="s">
        <v>3257</v>
      </c>
      <c r="B1311" s="2" t="s">
        <v>3257</v>
      </c>
      <c r="C1311" s="2" t="s">
        <v>3337</v>
      </c>
      <c r="D1311" s="2" t="s">
        <v>3338</v>
      </c>
      <c r="E1311" s="2" t="s">
        <v>3339</v>
      </c>
      <c r="F1311" s="3">
        <v>47445.37</v>
      </c>
      <c r="G1311" s="3">
        <v>60000</v>
      </c>
      <c r="H1311" s="3">
        <v>60000</v>
      </c>
      <c r="I1311" s="3">
        <v>60000</v>
      </c>
      <c r="J1311" s="3">
        <v>60000</v>
      </c>
      <c r="K1311" s="3">
        <v>60000</v>
      </c>
      <c r="L1311" s="4">
        <v>60000</v>
      </c>
      <c r="M1311" s="4">
        <v>60000</v>
      </c>
      <c r="N1311" s="4">
        <v>60000</v>
      </c>
      <c r="O1311" s="4">
        <v>60000</v>
      </c>
      <c r="P1311" s="4">
        <v>60000</v>
      </c>
      <c r="Q1311" s="4">
        <v>60000</v>
      </c>
      <c r="R1311" s="4">
        <v>60000</v>
      </c>
      <c r="S1311" s="4">
        <v>60000</v>
      </c>
      <c r="T1311" s="4">
        <v>60000</v>
      </c>
      <c r="U1311" s="4">
        <v>60000</v>
      </c>
      <c r="V1311" s="4">
        <v>60000</v>
      </c>
      <c r="W1311" s="4">
        <v>60000</v>
      </c>
      <c r="X1311" s="4">
        <v>60000</v>
      </c>
      <c r="Y1311" s="4">
        <v>60000</v>
      </c>
    </row>
    <row r="1312" spans="1:25" ht="19.5" customHeight="1" x14ac:dyDescent="0.25">
      <c r="A1312" s="2" t="s">
        <v>3257</v>
      </c>
      <c r="B1312" s="2" t="s">
        <v>3257</v>
      </c>
      <c r="C1312" s="2" t="s">
        <v>3340</v>
      </c>
      <c r="D1312" s="2" t="s">
        <v>3341</v>
      </c>
      <c r="E1312" s="2" t="s">
        <v>3342</v>
      </c>
      <c r="F1312" s="3">
        <v>787011.81</v>
      </c>
      <c r="G1312" s="3">
        <v>1000000</v>
      </c>
      <c r="H1312" s="3">
        <v>1000000</v>
      </c>
      <c r="I1312" s="3">
        <v>1000000</v>
      </c>
      <c r="J1312" s="3">
        <v>1000000</v>
      </c>
      <c r="K1312" s="3">
        <v>1000000</v>
      </c>
      <c r="L1312" s="4">
        <v>1000000</v>
      </c>
      <c r="M1312" s="4">
        <v>1000000</v>
      </c>
      <c r="N1312" s="4">
        <v>1000000</v>
      </c>
      <c r="O1312" s="4">
        <v>1000000</v>
      </c>
      <c r="P1312" s="4">
        <v>1000000</v>
      </c>
      <c r="Q1312" s="4">
        <v>1000000</v>
      </c>
      <c r="R1312" s="4">
        <v>1000000</v>
      </c>
      <c r="S1312" s="4">
        <v>1000000</v>
      </c>
      <c r="T1312" s="4">
        <v>1000000</v>
      </c>
      <c r="U1312" s="4">
        <v>1000000</v>
      </c>
      <c r="V1312" s="4">
        <v>1000000</v>
      </c>
      <c r="W1312" s="4">
        <v>1000000</v>
      </c>
      <c r="X1312" s="4">
        <v>1000000</v>
      </c>
      <c r="Y1312" s="4">
        <v>1000000</v>
      </c>
    </row>
    <row r="1313" spans="1:25" ht="19.5" customHeight="1" x14ac:dyDescent="0.25">
      <c r="A1313" s="2" t="s">
        <v>3343</v>
      </c>
      <c r="B1313" s="2" t="s">
        <v>54</v>
      </c>
      <c r="C1313" s="2" t="s">
        <v>54</v>
      </c>
      <c r="D1313" s="2" t="s">
        <v>3344</v>
      </c>
      <c r="E1313" s="2" t="s">
        <v>22</v>
      </c>
      <c r="F1313" s="3">
        <v>23399553.18</v>
      </c>
      <c r="G1313" s="3">
        <v>25917274</v>
      </c>
      <c r="H1313" s="3">
        <v>25917274</v>
      </c>
      <c r="I1313" s="3">
        <v>25917274</v>
      </c>
      <c r="J1313" s="3">
        <v>25917274</v>
      </c>
      <c r="K1313" s="3">
        <v>25917274</v>
      </c>
      <c r="L1313" s="4">
        <v>25917274</v>
      </c>
      <c r="M1313" s="4">
        <v>25917274</v>
      </c>
      <c r="N1313" s="4">
        <v>25917274</v>
      </c>
      <c r="O1313" s="4">
        <v>25917274</v>
      </c>
      <c r="P1313" s="4">
        <v>25917274</v>
      </c>
      <c r="Q1313" s="4">
        <v>25917274</v>
      </c>
      <c r="R1313" s="4">
        <v>25917274</v>
      </c>
      <c r="S1313" s="4">
        <v>25917274</v>
      </c>
      <c r="T1313" s="4">
        <v>25917274</v>
      </c>
      <c r="U1313" s="4">
        <v>25917274</v>
      </c>
      <c r="V1313" s="4">
        <v>25917274</v>
      </c>
      <c r="W1313" s="4">
        <v>25917274</v>
      </c>
      <c r="X1313" s="4">
        <v>25917274</v>
      </c>
      <c r="Y1313" s="4">
        <v>25917274</v>
      </c>
    </row>
    <row r="1314" spans="1:25" ht="19.5" customHeight="1" x14ac:dyDescent="0.25">
      <c r="A1314" s="2" t="s">
        <v>3343</v>
      </c>
      <c r="B1314" s="2" t="s">
        <v>243</v>
      </c>
      <c r="C1314" s="2" t="s">
        <v>3345</v>
      </c>
      <c r="D1314" s="2" t="s">
        <v>3346</v>
      </c>
      <c r="E1314" s="2" t="s">
        <v>3347</v>
      </c>
      <c r="F1314" s="3">
        <v>380640</v>
      </c>
      <c r="G1314" s="3">
        <v>1433664</v>
      </c>
      <c r="H1314" s="3">
        <v>1433664</v>
      </c>
      <c r="I1314" s="3">
        <v>1433664</v>
      </c>
      <c r="J1314" s="3">
        <v>1433664</v>
      </c>
      <c r="K1314" s="3">
        <v>1433664</v>
      </c>
      <c r="L1314" s="4">
        <v>1433664</v>
      </c>
      <c r="M1314" s="4">
        <v>1433664</v>
      </c>
      <c r="N1314" s="4">
        <v>1433664</v>
      </c>
      <c r="O1314" s="4">
        <v>1433664</v>
      </c>
      <c r="P1314" s="4">
        <v>1433664</v>
      </c>
      <c r="Q1314" s="4">
        <v>1433664</v>
      </c>
      <c r="R1314" s="4">
        <v>1433664</v>
      </c>
      <c r="S1314" s="4">
        <v>1433664</v>
      </c>
      <c r="T1314" s="4">
        <v>1433664</v>
      </c>
      <c r="U1314" s="4">
        <v>1433664</v>
      </c>
      <c r="V1314" s="4">
        <v>1433664</v>
      </c>
      <c r="W1314" s="4">
        <v>1433664</v>
      </c>
      <c r="X1314" s="4">
        <v>1433664</v>
      </c>
      <c r="Y1314" s="4">
        <v>1433664</v>
      </c>
    </row>
    <row r="1315" spans="1:25" ht="19.5" customHeight="1" x14ac:dyDescent="0.25">
      <c r="A1315" s="2" t="s">
        <v>3343</v>
      </c>
      <c r="B1315" s="2" t="s">
        <v>243</v>
      </c>
      <c r="C1315" s="2" t="s">
        <v>3348</v>
      </c>
      <c r="D1315" s="2" t="s">
        <v>3349</v>
      </c>
      <c r="E1315" s="2" t="s">
        <v>3350</v>
      </c>
      <c r="F1315" s="3">
        <v>36470.31</v>
      </c>
      <c r="G1315" s="3">
        <v>50000</v>
      </c>
      <c r="H1315" s="3">
        <v>50000</v>
      </c>
      <c r="I1315" s="3">
        <v>50000</v>
      </c>
      <c r="J1315" s="3">
        <v>50000</v>
      </c>
      <c r="K1315" s="3">
        <v>50000</v>
      </c>
      <c r="L1315" s="4">
        <v>50000</v>
      </c>
      <c r="M1315" s="4">
        <v>50000</v>
      </c>
      <c r="N1315" s="4">
        <v>50000</v>
      </c>
      <c r="O1315" s="4">
        <v>50000</v>
      </c>
      <c r="P1315" s="4">
        <v>50000</v>
      </c>
      <c r="Q1315" s="4">
        <v>50000</v>
      </c>
      <c r="R1315" s="4">
        <v>50000</v>
      </c>
      <c r="S1315" s="4">
        <v>50000</v>
      </c>
      <c r="T1315" s="4">
        <v>50000</v>
      </c>
      <c r="U1315" s="4">
        <v>50000</v>
      </c>
      <c r="V1315" s="4">
        <v>50000</v>
      </c>
      <c r="W1315" s="4">
        <v>50000</v>
      </c>
      <c r="X1315" s="4">
        <v>50000</v>
      </c>
      <c r="Y1315" s="4">
        <v>50000</v>
      </c>
    </row>
    <row r="1316" spans="1:25" ht="19.5" customHeight="1" x14ac:dyDescent="0.25">
      <c r="A1316" s="2" t="s">
        <v>3351</v>
      </c>
      <c r="B1316" s="2" t="s">
        <v>16</v>
      </c>
      <c r="C1316" s="2" t="s">
        <v>20</v>
      </c>
      <c r="D1316" s="2" t="s">
        <v>3352</v>
      </c>
      <c r="E1316" s="2" t="s">
        <v>22</v>
      </c>
      <c r="F1316" s="3">
        <v>474338.8</v>
      </c>
      <c r="G1316" s="3">
        <v>540260</v>
      </c>
      <c r="H1316" s="3">
        <v>513000</v>
      </c>
      <c r="I1316" s="3">
        <v>513000</v>
      </c>
      <c r="J1316" s="3">
        <v>513000</v>
      </c>
      <c r="K1316" s="3">
        <v>513000</v>
      </c>
      <c r="L1316" s="4">
        <v>513000</v>
      </c>
      <c r="M1316" s="4">
        <v>513000</v>
      </c>
      <c r="N1316" s="4">
        <v>513000</v>
      </c>
      <c r="O1316" s="4">
        <v>513000</v>
      </c>
      <c r="P1316" s="4">
        <v>513000</v>
      </c>
      <c r="Q1316" s="4">
        <v>513000</v>
      </c>
      <c r="R1316" s="4">
        <v>513000</v>
      </c>
      <c r="S1316" s="4">
        <v>513000</v>
      </c>
      <c r="T1316" s="4">
        <v>513000</v>
      </c>
      <c r="U1316" s="4">
        <v>513000</v>
      </c>
      <c r="V1316" s="4">
        <v>513000</v>
      </c>
      <c r="W1316" s="4">
        <v>513000</v>
      </c>
      <c r="X1316" s="4">
        <v>513000</v>
      </c>
      <c r="Y1316" s="4">
        <v>513000</v>
      </c>
    </row>
    <row r="1317" spans="1:25" ht="19.5" customHeight="1" x14ac:dyDescent="0.25">
      <c r="A1317" s="2" t="s">
        <v>3353</v>
      </c>
      <c r="B1317" s="2" t="s">
        <v>54</v>
      </c>
      <c r="C1317" s="2" t="s">
        <v>54</v>
      </c>
      <c r="D1317" s="2" t="s">
        <v>3354</v>
      </c>
      <c r="E1317" s="2" t="s">
        <v>22</v>
      </c>
      <c r="F1317" s="4">
        <v>13519011.710000001</v>
      </c>
      <c r="G1317" s="3">
        <v>15902029</v>
      </c>
      <c r="H1317" s="3">
        <v>15902029</v>
      </c>
      <c r="I1317" s="3">
        <v>15902029</v>
      </c>
      <c r="J1317" s="3">
        <v>15902029</v>
      </c>
      <c r="K1317" s="3">
        <v>15902029</v>
      </c>
      <c r="L1317" s="4">
        <v>15902029</v>
      </c>
      <c r="M1317" s="4">
        <v>15902029</v>
      </c>
      <c r="N1317" s="4">
        <v>15902029</v>
      </c>
      <c r="O1317" s="4">
        <v>15902029</v>
      </c>
      <c r="P1317" s="4">
        <v>15902029</v>
      </c>
      <c r="Q1317" s="4">
        <v>15902029</v>
      </c>
      <c r="R1317" s="4">
        <v>15902029</v>
      </c>
      <c r="S1317" s="4">
        <v>15902029</v>
      </c>
      <c r="T1317" s="4">
        <v>15902029</v>
      </c>
      <c r="U1317" s="4">
        <v>15902029</v>
      </c>
      <c r="V1317" s="4">
        <v>15902029</v>
      </c>
      <c r="W1317" s="4">
        <v>15902029</v>
      </c>
      <c r="X1317" s="4">
        <v>15902029</v>
      </c>
      <c r="Y1317" s="4">
        <v>15902029</v>
      </c>
    </row>
    <row r="1318" spans="1:25" ht="19.5" customHeight="1" x14ac:dyDescent="0.25">
      <c r="A1318" s="2" t="s">
        <v>3353</v>
      </c>
      <c r="B1318" s="2" t="s">
        <v>243</v>
      </c>
      <c r="C1318" s="2" t="s">
        <v>3355</v>
      </c>
      <c r="D1318" s="2" t="s">
        <v>3356</v>
      </c>
      <c r="E1318" s="2" t="s">
        <v>3357</v>
      </c>
      <c r="F1318" s="3">
        <v>58989.06</v>
      </c>
      <c r="G1318" s="3">
        <v>425800</v>
      </c>
      <c r="H1318" s="3">
        <v>425800</v>
      </c>
      <c r="I1318" s="3">
        <v>425800</v>
      </c>
      <c r="J1318" s="3">
        <v>425800</v>
      </c>
      <c r="K1318" s="3">
        <v>425800</v>
      </c>
      <c r="L1318" s="4">
        <v>425800</v>
      </c>
      <c r="M1318" s="4">
        <v>425800</v>
      </c>
      <c r="N1318" s="4">
        <v>425800</v>
      </c>
      <c r="O1318" s="4">
        <v>425800</v>
      </c>
      <c r="P1318" s="4">
        <v>425800</v>
      </c>
      <c r="Q1318" s="4">
        <v>425800</v>
      </c>
      <c r="R1318" s="4">
        <v>425800</v>
      </c>
      <c r="S1318" s="4">
        <v>425800</v>
      </c>
      <c r="T1318" s="4">
        <v>425800</v>
      </c>
      <c r="U1318" s="4">
        <v>425800</v>
      </c>
      <c r="V1318" s="4">
        <v>425800</v>
      </c>
      <c r="W1318" s="4">
        <v>425800</v>
      </c>
      <c r="X1318" s="4">
        <v>425800</v>
      </c>
      <c r="Y1318" s="4">
        <v>425800</v>
      </c>
    </row>
    <row r="1319" spans="1:25" ht="19.5" customHeight="1" x14ac:dyDescent="0.25">
      <c r="A1319" s="2" t="s">
        <v>3353</v>
      </c>
      <c r="B1319" s="2" t="s">
        <v>243</v>
      </c>
      <c r="C1319" s="2" t="s">
        <v>3358</v>
      </c>
      <c r="D1319" s="2" t="s">
        <v>3359</v>
      </c>
      <c r="E1319" s="2" t="s">
        <v>3350</v>
      </c>
      <c r="F1319" s="3">
        <v>30098.95</v>
      </c>
      <c r="G1319" s="3">
        <v>34497</v>
      </c>
      <c r="H1319" s="3">
        <v>34497</v>
      </c>
      <c r="I1319" s="3">
        <v>34497</v>
      </c>
      <c r="J1319" s="3">
        <v>34497</v>
      </c>
      <c r="K1319" s="3">
        <v>34497</v>
      </c>
      <c r="L1319" s="4">
        <v>34497</v>
      </c>
      <c r="M1319" s="4">
        <v>34497</v>
      </c>
      <c r="N1319" s="4">
        <v>34497</v>
      </c>
      <c r="O1319" s="4">
        <v>34497</v>
      </c>
      <c r="P1319" s="4">
        <v>34497</v>
      </c>
      <c r="Q1319" s="4">
        <v>34497</v>
      </c>
      <c r="R1319" s="4">
        <v>34497</v>
      </c>
      <c r="S1319" s="4">
        <v>34497</v>
      </c>
      <c r="T1319" s="4">
        <v>34497</v>
      </c>
      <c r="U1319" s="4">
        <v>34497</v>
      </c>
      <c r="V1319" s="4">
        <v>34497</v>
      </c>
      <c r="W1319" s="4">
        <v>34497</v>
      </c>
      <c r="X1319" s="4">
        <v>34497</v>
      </c>
      <c r="Y1319" s="4">
        <v>34497</v>
      </c>
    </row>
    <row r="1320" spans="1:25" ht="19.5" customHeight="1" x14ac:dyDescent="0.25">
      <c r="A1320" s="2" t="s">
        <v>3360</v>
      </c>
      <c r="B1320" s="2" t="s">
        <v>16</v>
      </c>
      <c r="C1320" s="2" t="s">
        <v>20</v>
      </c>
      <c r="D1320" s="2" t="s">
        <v>3361</v>
      </c>
      <c r="E1320" s="2" t="s">
        <v>22</v>
      </c>
      <c r="F1320" s="3">
        <v>569523.72</v>
      </c>
      <c r="G1320" s="3">
        <v>636709</v>
      </c>
      <c r="H1320" s="3">
        <v>636709</v>
      </c>
      <c r="I1320" s="3">
        <v>636709</v>
      </c>
      <c r="J1320" s="3">
        <v>636709</v>
      </c>
      <c r="K1320" s="3">
        <v>636709</v>
      </c>
      <c r="L1320" s="4">
        <v>636709</v>
      </c>
      <c r="M1320" s="4">
        <v>636709</v>
      </c>
      <c r="N1320" s="4">
        <v>636709</v>
      </c>
      <c r="O1320" s="4">
        <v>636709</v>
      </c>
      <c r="P1320" s="4">
        <v>636709</v>
      </c>
      <c r="Q1320" s="4">
        <v>636709</v>
      </c>
      <c r="R1320" s="4">
        <v>636709</v>
      </c>
      <c r="S1320" s="4">
        <v>636709</v>
      </c>
      <c r="T1320" s="4">
        <v>636709</v>
      </c>
      <c r="U1320" s="4">
        <v>636709</v>
      </c>
      <c r="V1320" s="4">
        <v>636709</v>
      </c>
      <c r="W1320" s="4">
        <v>636709</v>
      </c>
      <c r="X1320" s="4">
        <v>636709</v>
      </c>
      <c r="Y1320" s="4">
        <v>636709</v>
      </c>
    </row>
    <row r="1321" spans="1:25" ht="19.5" customHeight="1" x14ac:dyDescent="0.25">
      <c r="A1321" s="2" t="s">
        <v>3362</v>
      </c>
      <c r="B1321" s="2" t="s">
        <v>16</v>
      </c>
      <c r="C1321" s="2" t="s">
        <v>3363</v>
      </c>
      <c r="D1321" s="2" t="s">
        <v>3364</v>
      </c>
      <c r="E1321" s="2" t="s">
        <v>22</v>
      </c>
      <c r="F1321" s="3">
        <v>269888.40000000002</v>
      </c>
      <c r="G1321" s="3">
        <v>256100</v>
      </c>
      <c r="H1321" s="3">
        <v>98270</v>
      </c>
      <c r="I1321" s="3">
        <v>0</v>
      </c>
      <c r="J1321" s="3">
        <v>98270</v>
      </c>
      <c r="K1321" s="3">
        <v>0</v>
      </c>
      <c r="L1321" s="4">
        <v>98270</v>
      </c>
      <c r="M1321" s="4">
        <v>0</v>
      </c>
      <c r="N1321" s="4">
        <v>98270</v>
      </c>
      <c r="O1321" s="4">
        <v>0</v>
      </c>
      <c r="P1321" s="4">
        <v>98270</v>
      </c>
      <c r="Q1321" s="4">
        <v>0</v>
      </c>
      <c r="R1321" s="4">
        <v>98270</v>
      </c>
      <c r="S1321" s="4">
        <v>0</v>
      </c>
      <c r="T1321" s="4">
        <v>98270</v>
      </c>
      <c r="U1321" s="4">
        <v>0</v>
      </c>
      <c r="V1321" s="4">
        <v>98270</v>
      </c>
      <c r="W1321" s="4">
        <v>0</v>
      </c>
      <c r="X1321" s="4">
        <v>98270</v>
      </c>
      <c r="Y1321" s="4">
        <v>0</v>
      </c>
    </row>
    <row r="1322" spans="1:25" ht="19.5" customHeight="1" x14ac:dyDescent="0.25">
      <c r="A1322" s="2" t="s">
        <v>3365</v>
      </c>
      <c r="B1322" s="2" t="s">
        <v>16</v>
      </c>
      <c r="C1322" s="2" t="s">
        <v>3366</v>
      </c>
      <c r="D1322" s="2" t="s">
        <v>3367</v>
      </c>
      <c r="E1322" s="2" t="s">
        <v>3368</v>
      </c>
      <c r="F1322" s="3">
        <v>392166.41</v>
      </c>
      <c r="G1322" s="3">
        <v>475000</v>
      </c>
      <c r="H1322" s="3">
        <v>475000</v>
      </c>
      <c r="I1322" s="3">
        <v>475000</v>
      </c>
      <c r="J1322" s="3">
        <v>475000</v>
      </c>
      <c r="K1322" s="3">
        <v>475000</v>
      </c>
      <c r="L1322" s="4">
        <v>475000</v>
      </c>
      <c r="M1322" s="4">
        <v>475000</v>
      </c>
      <c r="N1322" s="4">
        <v>475000</v>
      </c>
      <c r="O1322" s="4">
        <v>475000</v>
      </c>
      <c r="P1322" s="4">
        <v>475000</v>
      </c>
      <c r="Q1322" s="4">
        <v>475000</v>
      </c>
      <c r="R1322" s="4">
        <v>475000</v>
      </c>
      <c r="S1322" s="4">
        <v>475000</v>
      </c>
      <c r="T1322" s="4">
        <v>475000</v>
      </c>
      <c r="U1322" s="4">
        <v>475000</v>
      </c>
      <c r="V1322" s="4">
        <v>475000</v>
      </c>
      <c r="W1322" s="4">
        <v>475000</v>
      </c>
      <c r="X1322" s="4">
        <v>475000</v>
      </c>
      <c r="Y1322" s="4">
        <v>475000</v>
      </c>
    </row>
    <row r="1323" spans="1:25" ht="19.5" customHeight="1" x14ac:dyDescent="0.25">
      <c r="A1323" s="2" t="s">
        <v>3365</v>
      </c>
      <c r="B1323" s="2" t="s">
        <v>16</v>
      </c>
      <c r="C1323" s="2" t="s">
        <v>3369</v>
      </c>
      <c r="D1323" s="2" t="s">
        <v>3370</v>
      </c>
      <c r="E1323" s="2" t="s">
        <v>3371</v>
      </c>
      <c r="F1323" s="3">
        <v>0</v>
      </c>
      <c r="G1323" s="3">
        <v>1128091</v>
      </c>
      <c r="H1323" s="3">
        <v>0</v>
      </c>
      <c r="I1323" s="3">
        <v>0</v>
      </c>
      <c r="J1323" s="3">
        <v>0</v>
      </c>
      <c r="K1323" s="3">
        <v>0</v>
      </c>
      <c r="L1323" s="4">
        <v>0</v>
      </c>
      <c r="M1323" s="4">
        <v>0</v>
      </c>
      <c r="N1323" s="4">
        <v>0</v>
      </c>
      <c r="O1323" s="4">
        <v>0</v>
      </c>
      <c r="P1323" s="4">
        <v>0</v>
      </c>
      <c r="Q1323" s="4">
        <v>0</v>
      </c>
      <c r="R1323" s="4">
        <v>0</v>
      </c>
      <c r="S1323" s="4">
        <v>0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</row>
    <row r="1324" spans="1:25" ht="19.5" customHeight="1" x14ac:dyDescent="0.25">
      <c r="A1324" s="2" t="s">
        <v>3365</v>
      </c>
      <c r="B1324" s="2" t="s">
        <v>16</v>
      </c>
      <c r="C1324" s="2" t="s">
        <v>3372</v>
      </c>
      <c r="D1324" s="2" t="s">
        <v>3373</v>
      </c>
      <c r="E1324" s="2" t="s">
        <v>3374</v>
      </c>
      <c r="F1324" s="3">
        <v>13609.76</v>
      </c>
      <c r="G1324" s="3">
        <v>19200</v>
      </c>
      <c r="H1324" s="3">
        <v>14400</v>
      </c>
      <c r="I1324" s="3">
        <v>14400</v>
      </c>
      <c r="J1324" s="3">
        <v>14400</v>
      </c>
      <c r="K1324" s="3">
        <v>14400</v>
      </c>
      <c r="L1324" s="4">
        <v>14400</v>
      </c>
      <c r="M1324" s="4">
        <v>14400</v>
      </c>
      <c r="N1324" s="4">
        <v>14400</v>
      </c>
      <c r="O1324" s="4">
        <v>14400</v>
      </c>
      <c r="P1324" s="4">
        <v>14400</v>
      </c>
      <c r="Q1324" s="4">
        <v>14400</v>
      </c>
      <c r="R1324" s="4">
        <v>14400</v>
      </c>
      <c r="S1324" s="4">
        <v>14400</v>
      </c>
      <c r="T1324" s="4">
        <v>14400</v>
      </c>
      <c r="U1324" s="4">
        <v>14400</v>
      </c>
      <c r="V1324" s="4">
        <v>14400</v>
      </c>
      <c r="W1324" s="4">
        <v>14400</v>
      </c>
      <c r="X1324" s="4">
        <v>14400</v>
      </c>
      <c r="Y1324" s="4">
        <v>14400</v>
      </c>
    </row>
    <row r="1325" spans="1:25" ht="19.5" customHeight="1" x14ac:dyDescent="0.25">
      <c r="A1325" s="2" t="s">
        <v>3365</v>
      </c>
      <c r="B1325" s="2" t="s">
        <v>16</v>
      </c>
      <c r="C1325" s="2" t="s">
        <v>3375</v>
      </c>
      <c r="D1325" s="2" t="s">
        <v>3376</v>
      </c>
      <c r="E1325" s="2" t="s">
        <v>3377</v>
      </c>
      <c r="F1325" s="3">
        <v>13177691.1</v>
      </c>
      <c r="G1325" s="3">
        <v>15310430</v>
      </c>
      <c r="H1325" s="3">
        <v>17923793</v>
      </c>
      <c r="I1325" s="3">
        <v>16872298</v>
      </c>
      <c r="J1325" s="3">
        <v>17923793</v>
      </c>
      <c r="K1325" s="3">
        <v>16872298</v>
      </c>
      <c r="L1325" s="4">
        <v>17923793</v>
      </c>
      <c r="M1325" s="4">
        <v>16872298</v>
      </c>
      <c r="N1325" s="4">
        <v>17923793</v>
      </c>
      <c r="O1325" s="4">
        <v>16872298</v>
      </c>
      <c r="P1325" s="4">
        <v>17923793</v>
      </c>
      <c r="Q1325" s="4">
        <v>16872298</v>
      </c>
      <c r="R1325" s="4">
        <v>17923793</v>
      </c>
      <c r="S1325" s="4">
        <v>16872298</v>
      </c>
      <c r="T1325" s="4">
        <v>17923793</v>
      </c>
      <c r="U1325" s="4">
        <v>16872298</v>
      </c>
      <c r="V1325" s="4">
        <v>17923793</v>
      </c>
      <c r="W1325" s="4">
        <v>16872298</v>
      </c>
      <c r="X1325" s="4">
        <v>17923793</v>
      </c>
      <c r="Y1325" s="4">
        <v>16872298</v>
      </c>
    </row>
    <row r="1326" spans="1:25" ht="19.5" customHeight="1" x14ac:dyDescent="0.25">
      <c r="A1326" s="2" t="s">
        <v>3365</v>
      </c>
      <c r="B1326" s="2" t="s">
        <v>16</v>
      </c>
      <c r="C1326" s="2" t="s">
        <v>3375</v>
      </c>
      <c r="D1326" s="2" t="s">
        <v>3378</v>
      </c>
      <c r="E1326" s="2" t="s">
        <v>3379</v>
      </c>
      <c r="F1326" s="3">
        <v>685435.28</v>
      </c>
      <c r="G1326" s="3">
        <v>700000</v>
      </c>
      <c r="H1326" s="3">
        <v>700000</v>
      </c>
      <c r="I1326" s="3">
        <v>700000</v>
      </c>
      <c r="J1326" s="3">
        <v>700000</v>
      </c>
      <c r="K1326" s="3">
        <v>700000</v>
      </c>
      <c r="L1326" s="4">
        <v>700000</v>
      </c>
      <c r="M1326" s="4">
        <v>700000</v>
      </c>
      <c r="N1326" s="4">
        <v>700000</v>
      </c>
      <c r="O1326" s="4">
        <v>700000</v>
      </c>
      <c r="P1326" s="4">
        <v>700000</v>
      </c>
      <c r="Q1326" s="4">
        <v>700000</v>
      </c>
      <c r="R1326" s="4">
        <v>700000</v>
      </c>
      <c r="S1326" s="4">
        <v>700000</v>
      </c>
      <c r="T1326" s="4">
        <v>700000</v>
      </c>
      <c r="U1326" s="4">
        <v>700000</v>
      </c>
      <c r="V1326" s="4">
        <v>700000</v>
      </c>
      <c r="W1326" s="4">
        <v>700000</v>
      </c>
      <c r="X1326" s="4">
        <v>700000</v>
      </c>
      <c r="Y1326" s="4">
        <v>700000</v>
      </c>
    </row>
    <row r="1327" spans="1:25" ht="19.5" customHeight="1" x14ac:dyDescent="0.25">
      <c r="A1327" s="2" t="s">
        <v>3365</v>
      </c>
      <c r="B1327" s="2" t="s">
        <v>16</v>
      </c>
      <c r="C1327" s="2" t="s">
        <v>3375</v>
      </c>
      <c r="D1327" s="2" t="s">
        <v>3380</v>
      </c>
      <c r="E1327" s="2" t="s">
        <v>3381</v>
      </c>
      <c r="F1327" s="3">
        <v>2136187.5</v>
      </c>
      <c r="G1327" s="4">
        <v>2288196</v>
      </c>
      <c r="H1327" s="4">
        <v>2390000</v>
      </c>
      <c r="I1327" s="4">
        <v>2500000</v>
      </c>
      <c r="J1327" s="4">
        <v>2390000</v>
      </c>
      <c r="K1327" s="4">
        <v>2500000</v>
      </c>
      <c r="L1327" s="4">
        <v>2390000</v>
      </c>
      <c r="M1327" s="4">
        <v>2500000</v>
      </c>
      <c r="N1327" s="4">
        <v>2390000</v>
      </c>
      <c r="O1327" s="4">
        <v>2500000</v>
      </c>
      <c r="P1327" s="4">
        <v>2390000</v>
      </c>
      <c r="Q1327" s="4">
        <v>2500000</v>
      </c>
      <c r="R1327" s="4">
        <v>2390000</v>
      </c>
      <c r="S1327" s="4">
        <v>2500000</v>
      </c>
      <c r="T1327" s="4">
        <v>2390000</v>
      </c>
      <c r="U1327" s="4">
        <v>2500000</v>
      </c>
      <c r="V1327" s="4">
        <v>2390000</v>
      </c>
      <c r="W1327" s="4">
        <v>2500000</v>
      </c>
      <c r="X1327" s="4">
        <v>2390000</v>
      </c>
      <c r="Y1327" s="4">
        <v>2500000</v>
      </c>
    </row>
    <row r="1328" spans="1:25" ht="19.5" customHeight="1" x14ac:dyDescent="0.25">
      <c r="A1328" s="2" t="s">
        <v>3365</v>
      </c>
      <c r="B1328" s="2" t="s">
        <v>16</v>
      </c>
      <c r="C1328" s="2" t="s">
        <v>3375</v>
      </c>
      <c r="D1328" s="2" t="s">
        <v>3382</v>
      </c>
      <c r="E1328" s="2" t="s">
        <v>3383</v>
      </c>
      <c r="F1328" s="3">
        <v>0</v>
      </c>
      <c r="G1328" s="4">
        <v>578448</v>
      </c>
      <c r="H1328" s="4">
        <v>0</v>
      </c>
      <c r="I1328" s="4">
        <v>0</v>
      </c>
      <c r="J1328" s="4">
        <v>0</v>
      </c>
      <c r="K1328" s="4">
        <v>0</v>
      </c>
      <c r="L1328" s="4">
        <v>0</v>
      </c>
      <c r="M1328" s="4">
        <v>0</v>
      </c>
      <c r="N1328" s="4">
        <v>0</v>
      </c>
      <c r="O1328" s="4">
        <v>0</v>
      </c>
      <c r="P1328" s="4">
        <v>0</v>
      </c>
      <c r="Q1328" s="4">
        <v>0</v>
      </c>
      <c r="R1328" s="4">
        <v>0</v>
      </c>
      <c r="S1328" s="4">
        <v>0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</row>
    <row r="1329" spans="1:25" ht="19.5" customHeight="1" x14ac:dyDescent="0.25">
      <c r="A1329" s="2" t="s">
        <v>3365</v>
      </c>
      <c r="B1329" s="2" t="s">
        <v>16</v>
      </c>
      <c r="C1329" s="2" t="s">
        <v>3384</v>
      </c>
      <c r="D1329" s="2" t="s">
        <v>3385</v>
      </c>
      <c r="E1329" s="2" t="s">
        <v>3386</v>
      </c>
      <c r="F1329" s="3">
        <v>83053.009999999995</v>
      </c>
      <c r="G1329" s="3">
        <v>200000</v>
      </c>
      <c r="H1329" s="3">
        <v>200000</v>
      </c>
      <c r="I1329" s="3">
        <v>200000</v>
      </c>
      <c r="J1329" s="3">
        <v>200000</v>
      </c>
      <c r="K1329" s="3">
        <v>200000</v>
      </c>
      <c r="L1329" s="4">
        <v>200000</v>
      </c>
      <c r="M1329" s="4">
        <v>200000</v>
      </c>
      <c r="N1329" s="4">
        <v>200000</v>
      </c>
      <c r="O1329" s="4">
        <v>200000</v>
      </c>
      <c r="P1329" s="4">
        <v>200000</v>
      </c>
      <c r="Q1329" s="4">
        <v>200000</v>
      </c>
      <c r="R1329" s="4">
        <v>200000</v>
      </c>
      <c r="S1329" s="4">
        <v>200000</v>
      </c>
      <c r="T1329" s="4">
        <v>200000</v>
      </c>
      <c r="U1329" s="4">
        <v>200000</v>
      </c>
      <c r="V1329" s="4">
        <v>200000</v>
      </c>
      <c r="W1329" s="4">
        <v>200000</v>
      </c>
      <c r="X1329" s="4">
        <v>200000</v>
      </c>
      <c r="Y1329" s="4">
        <v>200000</v>
      </c>
    </row>
    <row r="1330" spans="1:25" ht="19.5" customHeight="1" x14ac:dyDescent="0.25">
      <c r="A1330" s="2" t="s">
        <v>3365</v>
      </c>
      <c r="B1330" s="2" t="s">
        <v>16</v>
      </c>
      <c r="C1330" s="2" t="s">
        <v>3387</v>
      </c>
      <c r="D1330" s="2" t="s">
        <v>3388</v>
      </c>
      <c r="E1330" s="2" t="s">
        <v>3389</v>
      </c>
      <c r="F1330" s="4">
        <v>3310052.06</v>
      </c>
      <c r="G1330" s="3">
        <v>3699947.94</v>
      </c>
      <c r="H1330" s="3">
        <v>0</v>
      </c>
      <c r="I1330" s="3">
        <v>0</v>
      </c>
      <c r="J1330" s="3">
        <v>0</v>
      </c>
      <c r="K1330" s="3">
        <v>0</v>
      </c>
      <c r="L1330" s="4">
        <v>0</v>
      </c>
      <c r="M1330" s="4">
        <v>0</v>
      </c>
      <c r="N1330" s="4">
        <v>0</v>
      </c>
      <c r="O1330" s="4">
        <v>0</v>
      </c>
      <c r="P1330" s="4">
        <v>0</v>
      </c>
      <c r="Q1330" s="4">
        <v>0</v>
      </c>
      <c r="R1330" s="4">
        <v>0</v>
      </c>
      <c r="S1330" s="4">
        <v>0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</row>
    <row r="1331" spans="1:25" ht="19.5" customHeight="1" x14ac:dyDescent="0.25">
      <c r="A1331" s="2" t="s">
        <v>3365</v>
      </c>
      <c r="B1331" s="2" t="s">
        <v>16</v>
      </c>
      <c r="C1331" s="2" t="s">
        <v>3390</v>
      </c>
      <c r="D1331" s="2" t="s">
        <v>3391</v>
      </c>
      <c r="E1331" s="2" t="s">
        <v>3392</v>
      </c>
      <c r="F1331" s="3">
        <v>91930.76</v>
      </c>
      <c r="G1331" s="3">
        <v>100000</v>
      </c>
      <c r="H1331" s="3">
        <v>200000</v>
      </c>
      <c r="I1331" s="3">
        <v>200000</v>
      </c>
      <c r="J1331" s="3">
        <v>200000</v>
      </c>
      <c r="K1331" s="3">
        <v>200000</v>
      </c>
      <c r="L1331" s="4">
        <v>200000</v>
      </c>
      <c r="M1331" s="4">
        <v>200000</v>
      </c>
      <c r="N1331" s="4">
        <v>200000</v>
      </c>
      <c r="O1331" s="4">
        <v>200000</v>
      </c>
      <c r="P1331" s="4">
        <v>200000</v>
      </c>
      <c r="Q1331" s="4">
        <v>200000</v>
      </c>
      <c r="R1331" s="4">
        <v>200000</v>
      </c>
      <c r="S1331" s="4">
        <v>200000</v>
      </c>
      <c r="T1331" s="4">
        <v>200000</v>
      </c>
      <c r="U1331" s="4">
        <v>200000</v>
      </c>
      <c r="V1331" s="4">
        <v>200000</v>
      </c>
      <c r="W1331" s="4">
        <v>200000</v>
      </c>
      <c r="X1331" s="4">
        <v>200000</v>
      </c>
      <c r="Y1331" s="4">
        <v>200000</v>
      </c>
    </row>
    <row r="1332" spans="1:25" ht="19.5" customHeight="1" x14ac:dyDescent="0.25">
      <c r="A1332" s="2" t="s">
        <v>3365</v>
      </c>
      <c r="B1332" s="2" t="s">
        <v>16</v>
      </c>
      <c r="C1332" s="2" t="s">
        <v>3393</v>
      </c>
      <c r="D1332" s="2" t="s">
        <v>3394</v>
      </c>
      <c r="E1332" s="2" t="s">
        <v>3395</v>
      </c>
      <c r="F1332" s="3">
        <v>0</v>
      </c>
      <c r="G1332" s="3">
        <v>50000</v>
      </c>
      <c r="H1332" s="3">
        <v>0</v>
      </c>
      <c r="I1332" s="3">
        <v>0</v>
      </c>
      <c r="J1332" s="3">
        <v>0</v>
      </c>
      <c r="K1332" s="3">
        <v>0</v>
      </c>
      <c r="L1332" s="4">
        <v>0</v>
      </c>
      <c r="M1332" s="4">
        <v>0</v>
      </c>
      <c r="N1332" s="4">
        <v>0</v>
      </c>
      <c r="O1332" s="4">
        <v>0</v>
      </c>
      <c r="P1332" s="4">
        <v>0</v>
      </c>
      <c r="Q1332" s="4">
        <v>0</v>
      </c>
      <c r="R1332" s="4">
        <v>0</v>
      </c>
      <c r="S1332" s="4">
        <v>0</v>
      </c>
      <c r="T1332" s="4">
        <v>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</row>
    <row r="1333" spans="1:25" ht="19.5" customHeight="1" x14ac:dyDescent="0.25">
      <c r="A1333" s="2" t="s">
        <v>3365</v>
      </c>
      <c r="B1333" s="2" t="s">
        <v>44</v>
      </c>
      <c r="C1333" s="2" t="s">
        <v>3396</v>
      </c>
      <c r="D1333" s="2" t="s">
        <v>3397</v>
      </c>
      <c r="E1333" s="2" t="s">
        <v>3398</v>
      </c>
      <c r="F1333" s="4">
        <v>9331606.7699999996</v>
      </c>
      <c r="G1333" s="4">
        <v>31127199</v>
      </c>
      <c r="H1333" s="3">
        <v>1500000</v>
      </c>
      <c r="I1333" s="4">
        <v>1500000</v>
      </c>
      <c r="J1333" s="4">
        <v>1500000</v>
      </c>
      <c r="K1333" s="4">
        <v>1500000</v>
      </c>
      <c r="L1333" s="4">
        <v>1500000</v>
      </c>
      <c r="M1333" s="4">
        <v>1500000</v>
      </c>
      <c r="N1333" s="4">
        <v>1500000</v>
      </c>
      <c r="O1333" s="4">
        <v>1500000</v>
      </c>
      <c r="P1333" s="4">
        <v>1500000</v>
      </c>
      <c r="Q1333" s="4">
        <v>1500000</v>
      </c>
      <c r="R1333" s="4">
        <v>1500000</v>
      </c>
      <c r="S1333" s="4">
        <v>1500000</v>
      </c>
      <c r="T1333" s="4">
        <v>1500000</v>
      </c>
      <c r="U1333" s="4">
        <v>1500000</v>
      </c>
      <c r="V1333" s="4">
        <v>1500000</v>
      </c>
      <c r="W1333" s="4">
        <v>1500000</v>
      </c>
      <c r="X1333" s="4">
        <v>1500000</v>
      </c>
      <c r="Y1333" s="4">
        <v>1500000</v>
      </c>
    </row>
    <row r="1334" spans="1:25" ht="19.5" customHeight="1" x14ac:dyDescent="0.25">
      <c r="A1334" s="2" t="s">
        <v>3365</v>
      </c>
      <c r="B1334" s="2" t="s">
        <v>54</v>
      </c>
      <c r="C1334" s="2" t="s">
        <v>54</v>
      </c>
      <c r="D1334" s="2" t="s">
        <v>3399</v>
      </c>
      <c r="E1334" s="2" t="s">
        <v>22</v>
      </c>
      <c r="F1334" s="3">
        <v>1224333.55</v>
      </c>
      <c r="G1334" s="3">
        <v>825000</v>
      </c>
      <c r="H1334" s="3">
        <v>890000</v>
      </c>
      <c r="I1334" s="3">
        <v>890000</v>
      </c>
      <c r="J1334" s="3">
        <v>890000</v>
      </c>
      <c r="K1334" s="3">
        <v>890000</v>
      </c>
      <c r="L1334" s="4">
        <v>890000</v>
      </c>
      <c r="M1334" s="4">
        <v>890000</v>
      </c>
      <c r="N1334" s="4">
        <v>890000</v>
      </c>
      <c r="O1334" s="4">
        <v>890000</v>
      </c>
      <c r="P1334" s="4">
        <v>890000</v>
      </c>
      <c r="Q1334" s="4">
        <v>890000</v>
      </c>
      <c r="R1334" s="4">
        <v>890000</v>
      </c>
      <c r="S1334" s="4">
        <v>890000</v>
      </c>
      <c r="T1334" s="4">
        <v>890000</v>
      </c>
      <c r="U1334" s="4">
        <v>890000</v>
      </c>
      <c r="V1334" s="4">
        <v>890000</v>
      </c>
      <c r="W1334" s="4">
        <v>890000</v>
      </c>
      <c r="X1334" s="4">
        <v>890000</v>
      </c>
      <c r="Y1334" s="4">
        <v>890000</v>
      </c>
    </row>
    <row r="1335" spans="1:25" ht="19.5" customHeight="1" x14ac:dyDescent="0.25">
      <c r="A1335" s="2" t="s">
        <v>3365</v>
      </c>
      <c r="B1335" s="2" t="s">
        <v>54</v>
      </c>
      <c r="C1335" s="2" t="s">
        <v>54</v>
      </c>
      <c r="D1335" s="2" t="s">
        <v>3400</v>
      </c>
      <c r="E1335" s="2" t="s">
        <v>3401</v>
      </c>
      <c r="F1335" s="3">
        <v>0</v>
      </c>
      <c r="G1335" s="3">
        <v>421552</v>
      </c>
      <c r="H1335" s="3">
        <v>234196</v>
      </c>
      <c r="I1335" s="3">
        <v>234196</v>
      </c>
      <c r="J1335" s="3">
        <v>234196</v>
      </c>
      <c r="K1335" s="3">
        <v>234196</v>
      </c>
      <c r="L1335" s="4">
        <v>234196</v>
      </c>
      <c r="M1335" s="4">
        <v>234196</v>
      </c>
      <c r="N1335" s="4">
        <v>234196</v>
      </c>
      <c r="O1335" s="4">
        <v>234196</v>
      </c>
      <c r="P1335" s="4">
        <v>234196</v>
      </c>
      <c r="Q1335" s="4">
        <v>234196</v>
      </c>
      <c r="R1335" s="4">
        <v>234196</v>
      </c>
      <c r="S1335" s="4">
        <v>234196</v>
      </c>
      <c r="T1335" s="4">
        <v>234196</v>
      </c>
      <c r="U1335" s="4">
        <v>234196</v>
      </c>
      <c r="V1335" s="4">
        <v>234196</v>
      </c>
      <c r="W1335" s="4">
        <v>234196</v>
      </c>
      <c r="X1335" s="4">
        <v>234196</v>
      </c>
      <c r="Y1335" s="4">
        <v>234196</v>
      </c>
    </row>
    <row r="1336" spans="1:25" ht="19.5" customHeight="1" x14ac:dyDescent="0.25">
      <c r="A1336" s="2" t="s">
        <v>3365</v>
      </c>
      <c r="B1336" s="2" t="s">
        <v>54</v>
      </c>
      <c r="C1336" s="2" t="s">
        <v>54</v>
      </c>
      <c r="D1336" s="2" t="s">
        <v>3402</v>
      </c>
      <c r="E1336" s="2" t="s">
        <v>3403</v>
      </c>
      <c r="F1336" s="3">
        <v>10100216.98</v>
      </c>
      <c r="G1336" s="3">
        <v>10006375</v>
      </c>
      <c r="H1336" s="3">
        <v>12500000</v>
      </c>
      <c r="I1336" s="3">
        <v>12500000</v>
      </c>
      <c r="J1336" s="3">
        <v>12500000</v>
      </c>
      <c r="K1336" s="3">
        <v>12500000</v>
      </c>
      <c r="L1336" s="4">
        <v>12500000</v>
      </c>
      <c r="M1336" s="4">
        <v>12500000</v>
      </c>
      <c r="N1336" s="4">
        <v>12500000</v>
      </c>
      <c r="O1336" s="4">
        <v>12500000</v>
      </c>
      <c r="P1336" s="4">
        <v>12500000</v>
      </c>
      <c r="Q1336" s="4">
        <v>12500000</v>
      </c>
      <c r="R1336" s="4">
        <v>12500000</v>
      </c>
      <c r="S1336" s="4">
        <v>12500000</v>
      </c>
      <c r="T1336" s="4">
        <v>12500000</v>
      </c>
      <c r="U1336" s="4">
        <v>12500000</v>
      </c>
      <c r="V1336" s="4">
        <v>12500000</v>
      </c>
      <c r="W1336" s="4">
        <v>12500000</v>
      </c>
      <c r="X1336" s="4">
        <v>12500000</v>
      </c>
      <c r="Y1336" s="4">
        <v>12500000</v>
      </c>
    </row>
    <row r="1337" spans="1:25" ht="19.5" customHeight="1" x14ac:dyDescent="0.25">
      <c r="A1337" s="2" t="s">
        <v>3365</v>
      </c>
      <c r="B1337" s="2" t="s">
        <v>227</v>
      </c>
      <c r="C1337" s="2" t="s">
        <v>3404</v>
      </c>
      <c r="D1337" s="2" t="s">
        <v>3405</v>
      </c>
      <c r="E1337" s="2" t="s">
        <v>3406</v>
      </c>
      <c r="F1337" s="3">
        <v>36057.879999999997</v>
      </c>
      <c r="G1337" s="3">
        <v>85000</v>
      </c>
      <c r="H1337" s="3">
        <v>85000</v>
      </c>
      <c r="I1337" s="3">
        <v>85000</v>
      </c>
      <c r="J1337" s="3">
        <v>85000</v>
      </c>
      <c r="K1337" s="3">
        <v>85000</v>
      </c>
      <c r="L1337" s="4">
        <v>85000</v>
      </c>
      <c r="M1337" s="4">
        <v>85000</v>
      </c>
      <c r="N1337" s="4">
        <v>85000</v>
      </c>
      <c r="O1337" s="4">
        <v>85000</v>
      </c>
      <c r="P1337" s="4">
        <v>85000</v>
      </c>
      <c r="Q1337" s="4">
        <v>85000</v>
      </c>
      <c r="R1337" s="4">
        <v>85000</v>
      </c>
      <c r="S1337" s="4">
        <v>85000</v>
      </c>
      <c r="T1337" s="4">
        <v>85000</v>
      </c>
      <c r="U1337" s="4">
        <v>85000</v>
      </c>
      <c r="V1337" s="4">
        <v>85000</v>
      </c>
      <c r="W1337" s="4">
        <v>85000</v>
      </c>
      <c r="X1337" s="4">
        <v>85000</v>
      </c>
      <c r="Y1337" s="4">
        <v>85000</v>
      </c>
    </row>
    <row r="1338" spans="1:25" ht="19.5" customHeight="1" x14ac:dyDescent="0.25">
      <c r="A1338" s="2" t="s">
        <v>3407</v>
      </c>
      <c r="B1338" s="2" t="s">
        <v>16</v>
      </c>
      <c r="C1338" s="2" t="s">
        <v>3408</v>
      </c>
      <c r="D1338" s="2" t="s">
        <v>3409</v>
      </c>
      <c r="E1338" s="2" t="s">
        <v>3410</v>
      </c>
      <c r="F1338" s="4">
        <v>10232</v>
      </c>
      <c r="G1338" s="3">
        <v>145000</v>
      </c>
      <c r="H1338" s="3">
        <v>24558</v>
      </c>
      <c r="I1338" s="3">
        <v>24558</v>
      </c>
      <c r="J1338" s="3">
        <v>24558</v>
      </c>
      <c r="K1338" s="3">
        <v>24558</v>
      </c>
      <c r="L1338" s="4">
        <v>24558</v>
      </c>
      <c r="M1338" s="4">
        <v>24558</v>
      </c>
      <c r="N1338" s="4">
        <v>24558</v>
      </c>
      <c r="O1338" s="4">
        <v>24558</v>
      </c>
      <c r="P1338" s="4">
        <v>24558</v>
      </c>
      <c r="Q1338" s="4">
        <v>24558</v>
      </c>
      <c r="R1338" s="4">
        <v>24558</v>
      </c>
      <c r="S1338" s="4">
        <v>24558</v>
      </c>
      <c r="T1338" s="4">
        <v>24558</v>
      </c>
      <c r="U1338" s="4">
        <v>24558</v>
      </c>
      <c r="V1338" s="4">
        <v>24558</v>
      </c>
      <c r="W1338" s="4">
        <v>24558</v>
      </c>
      <c r="X1338" s="4">
        <v>24558</v>
      </c>
      <c r="Y1338" s="4">
        <v>24558</v>
      </c>
    </row>
    <row r="1339" spans="1:25" ht="19.5" customHeight="1" x14ac:dyDescent="0.25">
      <c r="A1339" s="2" t="s">
        <v>3407</v>
      </c>
      <c r="B1339" s="2" t="s">
        <v>54</v>
      </c>
      <c r="C1339" s="2" t="s">
        <v>54</v>
      </c>
      <c r="D1339" s="2" t="s">
        <v>3411</v>
      </c>
      <c r="E1339" s="2" t="s">
        <v>22</v>
      </c>
      <c r="F1339" s="3">
        <v>458898.82</v>
      </c>
      <c r="G1339" s="3">
        <v>431564</v>
      </c>
      <c r="H1339" s="3">
        <v>464047</v>
      </c>
      <c r="I1339" s="3">
        <v>464047</v>
      </c>
      <c r="J1339" s="3">
        <v>464047</v>
      </c>
      <c r="K1339" s="3">
        <v>464047</v>
      </c>
      <c r="L1339" s="4">
        <v>464047</v>
      </c>
      <c r="M1339" s="4">
        <v>464047</v>
      </c>
      <c r="N1339" s="4">
        <v>464047</v>
      </c>
      <c r="O1339" s="4">
        <v>464047</v>
      </c>
      <c r="P1339" s="4">
        <v>464047</v>
      </c>
      <c r="Q1339" s="4">
        <v>464047</v>
      </c>
      <c r="R1339" s="4">
        <v>464047</v>
      </c>
      <c r="S1339" s="4">
        <v>464047</v>
      </c>
      <c r="T1339" s="4">
        <v>464047</v>
      </c>
      <c r="U1339" s="4">
        <v>464047</v>
      </c>
      <c r="V1339" s="4">
        <v>464047</v>
      </c>
      <c r="W1339" s="4">
        <v>464047</v>
      </c>
      <c r="X1339" s="4">
        <v>464047</v>
      </c>
      <c r="Y1339" s="4">
        <v>464047</v>
      </c>
    </row>
    <row r="1340" spans="1:25" ht="19.5" customHeight="1" x14ac:dyDescent="0.25">
      <c r="A1340" s="2" t="s">
        <v>3412</v>
      </c>
      <c r="B1340" s="2" t="s">
        <v>16</v>
      </c>
      <c r="C1340" s="2" t="s">
        <v>3413</v>
      </c>
      <c r="D1340" s="2" t="s">
        <v>3414</v>
      </c>
      <c r="E1340" s="2" t="s">
        <v>3415</v>
      </c>
      <c r="F1340" s="3">
        <v>11933790.960000001</v>
      </c>
      <c r="G1340" s="3">
        <v>13036732</v>
      </c>
      <c r="H1340" s="3">
        <v>14254131</v>
      </c>
      <c r="I1340" s="3">
        <v>14254131</v>
      </c>
      <c r="J1340" s="3">
        <v>10964720</v>
      </c>
      <c r="K1340" s="3">
        <v>10964720</v>
      </c>
      <c r="L1340" s="4">
        <v>10964720</v>
      </c>
      <c r="M1340" s="4">
        <v>10964720</v>
      </c>
      <c r="N1340" s="4">
        <v>10964720</v>
      </c>
      <c r="O1340" s="4">
        <v>10964720</v>
      </c>
      <c r="P1340" s="4">
        <v>12609409</v>
      </c>
      <c r="Q1340" s="4">
        <v>12609409</v>
      </c>
      <c r="R1340" s="4">
        <v>12609409</v>
      </c>
      <c r="S1340" s="4">
        <v>12609409</v>
      </c>
      <c r="T1340" s="4">
        <v>12609409</v>
      </c>
      <c r="U1340" s="4">
        <v>12609409</v>
      </c>
      <c r="V1340" s="4">
        <v>10545000</v>
      </c>
      <c r="W1340" s="4">
        <v>10880000</v>
      </c>
      <c r="X1340" s="4">
        <v>10545000</v>
      </c>
      <c r="Y1340" s="4">
        <v>10880000</v>
      </c>
    </row>
    <row r="1341" spans="1:25" ht="19.5" customHeight="1" x14ac:dyDescent="0.25">
      <c r="A1341" s="2" t="s">
        <v>3412</v>
      </c>
      <c r="B1341" s="2" t="s">
        <v>16</v>
      </c>
      <c r="C1341" s="2" t="s">
        <v>3416</v>
      </c>
      <c r="D1341" s="2" t="s">
        <v>3417</v>
      </c>
      <c r="E1341" s="2" t="s">
        <v>3418</v>
      </c>
      <c r="F1341" s="4">
        <v>5624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4">
        <v>0</v>
      </c>
      <c r="M1341" s="4">
        <v>0</v>
      </c>
      <c r="N1341" s="4">
        <v>0</v>
      </c>
      <c r="O1341" s="4">
        <v>0</v>
      </c>
      <c r="P1341" s="4">
        <v>0</v>
      </c>
      <c r="Q1341" s="4">
        <v>0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</row>
    <row r="1342" spans="1:25" ht="19.5" customHeight="1" x14ac:dyDescent="0.25">
      <c r="A1342" s="2" t="s">
        <v>3412</v>
      </c>
      <c r="B1342" s="2" t="s">
        <v>16</v>
      </c>
      <c r="C1342" s="2" t="s">
        <v>3419</v>
      </c>
      <c r="D1342" s="2" t="s">
        <v>3420</v>
      </c>
      <c r="E1342" s="2" t="s">
        <v>3421</v>
      </c>
      <c r="F1342" s="3">
        <v>26498363.23</v>
      </c>
      <c r="G1342" s="3">
        <v>27735059</v>
      </c>
      <c r="H1342" s="3">
        <v>31020628</v>
      </c>
      <c r="I1342" s="3">
        <v>31020628</v>
      </c>
      <c r="J1342" s="3">
        <v>31020628</v>
      </c>
      <c r="K1342" s="3">
        <v>31020628</v>
      </c>
      <c r="L1342" s="4">
        <v>31020628</v>
      </c>
      <c r="M1342" s="4">
        <v>31020628</v>
      </c>
      <c r="N1342" s="4">
        <v>31020628</v>
      </c>
      <c r="O1342" s="4">
        <v>31020628</v>
      </c>
      <c r="P1342" s="4">
        <v>31020628</v>
      </c>
      <c r="Q1342" s="4">
        <v>31020628</v>
      </c>
      <c r="R1342" s="4">
        <v>31020628</v>
      </c>
      <c r="S1342" s="4">
        <v>31020628</v>
      </c>
      <c r="T1342" s="4">
        <v>31020628</v>
      </c>
      <c r="U1342" s="4">
        <v>31020628</v>
      </c>
      <c r="V1342" s="4">
        <v>31020628</v>
      </c>
      <c r="W1342" s="4">
        <v>31020628</v>
      </c>
      <c r="X1342" s="4">
        <v>31020628</v>
      </c>
      <c r="Y1342" s="4">
        <v>31020628</v>
      </c>
    </row>
    <row r="1343" spans="1:25" ht="19.5" customHeight="1" x14ac:dyDescent="0.25">
      <c r="A1343" s="2" t="s">
        <v>3412</v>
      </c>
      <c r="B1343" s="2" t="s">
        <v>16</v>
      </c>
      <c r="C1343" s="2" t="s">
        <v>3422</v>
      </c>
      <c r="D1343" s="2" t="s">
        <v>3423</v>
      </c>
      <c r="E1343" s="2" t="s">
        <v>3424</v>
      </c>
      <c r="F1343" s="3">
        <v>1153148.69</v>
      </c>
      <c r="G1343" s="3">
        <v>1777952</v>
      </c>
      <c r="H1343" s="3">
        <v>1500000</v>
      </c>
      <c r="I1343" s="3">
        <v>1500000</v>
      </c>
      <c r="J1343" s="3">
        <v>1500000</v>
      </c>
      <c r="K1343" s="3">
        <v>1500000</v>
      </c>
      <c r="L1343" s="4">
        <v>1500000</v>
      </c>
      <c r="M1343" s="4">
        <v>1500000</v>
      </c>
      <c r="N1343" s="4">
        <v>1500000</v>
      </c>
      <c r="O1343" s="4">
        <v>1500000</v>
      </c>
      <c r="P1343" s="4">
        <v>1500000</v>
      </c>
      <c r="Q1343" s="4">
        <v>1500000</v>
      </c>
      <c r="R1343" s="4">
        <v>1500000</v>
      </c>
      <c r="S1343" s="4">
        <v>1500000</v>
      </c>
      <c r="T1343" s="4">
        <v>1500000</v>
      </c>
      <c r="U1343" s="4">
        <v>1500000</v>
      </c>
      <c r="V1343" s="4">
        <v>1500000</v>
      </c>
      <c r="W1343" s="4">
        <v>1500000</v>
      </c>
      <c r="X1343" s="4">
        <v>1500000</v>
      </c>
      <c r="Y1343" s="4">
        <v>1500000</v>
      </c>
    </row>
    <row r="1344" spans="1:25" ht="19.5" customHeight="1" x14ac:dyDescent="0.25">
      <c r="A1344" s="2" t="s">
        <v>3412</v>
      </c>
      <c r="B1344" s="2" t="s">
        <v>16</v>
      </c>
      <c r="C1344" s="2" t="s">
        <v>3425</v>
      </c>
      <c r="D1344" s="2" t="s">
        <v>3426</v>
      </c>
      <c r="E1344" s="2" t="s">
        <v>3427</v>
      </c>
      <c r="F1344" s="4">
        <v>6880111.75</v>
      </c>
      <c r="G1344" s="3">
        <v>8244291</v>
      </c>
      <c r="H1344" s="3">
        <v>9000000</v>
      </c>
      <c r="I1344" s="3">
        <v>9000000</v>
      </c>
      <c r="J1344" s="3">
        <v>9000000</v>
      </c>
      <c r="K1344" s="3">
        <v>9000000</v>
      </c>
      <c r="L1344" s="4">
        <v>9000000</v>
      </c>
      <c r="M1344" s="4">
        <v>9000000</v>
      </c>
      <c r="N1344" s="4">
        <v>9000000</v>
      </c>
      <c r="O1344" s="4">
        <v>9000000</v>
      </c>
      <c r="P1344" s="4">
        <v>9000000</v>
      </c>
      <c r="Q1344" s="4">
        <v>9000000</v>
      </c>
      <c r="R1344" s="4">
        <v>9000000</v>
      </c>
      <c r="S1344" s="4">
        <v>9000000</v>
      </c>
      <c r="T1344" s="4">
        <v>9000000</v>
      </c>
      <c r="U1344" s="4">
        <v>9000000</v>
      </c>
      <c r="V1344" s="4">
        <v>9000000</v>
      </c>
      <c r="W1344" s="4">
        <v>9000000</v>
      </c>
      <c r="X1344" s="4">
        <v>9000000</v>
      </c>
      <c r="Y1344" s="4">
        <v>9000000</v>
      </c>
    </row>
    <row r="1345" spans="1:25" ht="19.5" customHeight="1" x14ac:dyDescent="0.25">
      <c r="A1345" s="2" t="s">
        <v>3412</v>
      </c>
      <c r="B1345" s="2" t="s">
        <v>16</v>
      </c>
      <c r="C1345" s="2" t="s">
        <v>3428</v>
      </c>
      <c r="D1345" s="2" t="s">
        <v>3429</v>
      </c>
      <c r="E1345" s="2" t="s">
        <v>3430</v>
      </c>
      <c r="F1345" s="3">
        <v>394814.46</v>
      </c>
      <c r="G1345" s="3">
        <v>592133</v>
      </c>
      <c r="H1345" s="3">
        <v>705869</v>
      </c>
      <c r="I1345" s="3">
        <v>705869</v>
      </c>
      <c r="J1345" s="3">
        <v>705869</v>
      </c>
      <c r="K1345" s="3">
        <v>705869</v>
      </c>
      <c r="L1345" s="4">
        <v>705869</v>
      </c>
      <c r="M1345" s="4">
        <v>705869</v>
      </c>
      <c r="N1345" s="4">
        <v>705869</v>
      </c>
      <c r="O1345" s="4">
        <v>705869</v>
      </c>
      <c r="P1345" s="4">
        <v>705869</v>
      </c>
      <c r="Q1345" s="4">
        <v>705869</v>
      </c>
      <c r="R1345" s="4">
        <v>705869</v>
      </c>
      <c r="S1345" s="4">
        <v>705869</v>
      </c>
      <c r="T1345" s="4">
        <v>705869</v>
      </c>
      <c r="U1345" s="4">
        <v>705869</v>
      </c>
      <c r="V1345" s="4">
        <v>705869</v>
      </c>
      <c r="W1345" s="4">
        <v>705869</v>
      </c>
      <c r="X1345" s="4">
        <v>705869</v>
      </c>
      <c r="Y1345" s="4">
        <v>705869</v>
      </c>
    </row>
    <row r="1346" spans="1:25" ht="19.5" customHeight="1" x14ac:dyDescent="0.25">
      <c r="A1346" s="2" t="s">
        <v>3412</v>
      </c>
      <c r="B1346" s="2" t="s">
        <v>16</v>
      </c>
      <c r="C1346" s="2" t="s">
        <v>3431</v>
      </c>
      <c r="D1346" s="2" t="s">
        <v>3432</v>
      </c>
      <c r="E1346" s="2" t="s">
        <v>3433</v>
      </c>
      <c r="F1346" s="3">
        <v>181977.06</v>
      </c>
      <c r="G1346" s="3">
        <v>79527</v>
      </c>
      <c r="H1346" s="3">
        <v>180000</v>
      </c>
      <c r="I1346" s="3">
        <v>180000</v>
      </c>
      <c r="J1346" s="3">
        <v>180000</v>
      </c>
      <c r="K1346" s="3">
        <v>180000</v>
      </c>
      <c r="L1346" s="4">
        <v>180000</v>
      </c>
      <c r="M1346" s="4">
        <v>180000</v>
      </c>
      <c r="N1346" s="4">
        <v>180000</v>
      </c>
      <c r="O1346" s="4">
        <v>180000</v>
      </c>
      <c r="P1346" s="4">
        <v>180000</v>
      </c>
      <c r="Q1346" s="4">
        <v>180000</v>
      </c>
      <c r="R1346" s="4">
        <v>180000</v>
      </c>
      <c r="S1346" s="4">
        <v>180000</v>
      </c>
      <c r="T1346" s="4">
        <v>180000</v>
      </c>
      <c r="U1346" s="4">
        <v>180000</v>
      </c>
      <c r="V1346" s="4">
        <v>180000</v>
      </c>
      <c r="W1346" s="4">
        <v>180000</v>
      </c>
      <c r="X1346" s="4">
        <v>180000</v>
      </c>
      <c r="Y1346" s="4">
        <v>180000</v>
      </c>
    </row>
    <row r="1347" spans="1:25" ht="19.5" customHeight="1" x14ac:dyDescent="0.25">
      <c r="A1347" s="2" t="s">
        <v>3412</v>
      </c>
      <c r="B1347" s="2" t="s">
        <v>16</v>
      </c>
      <c r="C1347" s="2" t="s">
        <v>3434</v>
      </c>
      <c r="D1347" s="2" t="s">
        <v>3435</v>
      </c>
      <c r="E1347" s="2" t="s">
        <v>3436</v>
      </c>
      <c r="F1347" s="3">
        <v>98780.78</v>
      </c>
      <c r="G1347" s="3">
        <v>298733</v>
      </c>
      <c r="H1347" s="3">
        <v>298794</v>
      </c>
      <c r="I1347" s="3">
        <v>298794</v>
      </c>
      <c r="J1347" s="3">
        <v>298794</v>
      </c>
      <c r="K1347" s="3">
        <v>298794</v>
      </c>
      <c r="L1347" s="4">
        <v>298794</v>
      </c>
      <c r="M1347" s="4">
        <v>298794</v>
      </c>
      <c r="N1347" s="4">
        <v>298794</v>
      </c>
      <c r="O1347" s="4">
        <v>298794</v>
      </c>
      <c r="P1347" s="4">
        <v>298794</v>
      </c>
      <c r="Q1347" s="4">
        <v>298794</v>
      </c>
      <c r="R1347" s="4">
        <v>298794</v>
      </c>
      <c r="S1347" s="4">
        <v>298794</v>
      </c>
      <c r="T1347" s="4">
        <v>298794</v>
      </c>
      <c r="U1347" s="4">
        <v>298794</v>
      </c>
      <c r="V1347" s="4">
        <v>298794</v>
      </c>
      <c r="W1347" s="4">
        <v>298794</v>
      </c>
      <c r="X1347" s="4">
        <v>298794</v>
      </c>
      <c r="Y1347" s="4">
        <v>298794</v>
      </c>
    </row>
    <row r="1348" spans="1:25" ht="19.5" customHeight="1" x14ac:dyDescent="0.25">
      <c r="A1348" s="2" t="s">
        <v>3412</v>
      </c>
      <c r="B1348" s="2" t="s">
        <v>16</v>
      </c>
      <c r="C1348" s="2" t="s">
        <v>3437</v>
      </c>
      <c r="D1348" s="2" t="s">
        <v>3438</v>
      </c>
      <c r="E1348" s="2" t="s">
        <v>3439</v>
      </c>
      <c r="F1348" s="3">
        <v>106250</v>
      </c>
      <c r="G1348" s="3">
        <v>88743</v>
      </c>
      <c r="H1348" s="3">
        <v>125000</v>
      </c>
      <c r="I1348" s="3">
        <v>125000</v>
      </c>
      <c r="J1348" s="3">
        <v>125000</v>
      </c>
      <c r="K1348" s="3">
        <v>125000</v>
      </c>
      <c r="L1348" s="4">
        <v>125000</v>
      </c>
      <c r="M1348" s="4">
        <v>125000</v>
      </c>
      <c r="N1348" s="4">
        <v>125000</v>
      </c>
      <c r="O1348" s="4">
        <v>125000</v>
      </c>
      <c r="P1348" s="4">
        <v>125000</v>
      </c>
      <c r="Q1348" s="4">
        <v>125000</v>
      </c>
      <c r="R1348" s="4">
        <v>125000</v>
      </c>
      <c r="S1348" s="4">
        <v>125000</v>
      </c>
      <c r="T1348" s="4">
        <v>125000</v>
      </c>
      <c r="U1348" s="4">
        <v>125000</v>
      </c>
      <c r="V1348" s="4">
        <v>125000</v>
      </c>
      <c r="W1348" s="4">
        <v>125000</v>
      </c>
      <c r="X1348" s="4">
        <v>125000</v>
      </c>
      <c r="Y1348" s="4">
        <v>125000</v>
      </c>
    </row>
    <row r="1349" spans="1:25" ht="19.5" customHeight="1" x14ac:dyDescent="0.25">
      <c r="A1349" s="2" t="s">
        <v>3412</v>
      </c>
      <c r="B1349" s="2" t="s">
        <v>16</v>
      </c>
      <c r="C1349" s="2" t="s">
        <v>3440</v>
      </c>
      <c r="D1349" s="2" t="s">
        <v>3441</v>
      </c>
      <c r="E1349" s="2" t="s">
        <v>3442</v>
      </c>
      <c r="F1349" s="3">
        <v>460141.16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4">
        <v>0</v>
      </c>
      <c r="M1349" s="4">
        <v>0</v>
      </c>
      <c r="N1349" s="4">
        <v>0</v>
      </c>
      <c r="O1349" s="4">
        <v>0</v>
      </c>
      <c r="P1349" s="4">
        <v>0</v>
      </c>
      <c r="Q1349" s="4">
        <v>0</v>
      </c>
      <c r="R1349" s="4">
        <v>0</v>
      </c>
      <c r="S1349" s="4">
        <v>0</v>
      </c>
      <c r="T1349" s="4">
        <v>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</row>
    <row r="1350" spans="1:25" ht="19.5" customHeight="1" x14ac:dyDescent="0.25">
      <c r="A1350" s="2" t="s">
        <v>3412</v>
      </c>
      <c r="B1350" s="2" t="s">
        <v>16</v>
      </c>
      <c r="C1350" s="2" t="s">
        <v>3443</v>
      </c>
      <c r="D1350" s="2" t="s">
        <v>3444</v>
      </c>
      <c r="E1350" s="2" t="s">
        <v>3445</v>
      </c>
      <c r="F1350" s="3">
        <v>273264.46999999997</v>
      </c>
      <c r="G1350" s="3">
        <v>130642</v>
      </c>
      <c r="H1350" s="3">
        <v>200000</v>
      </c>
      <c r="I1350" s="3">
        <v>200000</v>
      </c>
      <c r="J1350" s="3">
        <v>200000</v>
      </c>
      <c r="K1350" s="3">
        <v>200000</v>
      </c>
      <c r="L1350" s="4">
        <v>200000</v>
      </c>
      <c r="M1350" s="4">
        <v>200000</v>
      </c>
      <c r="N1350" s="4">
        <v>200000</v>
      </c>
      <c r="O1350" s="4">
        <v>200000</v>
      </c>
      <c r="P1350" s="4">
        <v>200000</v>
      </c>
      <c r="Q1350" s="4">
        <v>200000</v>
      </c>
      <c r="R1350" s="4">
        <v>200000</v>
      </c>
      <c r="S1350" s="4">
        <v>200000</v>
      </c>
      <c r="T1350" s="4">
        <v>200000</v>
      </c>
      <c r="U1350" s="4">
        <v>200000</v>
      </c>
      <c r="V1350" s="4">
        <v>200000</v>
      </c>
      <c r="W1350" s="4">
        <v>200000</v>
      </c>
      <c r="X1350" s="4">
        <v>200000</v>
      </c>
      <c r="Y1350" s="4">
        <v>200000</v>
      </c>
    </row>
    <row r="1351" spans="1:25" ht="19.5" customHeight="1" x14ac:dyDescent="0.25">
      <c r="A1351" s="2" t="s">
        <v>3412</v>
      </c>
      <c r="B1351" s="2" t="s">
        <v>16</v>
      </c>
      <c r="C1351" s="2" t="s">
        <v>3446</v>
      </c>
      <c r="D1351" s="2" t="s">
        <v>3447</v>
      </c>
      <c r="E1351" s="2" t="s">
        <v>3448</v>
      </c>
      <c r="F1351" s="3">
        <v>81821.94</v>
      </c>
      <c r="G1351" s="3">
        <v>40000</v>
      </c>
      <c r="H1351" s="3">
        <v>100000</v>
      </c>
      <c r="I1351" s="3">
        <v>100000</v>
      </c>
      <c r="J1351" s="3">
        <v>100000</v>
      </c>
      <c r="K1351" s="3">
        <v>100000</v>
      </c>
      <c r="L1351" s="4">
        <v>100000</v>
      </c>
      <c r="M1351" s="4">
        <v>100000</v>
      </c>
      <c r="N1351" s="4">
        <v>100000</v>
      </c>
      <c r="O1351" s="4">
        <v>100000</v>
      </c>
      <c r="P1351" s="4">
        <v>100000</v>
      </c>
      <c r="Q1351" s="4">
        <v>100000</v>
      </c>
      <c r="R1351" s="4">
        <v>100000</v>
      </c>
      <c r="S1351" s="4">
        <v>100000</v>
      </c>
      <c r="T1351" s="4">
        <v>100000</v>
      </c>
      <c r="U1351" s="4">
        <v>100000</v>
      </c>
      <c r="V1351" s="4">
        <v>100000</v>
      </c>
      <c r="W1351" s="4">
        <v>100000</v>
      </c>
      <c r="X1351" s="4">
        <v>100000</v>
      </c>
      <c r="Y1351" s="4">
        <v>100000</v>
      </c>
    </row>
    <row r="1352" spans="1:25" ht="19.5" customHeight="1" x14ac:dyDescent="0.25">
      <c r="A1352" s="2" t="s">
        <v>3412</v>
      </c>
      <c r="B1352" s="2" t="s">
        <v>16</v>
      </c>
      <c r="C1352" s="2" t="s">
        <v>3449</v>
      </c>
      <c r="D1352" s="2" t="s">
        <v>3450</v>
      </c>
      <c r="E1352" s="2" t="s">
        <v>3451</v>
      </c>
      <c r="F1352" s="3">
        <v>651650.31000000006</v>
      </c>
      <c r="G1352" s="3">
        <v>923136</v>
      </c>
      <c r="H1352" s="3">
        <v>1000000</v>
      </c>
      <c r="I1352" s="3">
        <v>1000000</v>
      </c>
      <c r="J1352" s="3">
        <v>1000000</v>
      </c>
      <c r="K1352" s="3">
        <v>1000000</v>
      </c>
      <c r="L1352" s="4">
        <v>1000000</v>
      </c>
      <c r="M1352" s="4">
        <v>1000000</v>
      </c>
      <c r="N1352" s="4">
        <v>1000000</v>
      </c>
      <c r="O1352" s="4">
        <v>1000000</v>
      </c>
      <c r="P1352" s="4">
        <v>1000000</v>
      </c>
      <c r="Q1352" s="4">
        <v>1000000</v>
      </c>
      <c r="R1352" s="4">
        <v>1000000</v>
      </c>
      <c r="S1352" s="4">
        <v>1000000</v>
      </c>
      <c r="T1352" s="4">
        <v>1000000</v>
      </c>
      <c r="U1352" s="4">
        <v>1000000</v>
      </c>
      <c r="V1352" s="4">
        <v>1000000</v>
      </c>
      <c r="W1352" s="4">
        <v>1000000</v>
      </c>
      <c r="X1352" s="4">
        <v>1000000</v>
      </c>
      <c r="Y1352" s="4">
        <v>1000000</v>
      </c>
    </row>
    <row r="1353" spans="1:25" ht="19.5" customHeight="1" x14ac:dyDescent="0.25">
      <c r="A1353" s="2" t="s">
        <v>3412</v>
      </c>
      <c r="B1353" s="2" t="s">
        <v>16</v>
      </c>
      <c r="C1353" s="2" t="s">
        <v>3452</v>
      </c>
      <c r="D1353" s="2" t="s">
        <v>3453</v>
      </c>
      <c r="E1353" s="2" t="s">
        <v>3454</v>
      </c>
      <c r="F1353" s="3">
        <v>3917682.9</v>
      </c>
      <c r="G1353" s="3">
        <v>5590945</v>
      </c>
      <c r="H1353" s="3">
        <v>6000000</v>
      </c>
      <c r="I1353" s="3">
        <v>6000000</v>
      </c>
      <c r="J1353" s="3">
        <v>6000000</v>
      </c>
      <c r="K1353" s="3">
        <v>6000000</v>
      </c>
      <c r="L1353" s="4">
        <v>6000000</v>
      </c>
      <c r="M1353" s="4">
        <v>6000000</v>
      </c>
      <c r="N1353" s="4">
        <v>6000000</v>
      </c>
      <c r="O1353" s="4">
        <v>6000000</v>
      </c>
      <c r="P1353" s="4">
        <v>6000000</v>
      </c>
      <c r="Q1353" s="4">
        <v>6000000</v>
      </c>
      <c r="R1353" s="4">
        <v>6000000</v>
      </c>
      <c r="S1353" s="4">
        <v>6000000</v>
      </c>
      <c r="T1353" s="4">
        <v>6000000</v>
      </c>
      <c r="U1353" s="4">
        <v>6000000</v>
      </c>
      <c r="V1353" s="4">
        <v>6000000</v>
      </c>
      <c r="W1353" s="4">
        <v>6000000</v>
      </c>
      <c r="X1353" s="4">
        <v>6000000</v>
      </c>
      <c r="Y1353" s="4">
        <v>6000000</v>
      </c>
    </row>
    <row r="1354" spans="1:25" ht="19.5" customHeight="1" x14ac:dyDescent="0.25">
      <c r="A1354" s="2" t="s">
        <v>3412</v>
      </c>
      <c r="B1354" s="2" t="s">
        <v>16</v>
      </c>
      <c r="C1354" s="2" t="s">
        <v>3455</v>
      </c>
      <c r="D1354" s="2" t="s">
        <v>3456</v>
      </c>
      <c r="E1354" s="2" t="s">
        <v>3457</v>
      </c>
      <c r="F1354" s="3">
        <v>3602859.26</v>
      </c>
      <c r="G1354" s="3">
        <v>4823602</v>
      </c>
      <c r="H1354" s="3">
        <v>5000000</v>
      </c>
      <c r="I1354" s="3">
        <v>5000000</v>
      </c>
      <c r="J1354" s="3">
        <v>5000000</v>
      </c>
      <c r="K1354" s="3">
        <v>5000000</v>
      </c>
      <c r="L1354" s="4">
        <v>5000000</v>
      </c>
      <c r="M1354" s="4">
        <v>5000000</v>
      </c>
      <c r="N1354" s="4">
        <v>5000000</v>
      </c>
      <c r="O1354" s="4">
        <v>5000000</v>
      </c>
      <c r="P1354" s="4">
        <v>5000000</v>
      </c>
      <c r="Q1354" s="4">
        <v>5000000</v>
      </c>
      <c r="R1354" s="4">
        <v>5000000</v>
      </c>
      <c r="S1354" s="4">
        <v>5000000</v>
      </c>
      <c r="T1354" s="4">
        <v>5000000</v>
      </c>
      <c r="U1354" s="4">
        <v>5000000</v>
      </c>
      <c r="V1354" s="4">
        <v>5000000</v>
      </c>
      <c r="W1354" s="4">
        <v>5000000</v>
      </c>
      <c r="X1354" s="4">
        <v>5000000</v>
      </c>
      <c r="Y1354" s="4">
        <v>5000000</v>
      </c>
    </row>
    <row r="1355" spans="1:25" ht="19.5" customHeight="1" x14ac:dyDescent="0.25">
      <c r="A1355" s="2" t="s">
        <v>3412</v>
      </c>
      <c r="B1355" s="2" t="s">
        <v>16</v>
      </c>
      <c r="C1355" s="2" t="s">
        <v>3458</v>
      </c>
      <c r="D1355" s="2" t="s">
        <v>3459</v>
      </c>
      <c r="E1355" s="2" t="s">
        <v>3460</v>
      </c>
      <c r="F1355" s="3">
        <v>13212.45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4">
        <v>0</v>
      </c>
      <c r="M1355" s="4">
        <v>0</v>
      </c>
      <c r="N1355" s="4">
        <v>0</v>
      </c>
      <c r="O1355" s="4">
        <v>0</v>
      </c>
      <c r="P1355" s="4">
        <v>0</v>
      </c>
      <c r="Q1355" s="4">
        <v>0</v>
      </c>
      <c r="R1355" s="4">
        <v>0</v>
      </c>
      <c r="S1355" s="4">
        <v>0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</row>
    <row r="1356" spans="1:25" ht="19.5" customHeight="1" x14ac:dyDescent="0.25">
      <c r="A1356" s="2" t="s">
        <v>3412</v>
      </c>
      <c r="B1356" s="2" t="s">
        <v>16</v>
      </c>
      <c r="C1356" s="2" t="s">
        <v>3461</v>
      </c>
      <c r="D1356" s="2" t="s">
        <v>3462</v>
      </c>
      <c r="E1356" s="2" t="s">
        <v>3463</v>
      </c>
      <c r="F1356" s="3">
        <v>1451877.84</v>
      </c>
      <c r="G1356" s="3">
        <v>1569410</v>
      </c>
      <c r="H1356" s="3">
        <v>1450000</v>
      </c>
      <c r="I1356" s="3">
        <v>1450000</v>
      </c>
      <c r="J1356" s="3">
        <v>1450000</v>
      </c>
      <c r="K1356" s="3">
        <v>1450000</v>
      </c>
      <c r="L1356" s="4">
        <v>1450000</v>
      </c>
      <c r="M1356" s="4">
        <v>1450000</v>
      </c>
      <c r="N1356" s="4">
        <v>1450000</v>
      </c>
      <c r="O1356" s="4">
        <v>1450000</v>
      </c>
      <c r="P1356" s="4">
        <v>1450000</v>
      </c>
      <c r="Q1356" s="4">
        <v>1450000</v>
      </c>
      <c r="R1356" s="4">
        <v>1450000</v>
      </c>
      <c r="S1356" s="4">
        <v>1450000</v>
      </c>
      <c r="T1356" s="4">
        <v>1450000</v>
      </c>
      <c r="U1356" s="4">
        <v>1450000</v>
      </c>
      <c r="V1356" s="4">
        <v>1450000</v>
      </c>
      <c r="W1356" s="4">
        <v>1450000</v>
      </c>
      <c r="X1356" s="4">
        <v>1450000</v>
      </c>
      <c r="Y1356" s="4">
        <v>1450000</v>
      </c>
    </row>
    <row r="1357" spans="1:25" ht="19.5" customHeight="1" x14ac:dyDescent="0.25">
      <c r="A1357" s="2" t="s">
        <v>3412</v>
      </c>
      <c r="B1357" s="2" t="s">
        <v>16</v>
      </c>
      <c r="C1357" s="2" t="s">
        <v>3464</v>
      </c>
      <c r="D1357" s="2" t="s">
        <v>3465</v>
      </c>
      <c r="E1357" s="2" t="s">
        <v>3466</v>
      </c>
      <c r="F1357" s="3">
        <v>334362.37</v>
      </c>
      <c r="G1357" s="3">
        <v>516609</v>
      </c>
      <c r="H1357" s="3">
        <v>500000</v>
      </c>
      <c r="I1357" s="3">
        <v>500000</v>
      </c>
      <c r="J1357" s="3">
        <v>500000</v>
      </c>
      <c r="K1357" s="3">
        <v>500000</v>
      </c>
      <c r="L1357" s="4">
        <v>500000</v>
      </c>
      <c r="M1357" s="4">
        <v>500000</v>
      </c>
      <c r="N1357" s="4">
        <v>500000</v>
      </c>
      <c r="O1357" s="4">
        <v>500000</v>
      </c>
      <c r="P1357" s="4">
        <v>500000</v>
      </c>
      <c r="Q1357" s="4">
        <v>500000</v>
      </c>
      <c r="R1357" s="4">
        <v>500000</v>
      </c>
      <c r="S1357" s="4">
        <v>500000</v>
      </c>
      <c r="T1357" s="4">
        <v>500000</v>
      </c>
      <c r="U1357" s="4">
        <v>500000</v>
      </c>
      <c r="V1357" s="4">
        <v>500000</v>
      </c>
      <c r="W1357" s="4">
        <v>500000</v>
      </c>
      <c r="X1357" s="4">
        <v>500000</v>
      </c>
      <c r="Y1357" s="4">
        <v>500000</v>
      </c>
    </row>
    <row r="1358" spans="1:25" ht="19.5" customHeight="1" x14ac:dyDescent="0.25">
      <c r="A1358" s="2" t="s">
        <v>3412</v>
      </c>
      <c r="B1358" s="2" t="s">
        <v>887</v>
      </c>
      <c r="C1358" s="2" t="s">
        <v>3467</v>
      </c>
      <c r="D1358" s="2" t="s">
        <v>3468</v>
      </c>
      <c r="E1358" s="2" t="s">
        <v>3469</v>
      </c>
      <c r="F1358" s="3">
        <v>2439315525.1999998</v>
      </c>
      <c r="G1358" s="4">
        <v>2179769300</v>
      </c>
      <c r="H1358" s="4">
        <v>2179769300</v>
      </c>
      <c r="I1358" s="4">
        <v>2179769300</v>
      </c>
      <c r="J1358" s="4">
        <v>2179769300</v>
      </c>
      <c r="K1358" s="4">
        <v>2179769300</v>
      </c>
      <c r="L1358" s="4">
        <v>2179769300</v>
      </c>
      <c r="M1358" s="4">
        <v>2179769300</v>
      </c>
      <c r="N1358" s="4">
        <v>2179769300</v>
      </c>
      <c r="O1358" s="4">
        <v>2179769300</v>
      </c>
      <c r="P1358" s="4">
        <v>2179769300</v>
      </c>
      <c r="Q1358" s="4">
        <v>2179769300</v>
      </c>
      <c r="R1358" s="4">
        <v>2179769300</v>
      </c>
      <c r="S1358" s="4">
        <v>2179769300</v>
      </c>
      <c r="T1358" s="4">
        <v>2179769300</v>
      </c>
      <c r="U1358" s="4">
        <v>2179769300</v>
      </c>
      <c r="V1358" s="4">
        <v>2179769300</v>
      </c>
      <c r="W1358" s="4">
        <v>2179769300</v>
      </c>
      <c r="X1358" s="4">
        <v>2179769300</v>
      </c>
      <c r="Y1358" s="4">
        <v>2179769300</v>
      </c>
    </row>
    <row r="1359" spans="1:25" ht="19.5" customHeight="1" x14ac:dyDescent="0.25">
      <c r="A1359" s="2" t="s">
        <v>3412</v>
      </c>
      <c r="B1359" s="2" t="s">
        <v>887</v>
      </c>
      <c r="C1359" s="2" t="s">
        <v>3470</v>
      </c>
      <c r="D1359" s="2" t="s">
        <v>3471</v>
      </c>
      <c r="E1359" s="2" t="s">
        <v>3472</v>
      </c>
      <c r="F1359" s="3">
        <v>418850</v>
      </c>
      <c r="G1359" s="3">
        <v>380000</v>
      </c>
      <c r="H1359" s="3">
        <v>380000</v>
      </c>
      <c r="I1359" s="3">
        <v>380000</v>
      </c>
      <c r="J1359" s="3">
        <v>380000</v>
      </c>
      <c r="K1359" s="3">
        <v>380000</v>
      </c>
      <c r="L1359" s="4">
        <v>380000</v>
      </c>
      <c r="M1359" s="4">
        <v>380000</v>
      </c>
      <c r="N1359" s="4">
        <v>380000</v>
      </c>
      <c r="O1359" s="4">
        <v>380000</v>
      </c>
      <c r="P1359" s="4">
        <v>380000</v>
      </c>
      <c r="Q1359" s="4">
        <v>380000</v>
      </c>
      <c r="R1359" s="4">
        <v>380000</v>
      </c>
      <c r="S1359" s="4">
        <v>380000</v>
      </c>
      <c r="T1359" s="4">
        <v>380000</v>
      </c>
      <c r="U1359" s="4">
        <v>380000</v>
      </c>
      <c r="V1359" s="4">
        <v>380000</v>
      </c>
      <c r="W1359" s="4">
        <v>380000</v>
      </c>
      <c r="X1359" s="4">
        <v>380000</v>
      </c>
      <c r="Y1359" s="4">
        <v>380000</v>
      </c>
    </row>
    <row r="1360" spans="1:25" ht="19.5" customHeight="1" x14ac:dyDescent="0.25">
      <c r="A1360" s="2" t="s">
        <v>3412</v>
      </c>
      <c r="B1360" s="2" t="s">
        <v>887</v>
      </c>
      <c r="C1360" s="2" t="s">
        <v>3473</v>
      </c>
      <c r="D1360" s="2" t="s">
        <v>3474</v>
      </c>
      <c r="E1360" s="2" t="s">
        <v>3475</v>
      </c>
      <c r="F1360" s="3">
        <v>87320.08</v>
      </c>
      <c r="G1360" s="3">
        <v>0</v>
      </c>
      <c r="H1360" s="3">
        <v>0</v>
      </c>
      <c r="I1360" s="3">
        <v>0</v>
      </c>
      <c r="J1360" s="3">
        <v>0</v>
      </c>
      <c r="K1360" s="3">
        <v>0</v>
      </c>
      <c r="L1360" s="4">
        <v>0</v>
      </c>
      <c r="M1360" s="4">
        <v>0</v>
      </c>
      <c r="N1360" s="4">
        <v>0</v>
      </c>
      <c r="O1360" s="4">
        <v>0</v>
      </c>
      <c r="P1360" s="4">
        <v>0</v>
      </c>
      <c r="Q1360" s="4">
        <v>0</v>
      </c>
      <c r="R1360" s="4">
        <v>0</v>
      </c>
      <c r="S1360" s="4">
        <v>0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</row>
    <row r="1361" spans="1:25" ht="19.5" customHeight="1" x14ac:dyDescent="0.25">
      <c r="A1361" s="2" t="s">
        <v>3412</v>
      </c>
      <c r="B1361" s="2" t="s">
        <v>54</v>
      </c>
      <c r="C1361" s="2" t="s">
        <v>54</v>
      </c>
      <c r="D1361" s="2" t="s">
        <v>3476</v>
      </c>
      <c r="E1361" s="2" t="s">
        <v>22</v>
      </c>
      <c r="F1361" s="4">
        <v>56825843.829999998</v>
      </c>
      <c r="G1361" s="3">
        <v>55194745</v>
      </c>
      <c r="H1361" s="3">
        <v>56240803</v>
      </c>
      <c r="I1361" s="3">
        <v>56504746</v>
      </c>
      <c r="J1361" s="3">
        <v>56240803</v>
      </c>
      <c r="K1361" s="3">
        <v>56504746</v>
      </c>
      <c r="L1361" s="4">
        <v>56240803</v>
      </c>
      <c r="M1361" s="4">
        <v>56504746</v>
      </c>
      <c r="N1361" s="4">
        <v>56240803</v>
      </c>
      <c r="O1361" s="4">
        <v>56504746</v>
      </c>
      <c r="P1361" s="4">
        <v>56240803</v>
      </c>
      <c r="Q1361" s="4">
        <v>56504746</v>
      </c>
      <c r="R1361" s="4">
        <v>56240803</v>
      </c>
      <c r="S1361" s="4">
        <v>56504746</v>
      </c>
      <c r="T1361" s="4">
        <v>56240803</v>
      </c>
      <c r="U1361" s="4">
        <v>56504746</v>
      </c>
      <c r="V1361" s="4">
        <v>56240803</v>
      </c>
      <c r="W1361" s="4">
        <v>56504746</v>
      </c>
      <c r="X1361" s="4">
        <v>56240803</v>
      </c>
      <c r="Y1361" s="4">
        <v>56504746</v>
      </c>
    </row>
    <row r="1362" spans="1:25" ht="19.5" customHeight="1" x14ac:dyDescent="0.25">
      <c r="A1362" s="2" t="s">
        <v>3412</v>
      </c>
      <c r="B1362" s="2" t="s">
        <v>54</v>
      </c>
      <c r="C1362" s="2" t="s">
        <v>54</v>
      </c>
      <c r="D1362" s="2" t="s">
        <v>3477</v>
      </c>
      <c r="E1362" s="2" t="s">
        <v>3478</v>
      </c>
      <c r="F1362" s="3">
        <v>120890.69</v>
      </c>
      <c r="G1362" s="3">
        <v>150810</v>
      </c>
      <c r="H1362" s="3">
        <v>150810</v>
      </c>
      <c r="I1362" s="3">
        <v>150810</v>
      </c>
      <c r="J1362" s="3">
        <v>150810</v>
      </c>
      <c r="K1362" s="3">
        <v>150810</v>
      </c>
      <c r="L1362" s="4">
        <v>150810</v>
      </c>
      <c r="M1362" s="4">
        <v>150810</v>
      </c>
      <c r="N1362" s="4">
        <v>150810</v>
      </c>
      <c r="O1362" s="4">
        <v>150810</v>
      </c>
      <c r="P1362" s="4">
        <v>150810</v>
      </c>
      <c r="Q1362" s="4">
        <v>150810</v>
      </c>
      <c r="R1362" s="4">
        <v>150810</v>
      </c>
      <c r="S1362" s="4">
        <v>150810</v>
      </c>
      <c r="T1362" s="4">
        <v>150810</v>
      </c>
      <c r="U1362" s="4">
        <v>150810</v>
      </c>
      <c r="V1362" s="4">
        <v>150810</v>
      </c>
      <c r="W1362" s="4">
        <v>150810</v>
      </c>
      <c r="X1362" s="4">
        <v>150810</v>
      </c>
      <c r="Y1362" s="4">
        <v>150810</v>
      </c>
    </row>
    <row r="1363" spans="1:25" ht="19.5" customHeight="1" x14ac:dyDescent="0.25">
      <c r="A1363" s="2" t="s">
        <v>3412</v>
      </c>
      <c r="B1363" s="2" t="s">
        <v>227</v>
      </c>
      <c r="C1363" s="2" t="s">
        <v>3479</v>
      </c>
      <c r="D1363" s="2" t="s">
        <v>3480</v>
      </c>
      <c r="E1363" s="2" t="s">
        <v>3481</v>
      </c>
      <c r="F1363" s="3">
        <v>5000</v>
      </c>
      <c r="G1363" s="3">
        <v>25000</v>
      </c>
      <c r="H1363" s="3">
        <v>25000</v>
      </c>
      <c r="I1363" s="3">
        <v>25000</v>
      </c>
      <c r="J1363" s="3">
        <v>25000</v>
      </c>
      <c r="K1363" s="3">
        <v>25000</v>
      </c>
      <c r="L1363" s="4">
        <v>25000</v>
      </c>
      <c r="M1363" s="4">
        <v>25000</v>
      </c>
      <c r="N1363" s="4">
        <v>25000</v>
      </c>
      <c r="O1363" s="4">
        <v>25000</v>
      </c>
      <c r="P1363" s="4">
        <v>25000</v>
      </c>
      <c r="Q1363" s="4">
        <v>25000</v>
      </c>
      <c r="R1363" s="4">
        <v>25000</v>
      </c>
      <c r="S1363" s="4">
        <v>25000</v>
      </c>
      <c r="T1363" s="4">
        <v>25000</v>
      </c>
      <c r="U1363" s="4">
        <v>25000</v>
      </c>
      <c r="V1363" s="4">
        <v>25000</v>
      </c>
      <c r="W1363" s="4">
        <v>25000</v>
      </c>
      <c r="X1363" s="4">
        <v>25000</v>
      </c>
      <c r="Y1363" s="4">
        <v>25000</v>
      </c>
    </row>
    <row r="1364" spans="1:25" ht="19.5" customHeight="1" x14ac:dyDescent="0.25">
      <c r="A1364" s="2" t="s">
        <v>3412</v>
      </c>
      <c r="B1364" s="2" t="s">
        <v>227</v>
      </c>
      <c r="C1364" s="2" t="s">
        <v>3482</v>
      </c>
      <c r="D1364" s="2" t="s">
        <v>3483</v>
      </c>
      <c r="E1364" s="2" t="s">
        <v>3484</v>
      </c>
      <c r="F1364" s="3">
        <v>0</v>
      </c>
      <c r="G1364" s="4">
        <v>500</v>
      </c>
      <c r="H1364" s="4">
        <v>500</v>
      </c>
      <c r="I1364" s="4">
        <v>500</v>
      </c>
      <c r="J1364" s="4">
        <v>500</v>
      </c>
      <c r="K1364" s="4">
        <v>500</v>
      </c>
      <c r="L1364" s="4">
        <v>500</v>
      </c>
      <c r="M1364" s="4">
        <v>500</v>
      </c>
      <c r="N1364" s="4">
        <v>500</v>
      </c>
      <c r="O1364" s="4">
        <v>500</v>
      </c>
      <c r="P1364" s="4">
        <v>500</v>
      </c>
      <c r="Q1364" s="4">
        <v>500</v>
      </c>
      <c r="R1364" s="4">
        <v>500</v>
      </c>
      <c r="S1364" s="4">
        <v>500</v>
      </c>
      <c r="T1364" s="4">
        <v>500</v>
      </c>
      <c r="U1364" s="4">
        <v>500</v>
      </c>
      <c r="V1364" s="4">
        <v>500</v>
      </c>
      <c r="W1364" s="4">
        <v>500</v>
      </c>
      <c r="X1364" s="4">
        <v>500</v>
      </c>
      <c r="Y1364" s="4">
        <v>500</v>
      </c>
    </row>
    <row r="1365" spans="1:25" ht="19.5" customHeight="1" x14ac:dyDescent="0.25">
      <c r="A1365" s="2" t="s">
        <v>3485</v>
      </c>
      <c r="B1365" s="2" t="s">
        <v>16</v>
      </c>
      <c r="C1365" s="2" t="s">
        <v>3486</v>
      </c>
      <c r="D1365" s="2" t="s">
        <v>3487</v>
      </c>
      <c r="E1365" s="2" t="s">
        <v>3488</v>
      </c>
      <c r="F1365" s="4">
        <v>6874613.0899999999</v>
      </c>
      <c r="G1365" s="3">
        <v>7843565</v>
      </c>
      <c r="H1365" s="3">
        <v>7843565</v>
      </c>
      <c r="I1365" s="3">
        <v>7843565</v>
      </c>
      <c r="J1365" s="3">
        <v>7843565</v>
      </c>
      <c r="K1365" s="3">
        <v>7843565</v>
      </c>
      <c r="L1365" s="4">
        <v>7843565</v>
      </c>
      <c r="M1365" s="4">
        <v>7843565</v>
      </c>
      <c r="N1365" s="4">
        <v>7843565</v>
      </c>
      <c r="O1365" s="4">
        <v>7843565</v>
      </c>
      <c r="P1365" s="4">
        <v>7843565</v>
      </c>
      <c r="Q1365" s="4">
        <v>7843565</v>
      </c>
      <c r="R1365" s="4">
        <v>7843565</v>
      </c>
      <c r="S1365" s="4">
        <v>7843565</v>
      </c>
      <c r="T1365" s="4">
        <v>7843565</v>
      </c>
      <c r="U1365" s="4">
        <v>7843565</v>
      </c>
      <c r="V1365" s="4">
        <v>7843565</v>
      </c>
      <c r="W1365" s="4">
        <v>7843565</v>
      </c>
      <c r="X1365" s="4">
        <v>7843565</v>
      </c>
      <c r="Y1365" s="4">
        <v>7843565</v>
      </c>
    </row>
    <row r="1366" spans="1:25" ht="19.5" customHeight="1" x14ac:dyDescent="0.25">
      <c r="A1366" s="2" t="s">
        <v>3485</v>
      </c>
      <c r="B1366" s="2" t="s">
        <v>16</v>
      </c>
      <c r="C1366" s="2" t="s">
        <v>3489</v>
      </c>
      <c r="D1366" s="2" t="s">
        <v>3490</v>
      </c>
      <c r="E1366" s="2" t="s">
        <v>3491</v>
      </c>
      <c r="F1366" s="3">
        <v>23620.59</v>
      </c>
      <c r="G1366" s="3">
        <v>45000</v>
      </c>
      <c r="H1366" s="3">
        <v>45000</v>
      </c>
      <c r="I1366" s="3">
        <v>45000</v>
      </c>
      <c r="J1366" s="3">
        <v>45000</v>
      </c>
      <c r="K1366" s="3">
        <v>45000</v>
      </c>
      <c r="L1366" s="4">
        <v>45000</v>
      </c>
      <c r="M1366" s="4">
        <v>45000</v>
      </c>
      <c r="N1366" s="4">
        <v>45000</v>
      </c>
      <c r="O1366" s="4">
        <v>45000</v>
      </c>
      <c r="P1366" s="4">
        <v>45000</v>
      </c>
      <c r="Q1366" s="4">
        <v>45000</v>
      </c>
      <c r="R1366" s="4">
        <v>45000</v>
      </c>
      <c r="S1366" s="4">
        <v>45000</v>
      </c>
      <c r="T1366" s="4">
        <v>45000</v>
      </c>
      <c r="U1366" s="4">
        <v>45000</v>
      </c>
      <c r="V1366" s="4">
        <v>45000</v>
      </c>
      <c r="W1366" s="4">
        <v>45000</v>
      </c>
      <c r="X1366" s="4">
        <v>45000</v>
      </c>
      <c r="Y1366" s="4">
        <v>45000</v>
      </c>
    </row>
    <row r="1367" spans="1:25" ht="19.5" customHeight="1" x14ac:dyDescent="0.25">
      <c r="A1367" s="2" t="s">
        <v>3485</v>
      </c>
      <c r="B1367" s="2" t="s">
        <v>16</v>
      </c>
      <c r="C1367" s="2" t="s">
        <v>3492</v>
      </c>
      <c r="D1367" s="2" t="s">
        <v>3493</v>
      </c>
      <c r="E1367" s="2" t="s">
        <v>3494</v>
      </c>
      <c r="F1367" s="4">
        <v>783407.52</v>
      </c>
      <c r="G1367" s="3">
        <v>1050000</v>
      </c>
      <c r="H1367" s="3">
        <v>1050000</v>
      </c>
      <c r="I1367" s="3">
        <v>1050000</v>
      </c>
      <c r="J1367" s="3">
        <v>1050000</v>
      </c>
      <c r="K1367" s="3">
        <v>1050000</v>
      </c>
      <c r="L1367" s="4">
        <v>1050000</v>
      </c>
      <c r="M1367" s="4">
        <v>1050000</v>
      </c>
      <c r="N1367" s="4">
        <v>1050000</v>
      </c>
      <c r="O1367" s="4">
        <v>1050000</v>
      </c>
      <c r="P1367" s="4">
        <v>1050000</v>
      </c>
      <c r="Q1367" s="4">
        <v>1050000</v>
      </c>
      <c r="R1367" s="4">
        <v>1050000</v>
      </c>
      <c r="S1367" s="4">
        <v>1050000</v>
      </c>
      <c r="T1367" s="4">
        <v>1050000</v>
      </c>
      <c r="U1367" s="4">
        <v>1050000</v>
      </c>
      <c r="V1367" s="4">
        <v>1050000</v>
      </c>
      <c r="W1367" s="4">
        <v>1050000</v>
      </c>
      <c r="X1367" s="4">
        <v>1050000</v>
      </c>
      <c r="Y1367" s="4">
        <v>1050000</v>
      </c>
    </row>
    <row r="1368" spans="1:25" ht="19.5" customHeight="1" x14ac:dyDescent="0.25">
      <c r="A1368" s="2" t="s">
        <v>3485</v>
      </c>
      <c r="B1368" s="2" t="s">
        <v>16</v>
      </c>
      <c r="C1368" s="2" t="s">
        <v>3495</v>
      </c>
      <c r="D1368" s="2" t="s">
        <v>3496</v>
      </c>
      <c r="E1368" s="2" t="s">
        <v>3497</v>
      </c>
      <c r="F1368" s="3">
        <v>129496.05</v>
      </c>
      <c r="G1368" s="3">
        <v>240057</v>
      </c>
      <c r="H1368" s="3">
        <v>240057</v>
      </c>
      <c r="I1368" s="3">
        <v>240057</v>
      </c>
      <c r="J1368" s="3">
        <v>240057</v>
      </c>
      <c r="K1368" s="3">
        <v>240057</v>
      </c>
      <c r="L1368" s="4">
        <v>240057</v>
      </c>
      <c r="M1368" s="4">
        <v>240057</v>
      </c>
      <c r="N1368" s="4">
        <v>240057</v>
      </c>
      <c r="O1368" s="4">
        <v>240057</v>
      </c>
      <c r="P1368" s="4">
        <v>240057</v>
      </c>
      <c r="Q1368" s="4">
        <v>240057</v>
      </c>
      <c r="R1368" s="4">
        <v>240057</v>
      </c>
      <c r="S1368" s="4">
        <v>240057</v>
      </c>
      <c r="T1368" s="4">
        <v>240057</v>
      </c>
      <c r="U1368" s="4">
        <v>240057</v>
      </c>
      <c r="V1368" s="4">
        <v>240057</v>
      </c>
      <c r="W1368" s="4">
        <v>240057</v>
      </c>
      <c r="X1368" s="4">
        <v>240057</v>
      </c>
      <c r="Y1368" s="4">
        <v>240057</v>
      </c>
    </row>
    <row r="1369" spans="1:25" ht="19.5" customHeight="1" x14ac:dyDescent="0.25">
      <c r="A1369" s="2" t="s">
        <v>3485</v>
      </c>
      <c r="B1369" s="2" t="s">
        <v>16</v>
      </c>
      <c r="C1369" s="2" t="s">
        <v>512</v>
      </c>
      <c r="D1369" s="2" t="s">
        <v>3498</v>
      </c>
      <c r="E1369" s="2" t="s">
        <v>3499</v>
      </c>
      <c r="F1369" s="3">
        <v>726143.28</v>
      </c>
      <c r="G1369" s="3">
        <v>250000</v>
      </c>
      <c r="H1369" s="3">
        <v>250000</v>
      </c>
      <c r="I1369" s="3">
        <v>250000</v>
      </c>
      <c r="J1369" s="3">
        <v>250000</v>
      </c>
      <c r="K1369" s="3">
        <v>250000</v>
      </c>
      <c r="L1369" s="4">
        <v>250000</v>
      </c>
      <c r="M1369" s="4">
        <v>250000</v>
      </c>
      <c r="N1369" s="4">
        <v>250000</v>
      </c>
      <c r="O1369" s="4">
        <v>250000</v>
      </c>
      <c r="P1369" s="4">
        <v>250000</v>
      </c>
      <c r="Q1369" s="4">
        <v>250000</v>
      </c>
      <c r="R1369" s="4">
        <v>250000</v>
      </c>
      <c r="S1369" s="4">
        <v>250000</v>
      </c>
      <c r="T1369" s="4">
        <v>250000</v>
      </c>
      <c r="U1369" s="4">
        <v>250000</v>
      </c>
      <c r="V1369" s="4">
        <v>250000</v>
      </c>
      <c r="W1369" s="4">
        <v>250000</v>
      </c>
      <c r="X1369" s="4">
        <v>250000</v>
      </c>
      <c r="Y1369" s="4">
        <v>250000</v>
      </c>
    </row>
    <row r="1370" spans="1:25" ht="19.5" customHeight="1" x14ac:dyDescent="0.25">
      <c r="A1370" s="2" t="s">
        <v>3485</v>
      </c>
      <c r="B1370" s="2" t="s">
        <v>16</v>
      </c>
      <c r="C1370" s="2" t="s">
        <v>3500</v>
      </c>
      <c r="D1370" s="2" t="s">
        <v>3501</v>
      </c>
      <c r="E1370" s="2" t="s">
        <v>3502</v>
      </c>
      <c r="F1370" s="3">
        <v>0</v>
      </c>
      <c r="G1370" s="3">
        <v>5000000</v>
      </c>
      <c r="H1370" s="3">
        <v>0</v>
      </c>
      <c r="I1370" s="3">
        <v>0</v>
      </c>
      <c r="J1370" s="3">
        <v>0</v>
      </c>
      <c r="K1370" s="3">
        <v>0</v>
      </c>
      <c r="L1370" s="4">
        <v>1000000</v>
      </c>
      <c r="M1370" s="4">
        <v>0</v>
      </c>
      <c r="N1370" s="4">
        <v>1000000</v>
      </c>
      <c r="O1370" s="4">
        <v>0</v>
      </c>
      <c r="P1370" s="4">
        <v>1200000</v>
      </c>
      <c r="Q1370" s="4">
        <v>0</v>
      </c>
      <c r="R1370" s="4">
        <v>1200000</v>
      </c>
      <c r="S1370" s="4">
        <v>0</v>
      </c>
      <c r="T1370" s="4">
        <v>1200000</v>
      </c>
      <c r="U1370" s="4">
        <v>0</v>
      </c>
      <c r="V1370" s="4">
        <v>1200000</v>
      </c>
      <c r="W1370" s="4">
        <v>0</v>
      </c>
      <c r="X1370" s="4">
        <v>1200000</v>
      </c>
      <c r="Y1370" s="4">
        <v>0</v>
      </c>
    </row>
    <row r="1371" spans="1:25" ht="19.5" customHeight="1" x14ac:dyDescent="0.25">
      <c r="A1371" s="2" t="s">
        <v>3485</v>
      </c>
      <c r="B1371" s="2" t="s">
        <v>16</v>
      </c>
      <c r="C1371" s="2" t="s">
        <v>3503</v>
      </c>
      <c r="D1371" s="2" t="s">
        <v>3504</v>
      </c>
      <c r="E1371" s="2" t="s">
        <v>3505</v>
      </c>
      <c r="F1371" s="3">
        <v>435457.29</v>
      </c>
      <c r="G1371" s="3">
        <v>700000</v>
      </c>
      <c r="H1371" s="3">
        <v>700000</v>
      </c>
      <c r="I1371" s="3">
        <v>700000</v>
      </c>
      <c r="J1371" s="3">
        <v>700000</v>
      </c>
      <c r="K1371" s="3">
        <v>700000</v>
      </c>
      <c r="L1371" s="4">
        <v>700000</v>
      </c>
      <c r="M1371" s="4">
        <v>700000</v>
      </c>
      <c r="N1371" s="4">
        <v>700000</v>
      </c>
      <c r="O1371" s="4">
        <v>700000</v>
      </c>
      <c r="P1371" s="4">
        <v>700000</v>
      </c>
      <c r="Q1371" s="4">
        <v>700000</v>
      </c>
      <c r="R1371" s="4">
        <v>700000</v>
      </c>
      <c r="S1371" s="4">
        <v>700000</v>
      </c>
      <c r="T1371" s="4">
        <v>700000</v>
      </c>
      <c r="U1371" s="4">
        <v>700000</v>
      </c>
      <c r="V1371" s="4">
        <v>700000</v>
      </c>
      <c r="W1371" s="4">
        <v>700000</v>
      </c>
      <c r="X1371" s="4">
        <v>700000</v>
      </c>
      <c r="Y1371" s="4">
        <v>700000</v>
      </c>
    </row>
    <row r="1372" spans="1:25" ht="19.5" customHeight="1" x14ac:dyDescent="0.25">
      <c r="A1372" s="2" t="s">
        <v>3485</v>
      </c>
      <c r="B1372" s="2" t="s">
        <v>887</v>
      </c>
      <c r="C1372" s="2" t="s">
        <v>3467</v>
      </c>
      <c r="D1372" s="2" t="s">
        <v>3506</v>
      </c>
      <c r="E1372" s="2" t="s">
        <v>3469</v>
      </c>
      <c r="F1372" s="3">
        <v>29889877.140000001</v>
      </c>
      <c r="G1372" s="3">
        <v>12000000</v>
      </c>
      <c r="H1372" s="3">
        <v>12000000</v>
      </c>
      <c r="I1372" s="3">
        <v>12000000</v>
      </c>
      <c r="J1372" s="3">
        <v>12000000</v>
      </c>
      <c r="K1372" s="3">
        <v>12000000</v>
      </c>
      <c r="L1372" s="4">
        <v>12000000</v>
      </c>
      <c r="M1372" s="4">
        <v>12000000</v>
      </c>
      <c r="N1372" s="4">
        <v>12000000</v>
      </c>
      <c r="O1372" s="4">
        <v>12000000</v>
      </c>
      <c r="P1372" s="4">
        <v>12000000</v>
      </c>
      <c r="Q1372" s="4">
        <v>12000000</v>
      </c>
      <c r="R1372" s="4">
        <v>12000000</v>
      </c>
      <c r="S1372" s="4">
        <v>12000000</v>
      </c>
      <c r="T1372" s="4">
        <v>12000000</v>
      </c>
      <c r="U1372" s="4">
        <v>12000000</v>
      </c>
      <c r="V1372" s="4">
        <v>12000000</v>
      </c>
      <c r="W1372" s="4">
        <v>12000000</v>
      </c>
      <c r="X1372" s="4">
        <v>12000000</v>
      </c>
      <c r="Y1372" s="4">
        <v>12000000</v>
      </c>
    </row>
    <row r="1373" spans="1:25" ht="19.5" customHeight="1" x14ac:dyDescent="0.25">
      <c r="A1373" s="2" t="s">
        <v>3485</v>
      </c>
      <c r="B1373" s="2" t="s">
        <v>54</v>
      </c>
      <c r="C1373" s="2" t="s">
        <v>54</v>
      </c>
      <c r="D1373" s="2" t="s">
        <v>3507</v>
      </c>
      <c r="E1373" s="2" t="s">
        <v>22</v>
      </c>
      <c r="F1373" s="3">
        <v>7787579.04</v>
      </c>
      <c r="G1373" s="3">
        <v>8037839</v>
      </c>
      <c r="H1373" s="3">
        <v>8037839</v>
      </c>
      <c r="I1373" s="3">
        <v>8037839</v>
      </c>
      <c r="J1373" s="3">
        <v>8037839</v>
      </c>
      <c r="K1373" s="3">
        <v>8037839</v>
      </c>
      <c r="L1373" s="4">
        <v>8037839</v>
      </c>
      <c r="M1373" s="4">
        <v>8037839</v>
      </c>
      <c r="N1373" s="4">
        <v>8037839</v>
      </c>
      <c r="O1373" s="4">
        <v>8037839</v>
      </c>
      <c r="P1373" s="4">
        <v>8037839</v>
      </c>
      <c r="Q1373" s="4">
        <v>8037839</v>
      </c>
      <c r="R1373" s="4">
        <v>8037839</v>
      </c>
      <c r="S1373" s="4">
        <v>8037839</v>
      </c>
      <c r="T1373" s="4">
        <v>8037839</v>
      </c>
      <c r="U1373" s="4">
        <v>8037839</v>
      </c>
      <c r="V1373" s="4">
        <v>8037839</v>
      </c>
      <c r="W1373" s="4">
        <v>8037839</v>
      </c>
      <c r="X1373" s="4">
        <v>8037839</v>
      </c>
      <c r="Y1373" s="4">
        <v>8037839</v>
      </c>
    </row>
    <row r="1374" spans="1:25" ht="19.5" customHeight="1" x14ac:dyDescent="0.25">
      <c r="A1374" s="2" t="s">
        <v>3485</v>
      </c>
      <c r="B1374" s="2" t="s">
        <v>54</v>
      </c>
      <c r="C1374" s="2" t="s">
        <v>54</v>
      </c>
      <c r="D1374" s="2" t="s">
        <v>3508</v>
      </c>
      <c r="E1374" s="2" t="s">
        <v>3509</v>
      </c>
      <c r="F1374" s="3">
        <v>459526.63</v>
      </c>
      <c r="G1374" s="3">
        <v>463662</v>
      </c>
      <c r="H1374" s="3">
        <v>463662</v>
      </c>
      <c r="I1374" s="3">
        <v>463662</v>
      </c>
      <c r="J1374" s="3">
        <v>463662</v>
      </c>
      <c r="K1374" s="3">
        <v>463662</v>
      </c>
      <c r="L1374" s="4">
        <v>463662</v>
      </c>
      <c r="M1374" s="4">
        <v>463662</v>
      </c>
      <c r="N1374" s="4">
        <v>463662</v>
      </c>
      <c r="O1374" s="4">
        <v>463662</v>
      </c>
      <c r="P1374" s="4">
        <v>463662</v>
      </c>
      <c r="Q1374" s="4">
        <v>463662</v>
      </c>
      <c r="R1374" s="4">
        <v>463662</v>
      </c>
      <c r="S1374" s="4">
        <v>463662</v>
      </c>
      <c r="T1374" s="4">
        <v>463662</v>
      </c>
      <c r="U1374" s="4">
        <v>463662</v>
      </c>
      <c r="V1374" s="4">
        <v>463662</v>
      </c>
      <c r="W1374" s="4">
        <v>463662</v>
      </c>
      <c r="X1374" s="4">
        <v>463662</v>
      </c>
      <c r="Y1374" s="4">
        <v>463662</v>
      </c>
    </row>
    <row r="1375" spans="1:25" ht="19.5" customHeight="1" x14ac:dyDescent="0.25">
      <c r="A1375" s="2" t="s">
        <v>3485</v>
      </c>
      <c r="B1375" s="2" t="s">
        <v>54</v>
      </c>
      <c r="C1375" s="2" t="s">
        <v>54</v>
      </c>
      <c r="D1375" s="2" t="s">
        <v>3510</v>
      </c>
      <c r="E1375" s="2" t="s">
        <v>3511</v>
      </c>
      <c r="F1375" s="3">
        <v>166641.15</v>
      </c>
      <c r="G1375" s="3">
        <v>175000</v>
      </c>
      <c r="H1375" s="3">
        <v>175000</v>
      </c>
      <c r="I1375" s="3">
        <v>175000</v>
      </c>
      <c r="J1375" s="3">
        <v>175000</v>
      </c>
      <c r="K1375" s="3">
        <v>175000</v>
      </c>
      <c r="L1375" s="4">
        <v>175000</v>
      </c>
      <c r="M1375" s="4">
        <v>175000</v>
      </c>
      <c r="N1375" s="4">
        <v>175000</v>
      </c>
      <c r="O1375" s="4">
        <v>175000</v>
      </c>
      <c r="P1375" s="4">
        <v>175000</v>
      </c>
      <c r="Q1375" s="4">
        <v>175000</v>
      </c>
      <c r="R1375" s="4">
        <v>175000</v>
      </c>
      <c r="S1375" s="4">
        <v>175000</v>
      </c>
      <c r="T1375" s="4">
        <v>175000</v>
      </c>
      <c r="U1375" s="4">
        <v>175000</v>
      </c>
      <c r="V1375" s="4">
        <v>175000</v>
      </c>
      <c r="W1375" s="4">
        <v>175000</v>
      </c>
      <c r="X1375" s="4">
        <v>175000</v>
      </c>
      <c r="Y1375" s="4">
        <v>175000</v>
      </c>
    </row>
    <row r="1376" spans="1:25" ht="19.5" customHeight="1" x14ac:dyDescent="0.25">
      <c r="A1376" s="2" t="s">
        <v>3485</v>
      </c>
      <c r="B1376" s="2" t="s">
        <v>54</v>
      </c>
      <c r="C1376" s="2" t="s">
        <v>54</v>
      </c>
      <c r="D1376" s="2" t="s">
        <v>3512</v>
      </c>
      <c r="E1376" s="2" t="s">
        <v>3513</v>
      </c>
      <c r="F1376" s="3">
        <v>1110865.1599999999</v>
      </c>
      <c r="G1376" s="3">
        <v>1115000</v>
      </c>
      <c r="H1376" s="3">
        <v>1125000</v>
      </c>
      <c r="I1376" s="3">
        <v>1120000</v>
      </c>
      <c r="J1376" s="3">
        <v>1125000</v>
      </c>
      <c r="K1376" s="3">
        <v>1120000</v>
      </c>
      <c r="L1376" s="4">
        <v>1125000</v>
      </c>
      <c r="M1376" s="4">
        <v>1120000</v>
      </c>
      <c r="N1376" s="4">
        <v>1125000</v>
      </c>
      <c r="O1376" s="4">
        <v>1120000</v>
      </c>
      <c r="P1376" s="4">
        <v>1125000</v>
      </c>
      <c r="Q1376" s="4">
        <v>1120000</v>
      </c>
      <c r="R1376" s="4">
        <v>1125000</v>
      </c>
      <c r="S1376" s="4">
        <v>1120000</v>
      </c>
      <c r="T1376" s="4">
        <v>1125000</v>
      </c>
      <c r="U1376" s="4">
        <v>1120000</v>
      </c>
      <c r="V1376" s="4">
        <v>1125000</v>
      </c>
      <c r="W1376" s="4">
        <v>1120000</v>
      </c>
      <c r="X1376" s="4">
        <v>1125000</v>
      </c>
      <c r="Y1376" s="4">
        <v>1120000</v>
      </c>
    </row>
    <row r="1377" spans="1:25" ht="19.5" customHeight="1" x14ac:dyDescent="0.25">
      <c r="A1377" s="2" t="s">
        <v>3485</v>
      </c>
      <c r="B1377" s="2" t="s">
        <v>54</v>
      </c>
      <c r="C1377" s="2" t="s">
        <v>54</v>
      </c>
      <c r="D1377" s="2" t="s">
        <v>3514</v>
      </c>
      <c r="E1377" s="2" t="s">
        <v>3515</v>
      </c>
      <c r="F1377" s="3">
        <v>1371518.29</v>
      </c>
      <c r="G1377" s="3">
        <v>1480987</v>
      </c>
      <c r="H1377" s="3">
        <v>1480987</v>
      </c>
      <c r="I1377" s="3">
        <v>1480987</v>
      </c>
      <c r="J1377" s="3">
        <v>1480987</v>
      </c>
      <c r="K1377" s="3">
        <v>1480987</v>
      </c>
      <c r="L1377" s="4">
        <v>1480987</v>
      </c>
      <c r="M1377" s="4">
        <v>1480987</v>
      </c>
      <c r="N1377" s="4">
        <v>1480987</v>
      </c>
      <c r="O1377" s="4">
        <v>1480987</v>
      </c>
      <c r="P1377" s="4">
        <v>1480987</v>
      </c>
      <c r="Q1377" s="4">
        <v>1480987</v>
      </c>
      <c r="R1377" s="4">
        <v>1480987</v>
      </c>
      <c r="S1377" s="4">
        <v>1480987</v>
      </c>
      <c r="T1377" s="4">
        <v>1480987</v>
      </c>
      <c r="U1377" s="4">
        <v>1480987</v>
      </c>
      <c r="V1377" s="4">
        <v>1480987</v>
      </c>
      <c r="W1377" s="4">
        <v>1480987</v>
      </c>
      <c r="X1377" s="4">
        <v>1480987</v>
      </c>
      <c r="Y1377" s="4">
        <v>1480987</v>
      </c>
    </row>
    <row r="1378" spans="1:25" ht="19.5" customHeight="1" x14ac:dyDescent="0.25">
      <c r="A1378" s="2" t="s">
        <v>3516</v>
      </c>
      <c r="B1378" s="2" t="s">
        <v>16</v>
      </c>
      <c r="C1378" s="2" t="s">
        <v>3517</v>
      </c>
      <c r="D1378" s="2" t="s">
        <v>3518</v>
      </c>
      <c r="E1378" s="2" t="s">
        <v>3519</v>
      </c>
      <c r="F1378" s="3">
        <v>1380903.21</v>
      </c>
      <c r="G1378" s="4">
        <v>1419129</v>
      </c>
      <c r="H1378" s="4">
        <v>1470292</v>
      </c>
      <c r="I1378" s="4">
        <v>1489689</v>
      </c>
      <c r="J1378" s="4">
        <v>1470292</v>
      </c>
      <c r="K1378" s="4">
        <v>1489689</v>
      </c>
      <c r="L1378" s="4">
        <v>1470292</v>
      </c>
      <c r="M1378" s="4">
        <v>1489689</v>
      </c>
      <c r="N1378" s="4">
        <v>1470292</v>
      </c>
      <c r="O1378" s="4">
        <v>1489689</v>
      </c>
      <c r="P1378" s="4">
        <v>1470292</v>
      </c>
      <c r="Q1378" s="4">
        <v>1489689</v>
      </c>
      <c r="R1378" s="4">
        <v>1470292</v>
      </c>
      <c r="S1378" s="4">
        <v>1489689</v>
      </c>
      <c r="T1378" s="4">
        <v>1470292</v>
      </c>
      <c r="U1378" s="4">
        <v>1489689</v>
      </c>
      <c r="V1378" s="4">
        <v>1470292</v>
      </c>
      <c r="W1378" s="4">
        <v>1489689</v>
      </c>
      <c r="X1378" s="4">
        <v>1470292</v>
      </c>
      <c r="Y1378" s="4">
        <v>1489689</v>
      </c>
    </row>
    <row r="1379" spans="1:25" ht="19.5" customHeight="1" x14ac:dyDescent="0.25">
      <c r="A1379" s="2" t="s">
        <v>3520</v>
      </c>
      <c r="B1379" s="2" t="s">
        <v>16</v>
      </c>
      <c r="C1379" s="2" t="s">
        <v>20</v>
      </c>
      <c r="D1379" s="2" t="s">
        <v>3521</v>
      </c>
      <c r="E1379" s="2" t="s">
        <v>22</v>
      </c>
      <c r="F1379" s="3">
        <v>553117.94999999995</v>
      </c>
      <c r="G1379" s="3">
        <v>654140</v>
      </c>
      <c r="H1379" s="3">
        <v>654140</v>
      </c>
      <c r="I1379" s="3">
        <v>654140</v>
      </c>
      <c r="J1379" s="3">
        <v>654140</v>
      </c>
      <c r="K1379" s="3">
        <v>654140</v>
      </c>
      <c r="L1379" s="4">
        <v>654140</v>
      </c>
      <c r="M1379" s="4">
        <v>654140</v>
      </c>
      <c r="N1379" s="4">
        <v>654140</v>
      </c>
      <c r="O1379" s="4">
        <v>654140</v>
      </c>
      <c r="P1379" s="4">
        <v>654140</v>
      </c>
      <c r="Q1379" s="4">
        <v>654140</v>
      </c>
      <c r="R1379" s="4">
        <v>654140</v>
      </c>
      <c r="S1379" s="4">
        <v>654140</v>
      </c>
      <c r="T1379" s="4">
        <v>654140</v>
      </c>
      <c r="U1379" s="4">
        <v>654140</v>
      </c>
      <c r="V1379" s="4">
        <v>654140</v>
      </c>
      <c r="W1379" s="4">
        <v>654140</v>
      </c>
      <c r="X1379" s="4">
        <v>654140</v>
      </c>
      <c r="Y1379" s="4">
        <v>654140</v>
      </c>
    </row>
    <row r="1380" spans="1:25" ht="19.5" customHeight="1" x14ac:dyDescent="0.25">
      <c r="A1380" s="2" t="s">
        <v>3522</v>
      </c>
      <c r="B1380" s="2" t="s">
        <v>54</v>
      </c>
      <c r="C1380" s="2" t="s">
        <v>54</v>
      </c>
      <c r="D1380" s="2" t="s">
        <v>3523</v>
      </c>
      <c r="E1380" s="2" t="s">
        <v>3524</v>
      </c>
      <c r="F1380" s="3">
        <v>31895</v>
      </c>
      <c r="G1380" s="3">
        <v>25516</v>
      </c>
      <c r="H1380" s="3">
        <v>31895</v>
      </c>
      <c r="I1380" s="3">
        <v>31895</v>
      </c>
      <c r="J1380" s="3">
        <v>31895</v>
      </c>
      <c r="K1380" s="3">
        <v>31895</v>
      </c>
      <c r="L1380" s="4">
        <v>31895</v>
      </c>
      <c r="M1380" s="4">
        <v>31895</v>
      </c>
      <c r="N1380" s="4">
        <v>31895</v>
      </c>
      <c r="O1380" s="4">
        <v>31895</v>
      </c>
      <c r="P1380" s="4">
        <v>40000</v>
      </c>
      <c r="Q1380" s="4">
        <v>40000</v>
      </c>
      <c r="R1380" s="4">
        <v>40000</v>
      </c>
      <c r="S1380" s="4">
        <v>40000</v>
      </c>
      <c r="T1380" s="4">
        <v>40000</v>
      </c>
      <c r="U1380" s="4">
        <v>40000</v>
      </c>
      <c r="V1380" s="4">
        <v>40000</v>
      </c>
      <c r="W1380" s="4">
        <v>40000</v>
      </c>
      <c r="X1380" s="4">
        <v>40000</v>
      </c>
      <c r="Y1380" s="4">
        <v>40000</v>
      </c>
    </row>
    <row r="1381" spans="1:25" ht="19.5" customHeight="1" x14ac:dyDescent="0.25">
      <c r="A1381" s="2" t="s">
        <v>3522</v>
      </c>
      <c r="B1381" s="2" t="s">
        <v>54</v>
      </c>
      <c r="C1381" s="2" t="s">
        <v>54</v>
      </c>
      <c r="D1381" s="2" t="s">
        <v>3525</v>
      </c>
      <c r="E1381" s="2" t="s">
        <v>3526</v>
      </c>
      <c r="F1381" s="3">
        <v>68640</v>
      </c>
      <c r="G1381" s="3">
        <v>55046</v>
      </c>
      <c r="H1381" s="3">
        <v>68808</v>
      </c>
      <c r="I1381" s="3">
        <v>68808</v>
      </c>
      <c r="J1381" s="3">
        <v>68808</v>
      </c>
      <c r="K1381" s="3">
        <v>68808</v>
      </c>
      <c r="L1381" s="4">
        <v>68808</v>
      </c>
      <c r="M1381" s="4">
        <v>68808</v>
      </c>
      <c r="N1381" s="4">
        <v>68808</v>
      </c>
      <c r="O1381" s="4">
        <v>68808</v>
      </c>
      <c r="P1381" s="4">
        <v>75000</v>
      </c>
      <c r="Q1381" s="4">
        <v>75000</v>
      </c>
      <c r="R1381" s="4">
        <v>75000</v>
      </c>
      <c r="S1381" s="4">
        <v>75000</v>
      </c>
      <c r="T1381" s="4">
        <v>75000</v>
      </c>
      <c r="U1381" s="4">
        <v>75000</v>
      </c>
      <c r="V1381" s="4">
        <v>75000</v>
      </c>
      <c r="W1381" s="4">
        <v>75000</v>
      </c>
      <c r="X1381" s="4">
        <v>75000</v>
      </c>
      <c r="Y1381" s="4">
        <v>75000</v>
      </c>
    </row>
    <row r="1382" spans="1:25" ht="19.5" customHeight="1" x14ac:dyDescent="0.25">
      <c r="A1382" s="2" t="s">
        <v>3522</v>
      </c>
      <c r="B1382" s="2" t="s">
        <v>54</v>
      </c>
      <c r="C1382" s="2" t="s">
        <v>54</v>
      </c>
      <c r="D1382" s="2" t="s">
        <v>3527</v>
      </c>
      <c r="E1382" s="2" t="s">
        <v>3528</v>
      </c>
      <c r="F1382" s="4">
        <v>62400</v>
      </c>
      <c r="G1382" s="3">
        <v>49920</v>
      </c>
      <c r="H1382" s="3">
        <v>62400</v>
      </c>
      <c r="I1382" s="3">
        <v>62400</v>
      </c>
      <c r="J1382" s="3">
        <v>62400</v>
      </c>
      <c r="K1382" s="3">
        <v>62400</v>
      </c>
      <c r="L1382" s="4">
        <v>62400</v>
      </c>
      <c r="M1382" s="4">
        <v>62400</v>
      </c>
      <c r="N1382" s="4">
        <v>62400</v>
      </c>
      <c r="O1382" s="4">
        <v>62400</v>
      </c>
      <c r="P1382" s="4">
        <v>75000</v>
      </c>
      <c r="Q1382" s="4">
        <v>75000</v>
      </c>
      <c r="R1382" s="4">
        <v>75000</v>
      </c>
      <c r="S1382" s="4">
        <v>75000</v>
      </c>
      <c r="T1382" s="4">
        <v>75000</v>
      </c>
      <c r="U1382" s="4">
        <v>75000</v>
      </c>
      <c r="V1382" s="4">
        <v>75000</v>
      </c>
      <c r="W1382" s="4">
        <v>75000</v>
      </c>
      <c r="X1382" s="4">
        <v>75000</v>
      </c>
      <c r="Y1382" s="4">
        <v>75000</v>
      </c>
    </row>
    <row r="1383" spans="1:25" ht="19.5" customHeight="1" x14ac:dyDescent="0.25">
      <c r="A1383" s="2" t="s">
        <v>3522</v>
      </c>
      <c r="B1383" s="2" t="s">
        <v>54</v>
      </c>
      <c r="C1383" s="2" t="s">
        <v>54</v>
      </c>
      <c r="D1383" s="2" t="s">
        <v>3529</v>
      </c>
      <c r="E1383" s="2" t="s">
        <v>3530</v>
      </c>
      <c r="F1383" s="3">
        <v>37865</v>
      </c>
      <c r="G1383" s="3">
        <v>30292</v>
      </c>
      <c r="H1383" s="3">
        <v>37865</v>
      </c>
      <c r="I1383" s="3">
        <v>37865</v>
      </c>
      <c r="J1383" s="3">
        <v>37865</v>
      </c>
      <c r="K1383" s="3">
        <v>37865</v>
      </c>
      <c r="L1383" s="4">
        <v>37865</v>
      </c>
      <c r="M1383" s="4">
        <v>37865</v>
      </c>
      <c r="N1383" s="4">
        <v>37865</v>
      </c>
      <c r="O1383" s="4">
        <v>37865</v>
      </c>
      <c r="P1383" s="4">
        <v>55000</v>
      </c>
      <c r="Q1383" s="4">
        <v>55000</v>
      </c>
      <c r="R1383" s="4">
        <v>55000</v>
      </c>
      <c r="S1383" s="4">
        <v>55000</v>
      </c>
      <c r="T1383" s="4">
        <v>55000</v>
      </c>
      <c r="U1383" s="4">
        <v>55000</v>
      </c>
      <c r="V1383" s="4">
        <v>55000</v>
      </c>
      <c r="W1383" s="4">
        <v>55000</v>
      </c>
      <c r="X1383" s="4">
        <v>55000</v>
      </c>
      <c r="Y1383" s="4">
        <v>55000</v>
      </c>
    </row>
    <row r="1384" spans="1:25" ht="19.5" customHeight="1" x14ac:dyDescent="0.25">
      <c r="A1384" s="2" t="s">
        <v>3522</v>
      </c>
      <c r="B1384" s="2" t="s">
        <v>54</v>
      </c>
      <c r="C1384" s="2" t="s">
        <v>54</v>
      </c>
      <c r="D1384" s="2" t="s">
        <v>3531</v>
      </c>
      <c r="E1384" s="2" t="s">
        <v>3532</v>
      </c>
      <c r="F1384" s="3">
        <v>72800</v>
      </c>
      <c r="G1384" s="3">
        <v>58240</v>
      </c>
      <c r="H1384" s="3">
        <v>72800</v>
      </c>
      <c r="I1384" s="3">
        <v>72800</v>
      </c>
      <c r="J1384" s="3">
        <v>72800</v>
      </c>
      <c r="K1384" s="3">
        <v>72800</v>
      </c>
      <c r="L1384" s="4">
        <v>72800</v>
      </c>
      <c r="M1384" s="4">
        <v>72800</v>
      </c>
      <c r="N1384" s="4">
        <v>72800</v>
      </c>
      <c r="O1384" s="4">
        <v>72800</v>
      </c>
      <c r="P1384" s="4">
        <v>75000</v>
      </c>
      <c r="Q1384" s="4">
        <v>75000</v>
      </c>
      <c r="R1384" s="4">
        <v>75000</v>
      </c>
      <c r="S1384" s="4">
        <v>75000</v>
      </c>
      <c r="T1384" s="4">
        <v>75000</v>
      </c>
      <c r="U1384" s="4">
        <v>75000</v>
      </c>
      <c r="V1384" s="4">
        <v>75000</v>
      </c>
      <c r="W1384" s="4">
        <v>75000</v>
      </c>
      <c r="X1384" s="4">
        <v>75000</v>
      </c>
      <c r="Y1384" s="4">
        <v>75000</v>
      </c>
    </row>
    <row r="1385" spans="1:25" ht="19.5" customHeight="1" x14ac:dyDescent="0.25">
      <c r="A1385" s="2" t="s">
        <v>3522</v>
      </c>
      <c r="B1385" s="2" t="s">
        <v>54</v>
      </c>
      <c r="C1385" s="2" t="s">
        <v>54</v>
      </c>
      <c r="D1385" s="2" t="s">
        <v>3533</v>
      </c>
      <c r="E1385" s="2" t="s">
        <v>3534</v>
      </c>
      <c r="F1385" s="3">
        <v>72800</v>
      </c>
      <c r="G1385" s="3">
        <v>58240</v>
      </c>
      <c r="H1385" s="3">
        <v>72800</v>
      </c>
      <c r="I1385" s="3">
        <v>72800</v>
      </c>
      <c r="J1385" s="3">
        <v>72800</v>
      </c>
      <c r="K1385" s="3">
        <v>72800</v>
      </c>
      <c r="L1385" s="4">
        <v>72800</v>
      </c>
      <c r="M1385" s="4">
        <v>72800</v>
      </c>
      <c r="N1385" s="4">
        <v>72800</v>
      </c>
      <c r="O1385" s="4">
        <v>72800</v>
      </c>
      <c r="P1385" s="4">
        <v>75000</v>
      </c>
      <c r="Q1385" s="4">
        <v>75000</v>
      </c>
      <c r="R1385" s="4">
        <v>75000</v>
      </c>
      <c r="S1385" s="4">
        <v>75000</v>
      </c>
      <c r="T1385" s="4">
        <v>75000</v>
      </c>
      <c r="U1385" s="4">
        <v>75000</v>
      </c>
      <c r="V1385" s="4">
        <v>75000</v>
      </c>
      <c r="W1385" s="4">
        <v>75000</v>
      </c>
      <c r="X1385" s="4">
        <v>75000</v>
      </c>
      <c r="Y1385" s="4">
        <v>75000</v>
      </c>
    </row>
    <row r="1386" spans="1:25" ht="19.5" customHeight="1" x14ac:dyDescent="0.25">
      <c r="A1386" s="2" t="s">
        <v>3522</v>
      </c>
      <c r="B1386" s="2" t="s">
        <v>54</v>
      </c>
      <c r="C1386" s="2" t="s">
        <v>54</v>
      </c>
      <c r="D1386" s="2" t="s">
        <v>3535</v>
      </c>
      <c r="E1386" s="2" t="s">
        <v>3536</v>
      </c>
      <c r="F1386" s="3">
        <v>236948</v>
      </c>
      <c r="G1386" s="3">
        <v>189558</v>
      </c>
      <c r="H1386" s="3">
        <v>236948</v>
      </c>
      <c r="I1386" s="3">
        <v>236948</v>
      </c>
      <c r="J1386" s="3">
        <v>236948</v>
      </c>
      <c r="K1386" s="3">
        <v>236948</v>
      </c>
      <c r="L1386" s="4">
        <v>236948</v>
      </c>
      <c r="M1386" s="4">
        <v>236948</v>
      </c>
      <c r="N1386" s="4">
        <v>236948</v>
      </c>
      <c r="O1386" s="4">
        <v>236948</v>
      </c>
      <c r="P1386" s="4">
        <v>275000</v>
      </c>
      <c r="Q1386" s="4">
        <v>275000</v>
      </c>
      <c r="R1386" s="4">
        <v>275000</v>
      </c>
      <c r="S1386" s="4">
        <v>275000</v>
      </c>
      <c r="T1386" s="4">
        <v>275000</v>
      </c>
      <c r="U1386" s="4">
        <v>275000</v>
      </c>
      <c r="V1386" s="4">
        <v>275000</v>
      </c>
      <c r="W1386" s="4">
        <v>275000</v>
      </c>
      <c r="X1386" s="4">
        <v>275000</v>
      </c>
      <c r="Y1386" s="4">
        <v>275000</v>
      </c>
    </row>
    <row r="1387" spans="1:25" ht="19.5" customHeight="1" x14ac:dyDescent="0.25">
      <c r="A1387" s="2" t="s">
        <v>3522</v>
      </c>
      <c r="B1387" s="2" t="s">
        <v>54</v>
      </c>
      <c r="C1387" s="2" t="s">
        <v>54</v>
      </c>
      <c r="D1387" s="2" t="s">
        <v>3537</v>
      </c>
      <c r="E1387" s="2" t="s">
        <v>3538</v>
      </c>
      <c r="F1387" s="3">
        <v>385237</v>
      </c>
      <c r="G1387" s="4">
        <v>308190</v>
      </c>
      <c r="H1387" s="4">
        <v>385237</v>
      </c>
      <c r="I1387" s="4">
        <v>385237</v>
      </c>
      <c r="J1387" s="4">
        <v>385237</v>
      </c>
      <c r="K1387" s="4">
        <v>385237</v>
      </c>
      <c r="L1387" s="4">
        <v>385237</v>
      </c>
      <c r="M1387" s="4">
        <v>385237</v>
      </c>
      <c r="N1387" s="4">
        <v>385237</v>
      </c>
      <c r="O1387" s="4">
        <v>385237</v>
      </c>
      <c r="P1387" s="4">
        <v>400000</v>
      </c>
      <c r="Q1387" s="4">
        <v>400000</v>
      </c>
      <c r="R1387" s="4">
        <v>400000</v>
      </c>
      <c r="S1387" s="4">
        <v>400000</v>
      </c>
      <c r="T1387" s="4">
        <v>400000</v>
      </c>
      <c r="U1387" s="4">
        <v>400000</v>
      </c>
      <c r="V1387" s="4">
        <v>400000</v>
      </c>
      <c r="W1387" s="4">
        <v>400000</v>
      </c>
      <c r="X1387" s="4">
        <v>400000</v>
      </c>
      <c r="Y1387" s="4">
        <v>400000</v>
      </c>
    </row>
    <row r="1388" spans="1:25" ht="19.5" customHeight="1" x14ac:dyDescent="0.25">
      <c r="A1388" s="2" t="s">
        <v>3522</v>
      </c>
      <c r="B1388" s="2" t="s">
        <v>54</v>
      </c>
      <c r="C1388" s="2" t="s">
        <v>54</v>
      </c>
      <c r="D1388" s="2" t="s">
        <v>3539</v>
      </c>
      <c r="E1388" s="2" t="s">
        <v>3540</v>
      </c>
      <c r="F1388" s="3">
        <v>366877</v>
      </c>
      <c r="G1388" s="3">
        <v>293502</v>
      </c>
      <c r="H1388" s="3">
        <v>366877</v>
      </c>
      <c r="I1388" s="3">
        <v>366877</v>
      </c>
      <c r="J1388" s="3">
        <v>366877</v>
      </c>
      <c r="K1388" s="3">
        <v>366877</v>
      </c>
      <c r="L1388" s="4">
        <v>366877</v>
      </c>
      <c r="M1388" s="4">
        <v>366877</v>
      </c>
      <c r="N1388" s="4">
        <v>366877</v>
      </c>
      <c r="O1388" s="4">
        <v>366877</v>
      </c>
      <c r="P1388" s="4">
        <v>400000</v>
      </c>
      <c r="Q1388" s="4">
        <v>400000</v>
      </c>
      <c r="R1388" s="4">
        <v>400000</v>
      </c>
      <c r="S1388" s="4">
        <v>400000</v>
      </c>
      <c r="T1388" s="4">
        <v>400000</v>
      </c>
      <c r="U1388" s="4">
        <v>400000</v>
      </c>
      <c r="V1388" s="4">
        <v>400000</v>
      </c>
      <c r="W1388" s="4">
        <v>400000</v>
      </c>
      <c r="X1388" s="4">
        <v>400000</v>
      </c>
      <c r="Y1388" s="4">
        <v>400000</v>
      </c>
    </row>
    <row r="1389" spans="1:25" ht="19.5" customHeight="1" x14ac:dyDescent="0.25">
      <c r="A1389" s="2" t="s">
        <v>3522</v>
      </c>
      <c r="B1389" s="2" t="s">
        <v>54</v>
      </c>
      <c r="C1389" s="2" t="s">
        <v>54</v>
      </c>
      <c r="D1389" s="2" t="s">
        <v>3541</v>
      </c>
      <c r="E1389" s="2" t="s">
        <v>3542</v>
      </c>
      <c r="F1389" s="3">
        <v>275628</v>
      </c>
      <c r="G1389" s="3">
        <v>220502</v>
      </c>
      <c r="H1389" s="3">
        <v>275628</v>
      </c>
      <c r="I1389" s="3">
        <v>275628</v>
      </c>
      <c r="J1389" s="3">
        <v>275628</v>
      </c>
      <c r="K1389" s="3">
        <v>275628</v>
      </c>
      <c r="L1389" s="4">
        <v>275628</v>
      </c>
      <c r="M1389" s="4">
        <v>275628</v>
      </c>
      <c r="N1389" s="4">
        <v>275628</v>
      </c>
      <c r="O1389" s="4">
        <v>275628</v>
      </c>
      <c r="P1389" s="4">
        <v>400000</v>
      </c>
      <c r="Q1389" s="4">
        <v>400000</v>
      </c>
      <c r="R1389" s="4">
        <v>400000</v>
      </c>
      <c r="S1389" s="4">
        <v>400000</v>
      </c>
      <c r="T1389" s="4">
        <v>400000</v>
      </c>
      <c r="U1389" s="4">
        <v>400000</v>
      </c>
      <c r="V1389" s="4">
        <v>400000</v>
      </c>
      <c r="W1389" s="4">
        <v>400000</v>
      </c>
      <c r="X1389" s="4">
        <v>400000</v>
      </c>
      <c r="Y1389" s="4">
        <v>400000</v>
      </c>
    </row>
    <row r="1390" spans="1:25" ht="19.5" customHeight="1" x14ac:dyDescent="0.25">
      <c r="A1390" s="2" t="s">
        <v>3522</v>
      </c>
      <c r="B1390" s="2" t="s">
        <v>54</v>
      </c>
      <c r="C1390" s="2" t="s">
        <v>54</v>
      </c>
      <c r="D1390" s="2" t="s">
        <v>3543</v>
      </c>
      <c r="E1390" s="2" t="s">
        <v>3544</v>
      </c>
      <c r="F1390" s="3">
        <v>169520</v>
      </c>
      <c r="G1390" s="3">
        <v>135616</v>
      </c>
      <c r="H1390" s="3">
        <v>169520</v>
      </c>
      <c r="I1390" s="3">
        <v>169520</v>
      </c>
      <c r="J1390" s="3">
        <v>169520</v>
      </c>
      <c r="K1390" s="3">
        <v>169520</v>
      </c>
      <c r="L1390" s="4">
        <v>169520</v>
      </c>
      <c r="M1390" s="4">
        <v>169520</v>
      </c>
      <c r="N1390" s="4">
        <v>169520</v>
      </c>
      <c r="O1390" s="4">
        <v>169520</v>
      </c>
      <c r="P1390" s="4">
        <v>190000</v>
      </c>
      <c r="Q1390" s="4">
        <v>190000</v>
      </c>
      <c r="R1390" s="4">
        <v>190000</v>
      </c>
      <c r="S1390" s="4">
        <v>190000</v>
      </c>
      <c r="T1390" s="4">
        <v>190000</v>
      </c>
      <c r="U1390" s="4">
        <v>190000</v>
      </c>
      <c r="V1390" s="4">
        <v>190000</v>
      </c>
      <c r="W1390" s="4">
        <v>190000</v>
      </c>
      <c r="X1390" s="4">
        <v>190000</v>
      </c>
      <c r="Y1390" s="4">
        <v>190000</v>
      </c>
    </row>
    <row r="1391" spans="1:25" ht="19.5" customHeight="1" x14ac:dyDescent="0.25">
      <c r="A1391" s="2" t="s">
        <v>3522</v>
      </c>
      <c r="B1391" s="2" t="s">
        <v>54</v>
      </c>
      <c r="C1391" s="2" t="s">
        <v>54</v>
      </c>
      <c r="D1391" s="2" t="s">
        <v>3545</v>
      </c>
      <c r="E1391" s="2" t="s">
        <v>3546</v>
      </c>
      <c r="F1391" s="3">
        <v>10400</v>
      </c>
      <c r="G1391" s="3">
        <v>8320</v>
      </c>
      <c r="H1391" s="3">
        <v>10400</v>
      </c>
      <c r="I1391" s="3">
        <v>10400</v>
      </c>
      <c r="J1391" s="3">
        <v>10400</v>
      </c>
      <c r="K1391" s="3">
        <v>10400</v>
      </c>
      <c r="L1391" s="4">
        <v>10400</v>
      </c>
      <c r="M1391" s="4">
        <v>10400</v>
      </c>
      <c r="N1391" s="4">
        <v>10400</v>
      </c>
      <c r="O1391" s="4">
        <v>10400</v>
      </c>
      <c r="P1391" s="4">
        <v>15000</v>
      </c>
      <c r="Q1391" s="4">
        <v>15000</v>
      </c>
      <c r="R1391" s="4">
        <v>15000</v>
      </c>
      <c r="S1391" s="4">
        <v>15000</v>
      </c>
      <c r="T1391" s="4">
        <v>15000</v>
      </c>
      <c r="U1391" s="4">
        <v>15000</v>
      </c>
      <c r="V1391" s="4">
        <v>15000</v>
      </c>
      <c r="W1391" s="4">
        <v>15000</v>
      </c>
      <c r="X1391" s="4">
        <v>15000</v>
      </c>
      <c r="Y1391" s="4">
        <v>15000</v>
      </c>
    </row>
    <row r="1392" spans="1:25" ht="19.5" customHeight="1" x14ac:dyDescent="0.25">
      <c r="A1392" s="2" t="s">
        <v>3522</v>
      </c>
      <c r="B1392" s="2" t="s">
        <v>54</v>
      </c>
      <c r="C1392" s="2" t="s">
        <v>54</v>
      </c>
      <c r="D1392" s="2" t="s">
        <v>3547</v>
      </c>
      <c r="E1392" s="2" t="s">
        <v>3548</v>
      </c>
      <c r="F1392" s="3">
        <v>314246</v>
      </c>
      <c r="G1392" s="3">
        <v>251397</v>
      </c>
      <c r="H1392" s="3">
        <v>314246</v>
      </c>
      <c r="I1392" s="3">
        <v>314246</v>
      </c>
      <c r="J1392" s="3">
        <v>314246</v>
      </c>
      <c r="K1392" s="3">
        <v>314246</v>
      </c>
      <c r="L1392" s="4">
        <v>314246</v>
      </c>
      <c r="M1392" s="4">
        <v>314246</v>
      </c>
      <c r="N1392" s="4">
        <v>314246</v>
      </c>
      <c r="O1392" s="4">
        <v>314246</v>
      </c>
      <c r="P1392" s="4">
        <v>400000</v>
      </c>
      <c r="Q1392" s="4">
        <v>400000</v>
      </c>
      <c r="R1392" s="4">
        <v>400000</v>
      </c>
      <c r="S1392" s="4">
        <v>400000</v>
      </c>
      <c r="T1392" s="4">
        <v>400000</v>
      </c>
      <c r="U1392" s="4">
        <v>400000</v>
      </c>
      <c r="V1392" s="4">
        <v>400000</v>
      </c>
      <c r="W1392" s="4">
        <v>400000</v>
      </c>
      <c r="X1392" s="4">
        <v>400000</v>
      </c>
      <c r="Y1392" s="4">
        <v>400000</v>
      </c>
    </row>
    <row r="1393" spans="1:25" ht="19.5" customHeight="1" x14ac:dyDescent="0.25">
      <c r="A1393" s="2"/>
      <c r="B1393" s="2"/>
      <c r="C1393" s="2"/>
      <c r="D1393" s="2"/>
      <c r="E1393" s="2"/>
      <c r="F1393" s="3"/>
      <c r="G1393" s="3"/>
      <c r="H1393" s="3"/>
      <c r="I1393" s="3"/>
      <c r="J1393" s="3"/>
      <c r="K1393" s="3"/>
      <c r="M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</row>
    <row r="1394" spans="1:25" x14ac:dyDescent="0.25">
      <c r="A1394" s="11"/>
      <c r="B1394" s="11"/>
      <c r="C1394" s="11"/>
      <c r="D1394" s="11"/>
      <c r="E1394" s="12" t="s">
        <v>3549</v>
      </c>
      <c r="F1394" s="13">
        <v>68767586853.100037</v>
      </c>
      <c r="G1394" s="13">
        <v>80201210827.479996</v>
      </c>
      <c r="H1394" s="13">
        <v>80673526671.067993</v>
      </c>
      <c r="I1394" s="13">
        <v>81192033814.769989</v>
      </c>
      <c r="J1394" s="13">
        <v>81057892669.067993</v>
      </c>
      <c r="K1394" s="13">
        <v>81514234394.769989</v>
      </c>
      <c r="L1394" s="13">
        <v>81209857379.067993</v>
      </c>
      <c r="M1394" s="13">
        <v>81604618376.769989</v>
      </c>
      <c r="N1394" s="13">
        <v>81209857379.067993</v>
      </c>
      <c r="O1394" s="13">
        <v>81604618376.769989</v>
      </c>
      <c r="P1394" s="13">
        <v>79773325689.067993</v>
      </c>
      <c r="Q1394" s="13">
        <v>81041409615.769989</v>
      </c>
      <c r="R1394" s="13">
        <v>79782249256</v>
      </c>
      <c r="S1394" s="13">
        <v>81163266554</v>
      </c>
      <c r="T1394" s="13">
        <v>79782249256</v>
      </c>
      <c r="U1394" s="13">
        <v>81163266554</v>
      </c>
      <c r="V1394" s="13">
        <v>80778767363</v>
      </c>
      <c r="W1394" s="13">
        <v>81127936221</v>
      </c>
      <c r="X1394" s="13">
        <v>80778767363</v>
      </c>
      <c r="Y1394" s="13">
        <v>81127936221</v>
      </c>
    </row>
    <row r="1395" spans="1:25" x14ac:dyDescent="0.25">
      <c r="A1395" s="11"/>
      <c r="B1395" s="11"/>
      <c r="C1395" s="11"/>
      <c r="D1395" s="11"/>
      <c r="E1395" s="12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/>
      <c r="Q1395" s="13"/>
      <c r="R1395" s="13"/>
      <c r="S1395" s="13"/>
      <c r="T1395" s="13"/>
      <c r="U1395" s="13"/>
      <c r="V1395" s="14"/>
      <c r="W1395" s="14"/>
      <c r="X1395" s="14"/>
      <c r="Y1395" s="14"/>
    </row>
    <row r="1396" spans="1:25" x14ac:dyDescent="0.25">
      <c r="A1396" s="11"/>
      <c r="B1396" s="11"/>
      <c r="C1396" s="11"/>
      <c r="D1396" s="11"/>
      <c r="E1396" s="12" t="s">
        <v>3550</v>
      </c>
      <c r="F1396" s="13">
        <v>33063532136.332001</v>
      </c>
      <c r="G1396" s="13">
        <v>34131628253.809998</v>
      </c>
      <c r="H1396" s="13">
        <v>35173539586</v>
      </c>
      <c r="I1396" s="13">
        <v>39089995431</v>
      </c>
      <c r="J1396" s="13">
        <v>35270314920</v>
      </c>
      <c r="K1396" s="13">
        <v>39403083729</v>
      </c>
      <c r="L1396" s="13">
        <v>35296982646</v>
      </c>
      <c r="M1396" s="13">
        <v>39409122817</v>
      </c>
      <c r="N1396" s="13">
        <v>35296982646</v>
      </c>
      <c r="O1396" s="13">
        <v>39409122817</v>
      </c>
      <c r="P1396" s="13">
        <v>34810325749</v>
      </c>
      <c r="Q1396" s="13">
        <v>39621059866</v>
      </c>
      <c r="R1396" s="13">
        <v>34871312155</v>
      </c>
      <c r="S1396" s="13">
        <v>39671110804</v>
      </c>
      <c r="T1396" s="13">
        <v>34871312155</v>
      </c>
      <c r="U1396" s="13">
        <v>39671110804</v>
      </c>
      <c r="V1396" s="13">
        <v>34844521468</v>
      </c>
      <c r="W1396" s="13">
        <v>39244794366</v>
      </c>
      <c r="X1396" s="13">
        <v>34844521468</v>
      </c>
      <c r="Y1396" s="13">
        <v>39244794366</v>
      </c>
    </row>
    <row r="1397" spans="1:25" x14ac:dyDescent="0.25">
      <c r="A1397" s="11"/>
      <c r="B1397" s="11"/>
      <c r="C1397" s="11"/>
      <c r="D1397" s="11"/>
      <c r="E1397" s="12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/>
      <c r="Q1397" s="13"/>
      <c r="R1397" s="13"/>
      <c r="S1397" s="13"/>
      <c r="T1397" s="13"/>
      <c r="U1397" s="13"/>
      <c r="V1397" s="14"/>
      <c r="W1397" s="14"/>
      <c r="X1397" s="14"/>
      <c r="Y1397" s="14"/>
    </row>
    <row r="1398" spans="1:25" x14ac:dyDescent="0.25">
      <c r="E1398" s="12" t="s">
        <v>3557</v>
      </c>
      <c r="F1398" s="13">
        <v>22477270374.472</v>
      </c>
      <c r="G1398" s="13">
        <v>22614301833.809998</v>
      </c>
      <c r="H1398" s="13">
        <v>24096474291</v>
      </c>
      <c r="I1398" s="13">
        <v>25746396622</v>
      </c>
      <c r="J1398" s="13">
        <v>24150687750</v>
      </c>
      <c r="K1398" s="13">
        <v>25986734727</v>
      </c>
      <c r="L1398" s="13">
        <v>24177355476</v>
      </c>
      <c r="M1398" s="13">
        <v>25992773815</v>
      </c>
      <c r="N1398" s="13">
        <v>24177355476</v>
      </c>
      <c r="O1398" s="13">
        <v>25992773815</v>
      </c>
      <c r="P1398" s="13">
        <v>23951354719</v>
      </c>
      <c r="Q1398" s="13">
        <v>26039062463</v>
      </c>
      <c r="R1398" s="13">
        <v>24011465337</v>
      </c>
      <c r="S1398" s="13">
        <v>26087682498</v>
      </c>
      <c r="T1398" s="13">
        <v>24011465337</v>
      </c>
      <c r="U1398" s="13">
        <v>26087682498</v>
      </c>
      <c r="V1398" s="13">
        <v>24168930660</v>
      </c>
      <c r="W1398" s="13">
        <v>26068065623</v>
      </c>
      <c r="X1398" s="13">
        <v>24168930660</v>
      </c>
      <c r="Y1398" s="13">
        <v>26068065623</v>
      </c>
    </row>
    <row r="1399" spans="1:25" x14ac:dyDescent="0.25">
      <c r="V1399" s="14"/>
      <c r="W1399" s="14"/>
      <c r="X1399" s="14"/>
      <c r="Y1399" s="14"/>
    </row>
    <row r="1400" spans="1:25" x14ac:dyDescent="0.25">
      <c r="A1400" s="20" t="s">
        <v>3551</v>
      </c>
      <c r="B1400" s="20"/>
      <c r="C1400" s="20"/>
      <c r="D1400" s="20"/>
      <c r="E1400" s="20"/>
      <c r="F1400" s="11"/>
      <c r="G1400" s="11"/>
      <c r="H1400" s="11"/>
      <c r="I1400" s="11"/>
      <c r="J1400" s="17"/>
      <c r="K1400" s="17"/>
      <c r="L1400" s="5"/>
      <c r="M1400" s="5"/>
      <c r="N1400" s="5"/>
      <c r="O1400" s="5"/>
      <c r="P1400" s="5"/>
      <c r="Q1400" s="5"/>
      <c r="R1400" s="5"/>
      <c r="S1400" s="5"/>
      <c r="T1400" s="15"/>
      <c r="U1400" s="15"/>
      <c r="V1400" s="15"/>
      <c r="W1400" s="15"/>
      <c r="X1400" s="15"/>
      <c r="Y1400" s="15"/>
    </row>
    <row r="1401" spans="1:25" ht="19.5" customHeight="1" x14ac:dyDescent="0.25">
      <c r="A1401" s="2" t="s">
        <v>2724</v>
      </c>
      <c r="B1401" s="2" t="s">
        <v>54</v>
      </c>
      <c r="C1401" s="2" t="s">
        <v>54</v>
      </c>
      <c r="D1401" s="2" t="s">
        <v>2778</v>
      </c>
      <c r="E1401" s="2" t="s">
        <v>3552</v>
      </c>
      <c r="F1401" s="3">
        <v>3525731926.0599999</v>
      </c>
      <c r="G1401" s="3">
        <v>3783263260</v>
      </c>
      <c r="H1401" s="3">
        <v>3950523443</v>
      </c>
      <c r="I1401" s="3">
        <v>5433990300</v>
      </c>
      <c r="J1401" s="3">
        <v>3971461568</v>
      </c>
      <c r="K1401" s="3">
        <v>5474740107</v>
      </c>
      <c r="L1401" s="4">
        <v>3971461568</v>
      </c>
      <c r="M1401" s="4">
        <v>5474740107</v>
      </c>
      <c r="N1401" s="4">
        <v>3971461568</v>
      </c>
      <c r="O1401" s="4">
        <v>5474740107</v>
      </c>
      <c r="P1401" s="4">
        <v>3856672838</v>
      </c>
      <c r="Q1401" s="4">
        <v>5560074123</v>
      </c>
      <c r="R1401" s="4">
        <v>3856990059</v>
      </c>
      <c r="S1401" s="4">
        <v>5560656874</v>
      </c>
      <c r="T1401" s="4">
        <v>3856990059</v>
      </c>
      <c r="U1401" s="4">
        <v>5560656874</v>
      </c>
      <c r="V1401" s="4">
        <v>3873221271</v>
      </c>
      <c r="W1401" s="4">
        <v>5363449603</v>
      </c>
      <c r="X1401" s="4">
        <v>3873221271</v>
      </c>
      <c r="Y1401" s="4">
        <v>5363449603</v>
      </c>
    </row>
    <row r="1402" spans="1:25" ht="19.5" customHeight="1" x14ac:dyDescent="0.25">
      <c r="A1402" s="2" t="s">
        <v>2724</v>
      </c>
      <c r="B1402" s="2" t="s">
        <v>54</v>
      </c>
      <c r="C1402" s="2" t="s">
        <v>54</v>
      </c>
      <c r="D1402" s="2" t="s">
        <v>2778</v>
      </c>
      <c r="E1402" s="2" t="s">
        <v>3553</v>
      </c>
      <c r="F1402" s="3">
        <v>10586261761.860001</v>
      </c>
      <c r="G1402" s="3">
        <v>11517326420</v>
      </c>
      <c r="H1402" s="3">
        <v>11077065295</v>
      </c>
      <c r="I1402" s="3">
        <v>13343598809</v>
      </c>
      <c r="J1402" s="3">
        <v>11119627170</v>
      </c>
      <c r="K1402" s="3">
        <v>13416349002</v>
      </c>
      <c r="L1402" s="4">
        <v>11119627170</v>
      </c>
      <c r="M1402" s="4">
        <v>13416349002</v>
      </c>
      <c r="N1402" s="4">
        <v>11119627170</v>
      </c>
      <c r="O1402" s="4">
        <v>13416349002</v>
      </c>
      <c r="P1402" s="4">
        <v>10858971030</v>
      </c>
      <c r="Q1402" s="4">
        <v>13581997403</v>
      </c>
      <c r="R1402" s="4">
        <v>10859846818</v>
      </c>
      <c r="S1402" s="4">
        <v>13583428306</v>
      </c>
      <c r="T1402" s="4">
        <v>10859846818</v>
      </c>
      <c r="U1402" s="4">
        <v>13583428306</v>
      </c>
      <c r="V1402" s="4">
        <v>10675590808</v>
      </c>
      <c r="W1402" s="4">
        <v>13176728743</v>
      </c>
      <c r="X1402" s="4">
        <v>10675590808</v>
      </c>
      <c r="Y1402" s="4">
        <v>13176728743</v>
      </c>
    </row>
    <row r="1403" spans="1:25" ht="19.5" customHeight="1" x14ac:dyDescent="0.25">
      <c r="A1403" s="2" t="s">
        <v>2724</v>
      </c>
      <c r="B1403" s="2" t="s">
        <v>54</v>
      </c>
      <c r="C1403" s="2" t="s">
        <v>54</v>
      </c>
      <c r="D1403" s="2" t="s">
        <v>2778</v>
      </c>
      <c r="E1403" s="2" t="s">
        <v>3554</v>
      </c>
      <c r="F1403" s="3">
        <v>14111993687.922001</v>
      </c>
      <c r="G1403" s="3">
        <v>15300589680</v>
      </c>
      <c r="H1403" s="3">
        <v>15027588738</v>
      </c>
      <c r="I1403" s="3">
        <v>18777589109</v>
      </c>
      <c r="J1403" s="3">
        <v>15091088738</v>
      </c>
      <c r="K1403" s="3">
        <v>18891089109</v>
      </c>
      <c r="L1403" s="4">
        <v>15091088738</v>
      </c>
      <c r="M1403" s="4">
        <v>18891089109</v>
      </c>
      <c r="N1403" s="4">
        <v>15091088738</v>
      </c>
      <c r="O1403" s="4">
        <v>18891089109</v>
      </c>
      <c r="P1403" s="4">
        <v>14715643868</v>
      </c>
      <c r="Q1403" s="4">
        <v>19142071526</v>
      </c>
      <c r="R1403" s="4">
        <v>14716836877</v>
      </c>
      <c r="S1403" s="4">
        <v>19144085180</v>
      </c>
      <c r="T1403" s="4">
        <v>14716836877</v>
      </c>
      <c r="U1403" s="4">
        <v>19144085180</v>
      </c>
      <c r="V1403" s="4">
        <v>14548812079</v>
      </c>
      <c r="W1403" s="4">
        <v>18540178346</v>
      </c>
      <c r="X1403" s="4">
        <v>14548812079</v>
      </c>
      <c r="Y1403" s="4">
        <v>18540178346</v>
      </c>
    </row>
  </sheetData>
  <sortState ref="A2:Y1392">
    <sortCondition ref="A2:A1392"/>
    <sortCondition ref="B2:B1392"/>
    <sortCondition ref="C2:C1392"/>
    <sortCondition ref="D2:D1392"/>
  </sortState>
  <mergeCells count="1">
    <mergeCell ref="A1400:E1400"/>
  </mergeCells>
  <printOptions horizontalCentered="1" gridLines="1"/>
  <pageMargins left="0.45" right="0.45" top="0.75" bottom="0.75" header="0.3" footer="0.3"/>
  <pageSetup paperSize="5" orientation="landscape" r:id="rId1"/>
  <headerFooter>
    <oddHeader>&amp;L&amp;"-,Bold"H.B. 110 of the 134th General Assembly
FY 2022 - FY 2023</oddHeader>
    <oddFooter>&amp;LLegislative Budget Office of the Legislative Service Commission&amp;R&amp;P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03"/>
  <sheetViews>
    <sheetView zoomScaleNormal="100" workbookViewId="0">
      <pane xSplit="5" ySplit="1" topLeftCell="F1381" activePane="bottomRight" state="frozen"/>
      <selection pane="topRight" activeCell="F1" sqref="F1"/>
      <selection pane="bottomLeft" activeCell="A2" sqref="A2"/>
      <selection pane="bottomRight" activeCell="K1387" sqref="K1387"/>
    </sheetView>
  </sheetViews>
  <sheetFormatPr defaultRowHeight="15" x14ac:dyDescent="0.25"/>
  <cols>
    <col min="1" max="1" width="5.28515625" style="5" bestFit="1" customWidth="1"/>
    <col min="2" max="3" width="6.5703125" style="5" bestFit="1" customWidth="1"/>
    <col min="4" max="4" width="7.28515625" style="5" bestFit="1" customWidth="1"/>
    <col min="5" max="5" width="81.5703125" style="5" bestFit="1" customWidth="1"/>
    <col min="6" max="9" width="14.85546875" style="10" bestFit="1" customWidth="1"/>
    <col min="10" max="11" width="14.28515625" style="10" bestFit="1" customWidth="1"/>
    <col min="12" max="16384" width="9.140625" style="5"/>
  </cols>
  <sheetData>
    <row r="1" spans="1:11" s="1" customFormat="1" ht="49.5" customHeight="1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5</v>
      </c>
      <c r="G1" s="19" t="s">
        <v>6</v>
      </c>
      <c r="H1" s="19" t="s">
        <v>3567</v>
      </c>
      <c r="I1" s="19" t="s">
        <v>3568</v>
      </c>
      <c r="J1" s="19" t="s">
        <v>3555</v>
      </c>
      <c r="K1" s="19" t="s">
        <v>3556</v>
      </c>
    </row>
    <row r="2" spans="1:11" ht="19.5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448551.6</v>
      </c>
      <c r="G2" s="4">
        <v>525000</v>
      </c>
      <c r="H2" s="4">
        <v>525000</v>
      </c>
      <c r="I2" s="4">
        <v>525000</v>
      </c>
      <c r="J2" s="16">
        <f>IFERROR(H2/G2-1,"--")</f>
        <v>0</v>
      </c>
      <c r="K2" s="16">
        <f>IFERROR(I2/H2-1,"--")</f>
        <v>0</v>
      </c>
    </row>
    <row r="3" spans="1:11" ht="19.5" customHeight="1" x14ac:dyDescent="0.25">
      <c r="A3" s="2" t="s">
        <v>15</v>
      </c>
      <c r="B3" s="2" t="s">
        <v>16</v>
      </c>
      <c r="C3" s="2" t="s">
        <v>20</v>
      </c>
      <c r="D3" s="2" t="s">
        <v>21</v>
      </c>
      <c r="E3" s="2" t="s">
        <v>22</v>
      </c>
      <c r="F3" s="3">
        <v>1103543.31</v>
      </c>
      <c r="G3" s="3">
        <v>1291139</v>
      </c>
      <c r="H3" s="4">
        <v>1244124</v>
      </c>
      <c r="I3" s="4">
        <v>1291139</v>
      </c>
      <c r="J3" s="16">
        <f t="shared" ref="J3:J66" si="0">IFERROR(H3/G3-1,"--")</f>
        <v>-3.6413585214295274E-2</v>
      </c>
      <c r="K3" s="16">
        <f t="shared" ref="K3:K66" si="1">IFERROR(I3/H3-1,"--")</f>
        <v>3.7789641546984054E-2</v>
      </c>
    </row>
    <row r="4" spans="1:11" ht="19.5" customHeight="1" x14ac:dyDescent="0.25">
      <c r="A4" s="2" t="s">
        <v>23</v>
      </c>
      <c r="B4" s="2" t="s">
        <v>16</v>
      </c>
      <c r="C4" s="2" t="s">
        <v>24</v>
      </c>
      <c r="D4" s="2" t="s">
        <v>25</v>
      </c>
      <c r="E4" s="2" t="s">
        <v>26</v>
      </c>
      <c r="F4" s="3">
        <v>378085.01</v>
      </c>
      <c r="G4" s="3">
        <v>874465</v>
      </c>
      <c r="H4" s="4">
        <v>900000</v>
      </c>
      <c r="I4" s="4">
        <v>900000</v>
      </c>
      <c r="J4" s="16">
        <f t="shared" si="0"/>
        <v>2.9200711292047155E-2</v>
      </c>
      <c r="K4" s="16">
        <f t="shared" si="1"/>
        <v>0</v>
      </c>
    </row>
    <row r="5" spans="1:11" ht="19.5" customHeight="1" x14ac:dyDescent="0.25">
      <c r="A5" s="2" t="s">
        <v>23</v>
      </c>
      <c r="B5" s="2" t="s">
        <v>16</v>
      </c>
      <c r="C5" s="2" t="s">
        <v>27</v>
      </c>
      <c r="D5" s="2" t="s">
        <v>28</v>
      </c>
      <c r="E5" s="2" t="s">
        <v>29</v>
      </c>
      <c r="F5" s="3">
        <v>0</v>
      </c>
      <c r="G5" s="3">
        <v>0</v>
      </c>
      <c r="H5" s="4">
        <v>115000</v>
      </c>
      <c r="I5" s="4">
        <v>115000</v>
      </c>
      <c r="J5" s="16" t="str">
        <f t="shared" si="0"/>
        <v>--</v>
      </c>
      <c r="K5" s="16">
        <f t="shared" si="1"/>
        <v>0</v>
      </c>
    </row>
    <row r="6" spans="1:11" ht="19.5" customHeight="1" x14ac:dyDescent="0.25">
      <c r="A6" s="2" t="s">
        <v>23</v>
      </c>
      <c r="B6" s="2" t="s">
        <v>16</v>
      </c>
      <c r="C6" s="2" t="s">
        <v>27</v>
      </c>
      <c r="D6" s="2" t="s">
        <v>30</v>
      </c>
      <c r="E6" s="2" t="s">
        <v>31</v>
      </c>
      <c r="F6" s="3">
        <v>800885.99</v>
      </c>
      <c r="G6" s="3">
        <v>874055</v>
      </c>
      <c r="H6" s="4">
        <v>874055</v>
      </c>
      <c r="I6" s="4">
        <v>874055</v>
      </c>
      <c r="J6" s="16">
        <f t="shared" si="0"/>
        <v>0</v>
      </c>
      <c r="K6" s="16">
        <f t="shared" si="1"/>
        <v>0</v>
      </c>
    </row>
    <row r="7" spans="1:11" ht="19.5" customHeight="1" x14ac:dyDescent="0.25">
      <c r="A7" s="2" t="s">
        <v>23</v>
      </c>
      <c r="B7" s="2" t="s">
        <v>16</v>
      </c>
      <c r="C7" s="2" t="s">
        <v>32</v>
      </c>
      <c r="D7" s="2" t="s">
        <v>33</v>
      </c>
      <c r="E7" s="2" t="s">
        <v>34</v>
      </c>
      <c r="F7" s="3">
        <v>26860.43</v>
      </c>
      <c r="G7" s="3">
        <v>180000</v>
      </c>
      <c r="H7" s="4">
        <v>190000</v>
      </c>
      <c r="I7" s="4">
        <v>190000</v>
      </c>
      <c r="J7" s="16">
        <f t="shared" si="0"/>
        <v>5.555555555555558E-2</v>
      </c>
      <c r="K7" s="16">
        <f t="shared" si="1"/>
        <v>0</v>
      </c>
    </row>
    <row r="8" spans="1:11" ht="19.5" customHeight="1" x14ac:dyDescent="0.25">
      <c r="A8" s="2" t="s">
        <v>23</v>
      </c>
      <c r="B8" s="2" t="s">
        <v>16</v>
      </c>
      <c r="C8" s="2" t="s">
        <v>35</v>
      </c>
      <c r="D8" s="2" t="s">
        <v>36</v>
      </c>
      <c r="E8" s="2" t="s">
        <v>37</v>
      </c>
      <c r="F8" s="3">
        <v>3277763.06</v>
      </c>
      <c r="G8" s="4">
        <v>15000000</v>
      </c>
      <c r="H8" s="4">
        <v>1000000</v>
      </c>
      <c r="I8" s="4">
        <v>0</v>
      </c>
      <c r="J8" s="16">
        <f t="shared" si="0"/>
        <v>-0.93333333333333335</v>
      </c>
      <c r="K8" s="16">
        <f t="shared" si="1"/>
        <v>-1</v>
      </c>
    </row>
    <row r="9" spans="1:11" ht="19.5" customHeight="1" x14ac:dyDescent="0.25">
      <c r="A9" s="2" t="s">
        <v>23</v>
      </c>
      <c r="B9" s="2" t="s">
        <v>16</v>
      </c>
      <c r="C9" s="2" t="s">
        <v>38</v>
      </c>
      <c r="D9" s="2" t="s">
        <v>39</v>
      </c>
      <c r="E9" s="2" t="s">
        <v>40</v>
      </c>
      <c r="F9" s="3">
        <v>0</v>
      </c>
      <c r="G9" s="3">
        <v>0</v>
      </c>
      <c r="H9" s="4">
        <v>5000</v>
      </c>
      <c r="I9" s="4">
        <v>5000</v>
      </c>
      <c r="J9" s="16" t="str">
        <f t="shared" si="0"/>
        <v>--</v>
      </c>
      <c r="K9" s="16">
        <f t="shared" si="1"/>
        <v>0</v>
      </c>
    </row>
    <row r="10" spans="1:11" ht="19.5" customHeight="1" x14ac:dyDescent="0.25">
      <c r="A10" s="2" t="s">
        <v>23</v>
      </c>
      <c r="B10" s="2" t="s">
        <v>16</v>
      </c>
      <c r="C10" s="2" t="s">
        <v>41</v>
      </c>
      <c r="D10" s="2" t="s">
        <v>42</v>
      </c>
      <c r="E10" s="2" t="s">
        <v>43</v>
      </c>
      <c r="F10" s="3">
        <v>268229.69</v>
      </c>
      <c r="G10" s="3">
        <v>344500</v>
      </c>
      <c r="H10" s="4">
        <v>350000</v>
      </c>
      <c r="I10" s="4">
        <v>350000</v>
      </c>
      <c r="J10" s="16">
        <f t="shared" si="0"/>
        <v>1.59651669085632E-2</v>
      </c>
      <c r="K10" s="16">
        <f t="shared" si="1"/>
        <v>0</v>
      </c>
    </row>
    <row r="11" spans="1:11" ht="19.5" customHeight="1" x14ac:dyDescent="0.25">
      <c r="A11" s="2" t="s">
        <v>23</v>
      </c>
      <c r="B11" s="2" t="s">
        <v>44</v>
      </c>
      <c r="C11" s="2" t="s">
        <v>45</v>
      </c>
      <c r="D11" s="2" t="s">
        <v>46</v>
      </c>
      <c r="E11" s="2" t="s">
        <v>47</v>
      </c>
      <c r="F11" s="3">
        <v>19214678.649999999</v>
      </c>
      <c r="G11" s="3">
        <v>26065896</v>
      </c>
      <c r="H11" s="4">
        <v>26252590</v>
      </c>
      <c r="I11" s="4">
        <v>26636202</v>
      </c>
      <c r="J11" s="16">
        <f t="shared" si="0"/>
        <v>7.1623856705329558E-3</v>
      </c>
      <c r="K11" s="16">
        <f t="shared" si="1"/>
        <v>1.4612348724449609E-2</v>
      </c>
    </row>
    <row r="12" spans="1:11" ht="19.5" customHeight="1" x14ac:dyDescent="0.25">
      <c r="A12" s="2" t="s">
        <v>23</v>
      </c>
      <c r="B12" s="2" t="s">
        <v>44</v>
      </c>
      <c r="C12" s="2" t="s">
        <v>48</v>
      </c>
      <c r="D12" s="2" t="s">
        <v>49</v>
      </c>
      <c r="E12" s="2" t="s">
        <v>50</v>
      </c>
      <c r="F12" s="3">
        <v>17018128.829999998</v>
      </c>
      <c r="G12" s="3">
        <v>16276986</v>
      </c>
      <c r="H12" s="4">
        <v>14476985</v>
      </c>
      <c r="I12" s="4">
        <v>14881509</v>
      </c>
      <c r="J12" s="16">
        <f t="shared" si="0"/>
        <v>-0.11058564527855463</v>
      </c>
      <c r="K12" s="16">
        <f t="shared" si="1"/>
        <v>2.794255848161753E-2</v>
      </c>
    </row>
    <row r="13" spans="1:11" ht="19.5" customHeight="1" x14ac:dyDescent="0.25">
      <c r="A13" s="2" t="s">
        <v>23</v>
      </c>
      <c r="B13" s="2" t="s">
        <v>44</v>
      </c>
      <c r="C13" s="2" t="s">
        <v>51</v>
      </c>
      <c r="D13" s="2" t="s">
        <v>52</v>
      </c>
      <c r="E13" s="2" t="s">
        <v>53</v>
      </c>
      <c r="F13" s="3">
        <v>6981.67</v>
      </c>
      <c r="G13" s="3">
        <v>15000</v>
      </c>
      <c r="H13" s="4">
        <v>15000</v>
      </c>
      <c r="I13" s="4">
        <v>15382</v>
      </c>
      <c r="J13" s="16">
        <f t="shared" si="0"/>
        <v>0</v>
      </c>
      <c r="K13" s="16">
        <f t="shared" si="1"/>
        <v>2.5466666666666748E-2</v>
      </c>
    </row>
    <row r="14" spans="1:11" ht="19.5" customHeight="1" x14ac:dyDescent="0.25">
      <c r="A14" s="2" t="s">
        <v>23</v>
      </c>
      <c r="B14" s="2" t="s">
        <v>54</v>
      </c>
      <c r="C14" s="2" t="s">
        <v>54</v>
      </c>
      <c r="D14" s="2" t="s">
        <v>55</v>
      </c>
      <c r="E14" s="2" t="s">
        <v>56</v>
      </c>
      <c r="F14" s="3">
        <v>5875.27</v>
      </c>
      <c r="G14" s="3">
        <v>10000</v>
      </c>
      <c r="H14" s="4">
        <v>9500</v>
      </c>
      <c r="I14" s="4">
        <v>9800</v>
      </c>
      <c r="J14" s="16">
        <f t="shared" si="0"/>
        <v>-5.0000000000000044E-2</v>
      </c>
      <c r="K14" s="16">
        <f t="shared" si="1"/>
        <v>3.1578947368421151E-2</v>
      </c>
    </row>
    <row r="15" spans="1:11" ht="19.5" customHeight="1" x14ac:dyDescent="0.25">
      <c r="A15" s="2" t="s">
        <v>23</v>
      </c>
      <c r="B15" s="2" t="s">
        <v>54</v>
      </c>
      <c r="C15" s="2" t="s">
        <v>54</v>
      </c>
      <c r="D15" s="2" t="s">
        <v>57</v>
      </c>
      <c r="E15" s="2" t="s">
        <v>58</v>
      </c>
      <c r="F15" s="3">
        <v>1792473.83</v>
      </c>
      <c r="G15" s="3">
        <v>1748954</v>
      </c>
      <c r="H15" s="4">
        <v>1750000</v>
      </c>
      <c r="I15" s="4">
        <v>1811250</v>
      </c>
      <c r="J15" s="16">
        <f t="shared" si="0"/>
        <v>5.9807176175019627E-4</v>
      </c>
      <c r="K15" s="16">
        <f t="shared" si="1"/>
        <v>3.499999999999992E-2</v>
      </c>
    </row>
    <row r="16" spans="1:11" ht="19.5" customHeight="1" x14ac:dyDescent="0.25">
      <c r="A16" s="2" t="s">
        <v>23</v>
      </c>
      <c r="B16" s="2" t="s">
        <v>54</v>
      </c>
      <c r="C16" s="2" t="s">
        <v>54</v>
      </c>
      <c r="D16" s="2" t="s">
        <v>59</v>
      </c>
      <c r="E16" s="2" t="s">
        <v>60</v>
      </c>
      <c r="F16" s="3">
        <v>0</v>
      </c>
      <c r="G16" s="3">
        <v>188000</v>
      </c>
      <c r="H16" s="4">
        <v>174000</v>
      </c>
      <c r="I16" s="4">
        <v>174000</v>
      </c>
      <c r="J16" s="16">
        <f t="shared" si="0"/>
        <v>-7.4468085106383031E-2</v>
      </c>
      <c r="K16" s="16">
        <f t="shared" si="1"/>
        <v>0</v>
      </c>
    </row>
    <row r="17" spans="1:11" ht="19.5" customHeight="1" x14ac:dyDescent="0.25">
      <c r="A17" s="2" t="s">
        <v>23</v>
      </c>
      <c r="B17" s="2" t="s">
        <v>54</v>
      </c>
      <c r="C17" s="2" t="s">
        <v>54</v>
      </c>
      <c r="D17" s="2" t="s">
        <v>61</v>
      </c>
      <c r="E17" s="2" t="s">
        <v>62</v>
      </c>
      <c r="F17" s="4">
        <v>6708031.4000000004</v>
      </c>
      <c r="G17" s="3">
        <v>4784399</v>
      </c>
      <c r="H17" s="4">
        <v>2940167</v>
      </c>
      <c r="I17" s="4">
        <v>3025550</v>
      </c>
      <c r="J17" s="16">
        <f t="shared" si="0"/>
        <v>-0.38546785082097046</v>
      </c>
      <c r="K17" s="16">
        <f t="shared" si="1"/>
        <v>2.9040187173041465E-2</v>
      </c>
    </row>
    <row r="18" spans="1:11" ht="19.5" customHeight="1" x14ac:dyDescent="0.25">
      <c r="A18" s="2" t="s">
        <v>23</v>
      </c>
      <c r="B18" s="2" t="s">
        <v>54</v>
      </c>
      <c r="C18" s="2" t="s">
        <v>54</v>
      </c>
      <c r="D18" s="2" t="s">
        <v>63</v>
      </c>
      <c r="E18" s="2" t="s">
        <v>64</v>
      </c>
      <c r="F18" s="3">
        <v>3536236.84</v>
      </c>
      <c r="G18" s="3">
        <v>3580969</v>
      </c>
      <c r="H18" s="4">
        <v>3600000</v>
      </c>
      <c r="I18" s="4">
        <v>3726000</v>
      </c>
      <c r="J18" s="16">
        <f t="shared" si="0"/>
        <v>5.3144833144325165E-3</v>
      </c>
      <c r="K18" s="16">
        <f t="shared" si="1"/>
        <v>3.499999999999992E-2</v>
      </c>
    </row>
    <row r="19" spans="1:11" ht="19.5" customHeight="1" x14ac:dyDescent="0.25">
      <c r="A19" s="2" t="s">
        <v>23</v>
      </c>
      <c r="B19" s="2" t="s">
        <v>54</v>
      </c>
      <c r="C19" s="2" t="s">
        <v>54</v>
      </c>
      <c r="D19" s="2" t="s">
        <v>65</v>
      </c>
      <c r="E19" s="2" t="s">
        <v>66</v>
      </c>
      <c r="F19" s="3">
        <v>26633.55</v>
      </c>
      <c r="G19" s="3">
        <v>330000</v>
      </c>
      <c r="H19" s="4">
        <v>750000</v>
      </c>
      <c r="I19" s="4">
        <v>750000</v>
      </c>
      <c r="J19" s="16">
        <f t="shared" si="0"/>
        <v>1.2727272727272729</v>
      </c>
      <c r="K19" s="16">
        <f t="shared" si="1"/>
        <v>0</v>
      </c>
    </row>
    <row r="20" spans="1:11" ht="19.5" customHeight="1" x14ac:dyDescent="0.25">
      <c r="A20" s="2" t="s">
        <v>23</v>
      </c>
      <c r="B20" s="2" t="s">
        <v>54</v>
      </c>
      <c r="C20" s="2" t="s">
        <v>54</v>
      </c>
      <c r="D20" s="2" t="s">
        <v>67</v>
      </c>
      <c r="E20" s="2" t="s">
        <v>68</v>
      </c>
      <c r="F20" s="3">
        <v>0</v>
      </c>
      <c r="G20" s="3">
        <v>0</v>
      </c>
      <c r="H20" s="4">
        <v>2100000</v>
      </c>
      <c r="I20" s="4">
        <v>2100000</v>
      </c>
      <c r="J20" s="16" t="str">
        <f t="shared" si="0"/>
        <v>--</v>
      </c>
      <c r="K20" s="16">
        <f t="shared" si="1"/>
        <v>0</v>
      </c>
    </row>
    <row r="21" spans="1:11" ht="19.5" customHeight="1" x14ac:dyDescent="0.25">
      <c r="A21" s="2" t="s">
        <v>23</v>
      </c>
      <c r="B21" s="2" t="s">
        <v>54</v>
      </c>
      <c r="C21" s="2" t="s">
        <v>54</v>
      </c>
      <c r="D21" s="2" t="s">
        <v>69</v>
      </c>
      <c r="E21" s="2" t="s">
        <v>70</v>
      </c>
      <c r="F21" s="3">
        <v>0</v>
      </c>
      <c r="G21" s="4">
        <v>0</v>
      </c>
      <c r="H21" s="4">
        <v>50000</v>
      </c>
      <c r="I21" s="4">
        <v>50000</v>
      </c>
      <c r="J21" s="16" t="str">
        <f t="shared" si="0"/>
        <v>--</v>
      </c>
      <c r="K21" s="16">
        <f t="shared" si="1"/>
        <v>0</v>
      </c>
    </row>
    <row r="22" spans="1:11" ht="19.5" customHeight="1" x14ac:dyDescent="0.25">
      <c r="A22" s="2" t="s">
        <v>71</v>
      </c>
      <c r="B22" s="2" t="s">
        <v>16</v>
      </c>
      <c r="C22" s="2" t="s">
        <v>72</v>
      </c>
      <c r="D22" s="2" t="s">
        <v>73</v>
      </c>
      <c r="E22" s="2" t="s">
        <v>74</v>
      </c>
      <c r="F22" s="3">
        <v>193627.44</v>
      </c>
      <c r="G22" s="3">
        <v>372523</v>
      </c>
      <c r="H22" s="4">
        <v>385964</v>
      </c>
      <c r="I22" s="4">
        <v>380761</v>
      </c>
      <c r="J22" s="16">
        <f t="shared" si="0"/>
        <v>3.6080993656767424E-2</v>
      </c>
      <c r="K22" s="16">
        <f t="shared" si="1"/>
        <v>-1.3480531863075296E-2</v>
      </c>
    </row>
    <row r="23" spans="1:11" ht="19.5" customHeight="1" x14ac:dyDescent="0.25">
      <c r="A23" s="2" t="s">
        <v>71</v>
      </c>
      <c r="B23" s="2" t="s">
        <v>16</v>
      </c>
      <c r="C23" s="2" t="s">
        <v>75</v>
      </c>
      <c r="D23" s="2" t="s">
        <v>76</v>
      </c>
      <c r="E23" s="2" t="s">
        <v>77</v>
      </c>
      <c r="F23" s="3">
        <v>922358.89</v>
      </c>
      <c r="G23" s="3">
        <v>1000000</v>
      </c>
      <c r="H23" s="4">
        <v>1000000</v>
      </c>
      <c r="I23" s="4">
        <v>1000000</v>
      </c>
      <c r="J23" s="16">
        <f t="shared" si="0"/>
        <v>0</v>
      </c>
      <c r="K23" s="16">
        <f t="shared" si="1"/>
        <v>0</v>
      </c>
    </row>
    <row r="24" spans="1:11" ht="19.5" customHeight="1" x14ac:dyDescent="0.25">
      <c r="A24" s="2" t="s">
        <v>71</v>
      </c>
      <c r="B24" s="2" t="s">
        <v>16</v>
      </c>
      <c r="C24" s="2" t="s">
        <v>78</v>
      </c>
      <c r="D24" s="2" t="s">
        <v>79</v>
      </c>
      <c r="E24" s="2" t="s">
        <v>80</v>
      </c>
      <c r="F24" s="3">
        <v>99178.83</v>
      </c>
      <c r="G24" s="3">
        <v>1500000</v>
      </c>
      <c r="H24" s="4">
        <v>1532273</v>
      </c>
      <c r="I24" s="4">
        <v>1532919</v>
      </c>
      <c r="J24" s="16">
        <f t="shared" si="0"/>
        <v>2.1515333333333331E-2</v>
      </c>
      <c r="K24" s="16">
        <f t="shared" si="1"/>
        <v>4.2159589054957536E-4</v>
      </c>
    </row>
    <row r="25" spans="1:11" ht="19.5" customHeight="1" x14ac:dyDescent="0.25">
      <c r="A25" s="2" t="s">
        <v>71</v>
      </c>
      <c r="B25" s="2" t="s">
        <v>16</v>
      </c>
      <c r="C25" s="2" t="s">
        <v>35</v>
      </c>
      <c r="D25" s="2" t="s">
        <v>81</v>
      </c>
      <c r="E25" s="2" t="s">
        <v>82</v>
      </c>
      <c r="F25" s="4">
        <v>0</v>
      </c>
      <c r="G25" s="3">
        <v>2000000</v>
      </c>
      <c r="H25" s="4">
        <v>0</v>
      </c>
      <c r="I25" s="4">
        <v>0</v>
      </c>
      <c r="J25" s="16">
        <f t="shared" si="0"/>
        <v>-1</v>
      </c>
      <c r="K25" s="16" t="str">
        <f t="shared" si="1"/>
        <v>--</v>
      </c>
    </row>
    <row r="26" spans="1:11" ht="19.5" customHeight="1" x14ac:dyDescent="0.25">
      <c r="A26" s="2" t="s">
        <v>71</v>
      </c>
      <c r="B26" s="2" t="s">
        <v>16</v>
      </c>
      <c r="C26" s="2" t="s">
        <v>83</v>
      </c>
      <c r="D26" s="2" t="s">
        <v>84</v>
      </c>
      <c r="E26" s="2" t="s">
        <v>85</v>
      </c>
      <c r="F26" s="3">
        <v>1009689.05</v>
      </c>
      <c r="G26" s="3">
        <v>1350000</v>
      </c>
      <c r="H26" s="4">
        <v>401640</v>
      </c>
      <c r="I26" s="4">
        <v>1427072</v>
      </c>
      <c r="J26" s="16">
        <f t="shared" si="0"/>
        <v>-0.70248888888888894</v>
      </c>
      <c r="K26" s="16">
        <f t="shared" si="1"/>
        <v>2.5531122398167514</v>
      </c>
    </row>
    <row r="27" spans="1:11" ht="19.5" customHeight="1" x14ac:dyDescent="0.25">
      <c r="A27" s="2" t="s">
        <v>71</v>
      </c>
      <c r="B27" s="2" t="s">
        <v>16</v>
      </c>
      <c r="C27" s="2" t="s">
        <v>86</v>
      </c>
      <c r="D27" s="2" t="s">
        <v>87</v>
      </c>
      <c r="E27" s="2" t="s">
        <v>88</v>
      </c>
      <c r="F27" s="3">
        <v>708622.58</v>
      </c>
      <c r="G27" s="3">
        <v>800000</v>
      </c>
      <c r="H27" s="4">
        <v>750838</v>
      </c>
      <c r="I27" s="4">
        <v>761056</v>
      </c>
      <c r="J27" s="16">
        <f t="shared" si="0"/>
        <v>-6.1452500000000021E-2</v>
      </c>
      <c r="K27" s="16">
        <f t="shared" si="1"/>
        <v>1.3608794440345351E-2</v>
      </c>
    </row>
    <row r="28" spans="1:11" ht="19.5" customHeight="1" x14ac:dyDescent="0.25">
      <c r="A28" s="2" t="s">
        <v>71</v>
      </c>
      <c r="B28" s="2" t="s">
        <v>16</v>
      </c>
      <c r="C28" s="2" t="s">
        <v>89</v>
      </c>
      <c r="D28" s="2" t="s">
        <v>90</v>
      </c>
      <c r="E28" s="2" t="s">
        <v>91</v>
      </c>
      <c r="F28" s="3">
        <v>147696.24</v>
      </c>
      <c r="G28" s="3">
        <v>200000</v>
      </c>
      <c r="H28" s="4">
        <v>200000</v>
      </c>
      <c r="I28" s="4">
        <v>200000</v>
      </c>
      <c r="J28" s="16">
        <f t="shared" si="0"/>
        <v>0</v>
      </c>
      <c r="K28" s="16">
        <f t="shared" si="1"/>
        <v>0</v>
      </c>
    </row>
    <row r="29" spans="1:11" ht="19.5" customHeight="1" x14ac:dyDescent="0.25">
      <c r="A29" s="2" t="s">
        <v>71</v>
      </c>
      <c r="B29" s="2" t="s">
        <v>16</v>
      </c>
      <c r="C29" s="2" t="s">
        <v>92</v>
      </c>
      <c r="D29" s="2" t="s">
        <v>93</v>
      </c>
      <c r="E29" s="2" t="s">
        <v>94</v>
      </c>
      <c r="F29" s="3">
        <v>0</v>
      </c>
      <c r="G29" s="3">
        <v>120000</v>
      </c>
      <c r="H29" s="4">
        <v>120000</v>
      </c>
      <c r="I29" s="4">
        <v>120000</v>
      </c>
      <c r="J29" s="16">
        <f t="shared" si="0"/>
        <v>0</v>
      </c>
      <c r="K29" s="16">
        <f t="shared" si="1"/>
        <v>0</v>
      </c>
    </row>
    <row r="30" spans="1:11" ht="19.5" customHeight="1" x14ac:dyDescent="0.25">
      <c r="A30" s="2" t="s">
        <v>71</v>
      </c>
      <c r="B30" s="2" t="s">
        <v>16</v>
      </c>
      <c r="C30" s="2" t="s">
        <v>95</v>
      </c>
      <c r="D30" s="2" t="s">
        <v>96</v>
      </c>
      <c r="E30" s="2" t="s">
        <v>97</v>
      </c>
      <c r="F30" s="3">
        <v>36999.47</v>
      </c>
      <c r="G30" s="3">
        <v>344700</v>
      </c>
      <c r="H30" s="4">
        <v>344934</v>
      </c>
      <c r="I30" s="4">
        <v>345050</v>
      </c>
      <c r="J30" s="16">
        <f t="shared" si="0"/>
        <v>6.788511749347137E-4</v>
      </c>
      <c r="K30" s="16">
        <f t="shared" si="1"/>
        <v>3.3629621898678685E-4</v>
      </c>
    </row>
    <row r="31" spans="1:11" ht="19.5" customHeight="1" x14ac:dyDescent="0.25">
      <c r="A31" s="6" t="s">
        <v>71</v>
      </c>
      <c r="B31" s="6" t="s">
        <v>16</v>
      </c>
      <c r="C31" s="6" t="s">
        <v>98</v>
      </c>
      <c r="D31" s="7" t="s">
        <v>99</v>
      </c>
      <c r="E31" s="6" t="s">
        <v>100</v>
      </c>
      <c r="F31" s="4">
        <v>0</v>
      </c>
      <c r="G31" s="4">
        <v>0</v>
      </c>
      <c r="H31" s="4">
        <v>250000</v>
      </c>
      <c r="I31" s="4">
        <v>250000</v>
      </c>
      <c r="J31" s="16" t="str">
        <f t="shared" si="0"/>
        <v>--</v>
      </c>
      <c r="K31" s="16">
        <f t="shared" si="1"/>
        <v>0</v>
      </c>
    </row>
    <row r="32" spans="1:11" ht="19.5" customHeight="1" x14ac:dyDescent="0.25">
      <c r="A32" s="2" t="s">
        <v>71</v>
      </c>
      <c r="B32" s="2" t="s">
        <v>44</v>
      </c>
      <c r="C32" s="2" t="s">
        <v>101</v>
      </c>
      <c r="D32" s="2" t="s">
        <v>102</v>
      </c>
      <c r="E32" s="2" t="s">
        <v>103</v>
      </c>
      <c r="F32" s="3">
        <v>7414655.5599999996</v>
      </c>
      <c r="G32" s="3">
        <v>13920570</v>
      </c>
      <c r="H32" s="4">
        <v>9435514</v>
      </c>
      <c r="I32" s="4">
        <v>8860830</v>
      </c>
      <c r="J32" s="16">
        <f t="shared" si="0"/>
        <v>-0.32218910576219217</v>
      </c>
      <c r="K32" s="16">
        <f t="shared" si="1"/>
        <v>-6.0906485857580184E-2</v>
      </c>
    </row>
    <row r="33" spans="1:11" ht="19.5" customHeight="1" x14ac:dyDescent="0.25">
      <c r="A33" s="2" t="s">
        <v>71</v>
      </c>
      <c r="B33" s="2" t="s">
        <v>44</v>
      </c>
      <c r="C33" s="2" t="s">
        <v>104</v>
      </c>
      <c r="D33" s="2" t="s">
        <v>105</v>
      </c>
      <c r="E33" s="2" t="s">
        <v>106</v>
      </c>
      <c r="F33" s="3">
        <v>2672294.85</v>
      </c>
      <c r="G33" s="3">
        <v>5477117</v>
      </c>
      <c r="H33" s="4">
        <v>4790982</v>
      </c>
      <c r="I33" s="4">
        <v>4839274</v>
      </c>
      <c r="J33" s="16">
        <f t="shared" si="0"/>
        <v>-0.12527302228526427</v>
      </c>
      <c r="K33" s="16">
        <f t="shared" si="1"/>
        <v>1.0079770702540625E-2</v>
      </c>
    </row>
    <row r="34" spans="1:11" ht="19.5" customHeight="1" x14ac:dyDescent="0.25">
      <c r="A34" s="2" t="s">
        <v>71</v>
      </c>
      <c r="B34" s="2" t="s">
        <v>44</v>
      </c>
      <c r="C34" s="2" t="s">
        <v>107</v>
      </c>
      <c r="D34" s="2" t="s">
        <v>108</v>
      </c>
      <c r="E34" s="2" t="s">
        <v>109</v>
      </c>
      <c r="F34" s="3">
        <v>62463868.630000003</v>
      </c>
      <c r="G34" s="3">
        <v>83089665</v>
      </c>
      <c r="H34" s="4">
        <v>62630274</v>
      </c>
      <c r="I34" s="4">
        <v>57726103</v>
      </c>
      <c r="J34" s="16">
        <f t="shared" si="0"/>
        <v>-0.24623268128473019</v>
      </c>
      <c r="K34" s="16">
        <f t="shared" si="1"/>
        <v>-7.8303521392865005E-2</v>
      </c>
    </row>
    <row r="35" spans="1:11" ht="19.5" customHeight="1" x14ac:dyDescent="0.25">
      <c r="A35" s="2" t="s">
        <v>71</v>
      </c>
      <c r="B35" s="2" t="s">
        <v>54</v>
      </c>
      <c r="C35" s="2" t="s">
        <v>54</v>
      </c>
      <c r="D35" s="2" t="s">
        <v>110</v>
      </c>
      <c r="E35" s="2" t="s">
        <v>22</v>
      </c>
      <c r="F35" s="3">
        <v>1606747.13</v>
      </c>
      <c r="G35" s="3">
        <v>1348074</v>
      </c>
      <c r="H35" s="4">
        <v>1724070</v>
      </c>
      <c r="I35" s="4">
        <v>1745504</v>
      </c>
      <c r="J35" s="16">
        <f t="shared" si="0"/>
        <v>0.27891347210909778</v>
      </c>
      <c r="K35" s="16">
        <f t="shared" si="1"/>
        <v>1.2432209829067231E-2</v>
      </c>
    </row>
    <row r="36" spans="1:11" ht="19.5" customHeight="1" x14ac:dyDescent="0.25">
      <c r="A36" s="2" t="s">
        <v>71</v>
      </c>
      <c r="B36" s="2" t="s">
        <v>54</v>
      </c>
      <c r="C36" s="2" t="s">
        <v>54</v>
      </c>
      <c r="D36" s="2" t="s">
        <v>111</v>
      </c>
      <c r="E36" s="2" t="s">
        <v>112</v>
      </c>
      <c r="F36" s="3">
        <v>1088372.8500000001</v>
      </c>
      <c r="G36" s="3">
        <v>1588402</v>
      </c>
      <c r="H36" s="4">
        <v>3112901</v>
      </c>
      <c r="I36" s="4">
        <v>3112901</v>
      </c>
      <c r="J36" s="16">
        <f t="shared" si="0"/>
        <v>0.95976900054268377</v>
      </c>
      <c r="K36" s="16">
        <f t="shared" si="1"/>
        <v>0</v>
      </c>
    </row>
    <row r="37" spans="1:11" ht="19.5" customHeight="1" x14ac:dyDescent="0.25">
      <c r="A37" s="2" t="s">
        <v>71</v>
      </c>
      <c r="B37" s="2" t="s">
        <v>54</v>
      </c>
      <c r="C37" s="2" t="s">
        <v>54</v>
      </c>
      <c r="D37" s="2" t="s">
        <v>113</v>
      </c>
      <c r="E37" s="2" t="s">
        <v>114</v>
      </c>
      <c r="F37" s="4">
        <v>6913042.5099999998</v>
      </c>
      <c r="G37" s="3">
        <v>6549253</v>
      </c>
      <c r="H37" s="4">
        <v>9798995</v>
      </c>
      <c r="I37" s="4">
        <v>9737042</v>
      </c>
      <c r="J37" s="16">
        <f t="shared" si="0"/>
        <v>0.49620040636695517</v>
      </c>
      <c r="K37" s="16">
        <f t="shared" si="1"/>
        <v>-6.322383060711867E-3</v>
      </c>
    </row>
    <row r="38" spans="1:11" ht="19.5" customHeight="1" x14ac:dyDescent="0.25">
      <c r="A38" s="2" t="s">
        <v>71</v>
      </c>
      <c r="B38" s="2" t="s">
        <v>54</v>
      </c>
      <c r="C38" s="2" t="s">
        <v>54</v>
      </c>
      <c r="D38" s="2" t="s">
        <v>115</v>
      </c>
      <c r="E38" s="2" t="s">
        <v>116</v>
      </c>
      <c r="F38" s="3">
        <v>2226163</v>
      </c>
      <c r="G38" s="3">
        <v>2245720</v>
      </c>
      <c r="H38" s="4">
        <v>2495245</v>
      </c>
      <c r="I38" s="4">
        <v>2495245</v>
      </c>
      <c r="J38" s="16">
        <f t="shared" si="0"/>
        <v>0.11111135849527098</v>
      </c>
      <c r="K38" s="16">
        <f t="shared" si="1"/>
        <v>0</v>
      </c>
    </row>
    <row r="39" spans="1:11" ht="19.5" customHeight="1" x14ac:dyDescent="0.25">
      <c r="A39" s="2" t="s">
        <v>71</v>
      </c>
      <c r="B39" s="2" t="s">
        <v>54</v>
      </c>
      <c r="C39" s="2" t="s">
        <v>54</v>
      </c>
      <c r="D39" s="2" t="s">
        <v>117</v>
      </c>
      <c r="E39" s="2" t="s">
        <v>118</v>
      </c>
      <c r="F39" s="3">
        <v>228956</v>
      </c>
      <c r="G39" s="3">
        <v>200513</v>
      </c>
      <c r="H39" s="4">
        <v>222792</v>
      </c>
      <c r="I39" s="4">
        <v>222792</v>
      </c>
      <c r="J39" s="16">
        <f t="shared" si="0"/>
        <v>0.11111000284270856</v>
      </c>
      <c r="K39" s="16">
        <f t="shared" si="1"/>
        <v>0</v>
      </c>
    </row>
    <row r="40" spans="1:11" ht="19.5" customHeight="1" x14ac:dyDescent="0.25">
      <c r="A40" s="2" t="s">
        <v>71</v>
      </c>
      <c r="B40" s="2" t="s">
        <v>54</v>
      </c>
      <c r="C40" s="2" t="s">
        <v>54</v>
      </c>
      <c r="D40" s="2" t="s">
        <v>119</v>
      </c>
      <c r="E40" s="2" t="s">
        <v>120</v>
      </c>
      <c r="F40" s="3">
        <v>0</v>
      </c>
      <c r="G40" s="3">
        <v>0</v>
      </c>
      <c r="H40" s="4">
        <v>0</v>
      </c>
      <c r="I40" s="4">
        <v>0</v>
      </c>
      <c r="J40" s="16" t="str">
        <f t="shared" si="0"/>
        <v>--</v>
      </c>
      <c r="K40" s="16" t="str">
        <f t="shared" si="1"/>
        <v>--</v>
      </c>
    </row>
    <row r="41" spans="1:11" ht="19.5" customHeight="1" x14ac:dyDescent="0.25">
      <c r="A41" s="2" t="s">
        <v>71</v>
      </c>
      <c r="B41" s="2" t="s">
        <v>54</v>
      </c>
      <c r="C41" s="2" t="s">
        <v>54</v>
      </c>
      <c r="D41" s="2" t="s">
        <v>121</v>
      </c>
      <c r="E41" s="2" t="s">
        <v>122</v>
      </c>
      <c r="F41" s="3">
        <v>4403955.7699999996</v>
      </c>
      <c r="G41" s="3">
        <v>5073618</v>
      </c>
      <c r="H41" s="4">
        <v>5154308</v>
      </c>
      <c r="I41" s="4">
        <v>5194827</v>
      </c>
      <c r="J41" s="16">
        <f t="shared" si="0"/>
        <v>1.5903838247183666E-2</v>
      </c>
      <c r="K41" s="16">
        <f t="shared" si="1"/>
        <v>7.8611910658035189E-3</v>
      </c>
    </row>
    <row r="42" spans="1:11" ht="19.5" customHeight="1" x14ac:dyDescent="0.25">
      <c r="A42" s="2" t="s">
        <v>123</v>
      </c>
      <c r="B42" s="2" t="s">
        <v>16</v>
      </c>
      <c r="C42" s="2" t="s">
        <v>124</v>
      </c>
      <c r="D42" s="2" t="s">
        <v>125</v>
      </c>
      <c r="E42" s="2" t="s">
        <v>126</v>
      </c>
      <c r="F42" s="3">
        <v>58442693.350000001</v>
      </c>
      <c r="G42" s="3">
        <v>61118182</v>
      </c>
      <c r="H42" s="4">
        <v>72700000</v>
      </c>
      <c r="I42" s="4">
        <v>72700000</v>
      </c>
      <c r="J42" s="16">
        <f t="shared" si="0"/>
        <v>0.18949873214487956</v>
      </c>
      <c r="K42" s="16">
        <f t="shared" si="1"/>
        <v>0</v>
      </c>
    </row>
    <row r="43" spans="1:11" ht="19.5" customHeight="1" x14ac:dyDescent="0.25">
      <c r="A43" s="2" t="s">
        <v>123</v>
      </c>
      <c r="B43" s="2" t="s">
        <v>16</v>
      </c>
      <c r="C43" s="2" t="s">
        <v>127</v>
      </c>
      <c r="D43" s="2" t="s">
        <v>128</v>
      </c>
      <c r="E43" s="2" t="s">
        <v>129</v>
      </c>
      <c r="F43" s="3">
        <v>11841148.550000001</v>
      </c>
      <c r="G43" s="3">
        <v>16500000</v>
      </c>
      <c r="H43" s="4">
        <v>16500000</v>
      </c>
      <c r="I43" s="4">
        <v>16500000</v>
      </c>
      <c r="J43" s="16">
        <f t="shared" si="0"/>
        <v>0</v>
      </c>
      <c r="K43" s="16">
        <f t="shared" si="1"/>
        <v>0</v>
      </c>
    </row>
    <row r="44" spans="1:11" ht="19.5" customHeight="1" x14ac:dyDescent="0.25">
      <c r="A44" s="2" t="s">
        <v>123</v>
      </c>
      <c r="B44" s="2" t="s">
        <v>16</v>
      </c>
      <c r="C44" s="2" t="s">
        <v>130</v>
      </c>
      <c r="D44" s="2" t="s">
        <v>131</v>
      </c>
      <c r="E44" s="2" t="s">
        <v>132</v>
      </c>
      <c r="F44" s="3">
        <v>14520</v>
      </c>
      <c r="G44" s="3">
        <v>25000</v>
      </c>
      <c r="H44" s="4">
        <v>25000</v>
      </c>
      <c r="I44" s="4">
        <v>25000</v>
      </c>
      <c r="J44" s="16">
        <f t="shared" si="0"/>
        <v>0</v>
      </c>
      <c r="K44" s="16">
        <f t="shared" si="1"/>
        <v>0</v>
      </c>
    </row>
    <row r="45" spans="1:11" ht="19.5" customHeight="1" x14ac:dyDescent="0.25">
      <c r="A45" s="2" t="s">
        <v>123</v>
      </c>
      <c r="B45" s="2" t="s">
        <v>16</v>
      </c>
      <c r="C45" s="2" t="s">
        <v>133</v>
      </c>
      <c r="D45" s="2" t="s">
        <v>134</v>
      </c>
      <c r="E45" s="2" t="s">
        <v>135</v>
      </c>
      <c r="F45" s="3">
        <v>6237944.6500000004</v>
      </c>
      <c r="G45" s="3">
        <v>6199700</v>
      </c>
      <c r="H45" s="4">
        <v>8286000</v>
      </c>
      <c r="I45" s="4">
        <v>8286000</v>
      </c>
      <c r="J45" s="16">
        <f t="shared" si="0"/>
        <v>0.33651628304595382</v>
      </c>
      <c r="K45" s="16">
        <f t="shared" si="1"/>
        <v>0</v>
      </c>
    </row>
    <row r="46" spans="1:11" ht="19.5" customHeight="1" x14ac:dyDescent="0.25">
      <c r="A46" s="2" t="s">
        <v>123</v>
      </c>
      <c r="B46" s="2" t="s">
        <v>16</v>
      </c>
      <c r="C46" s="2" t="s">
        <v>136</v>
      </c>
      <c r="D46" s="2" t="s">
        <v>137</v>
      </c>
      <c r="E46" s="2" t="s">
        <v>138</v>
      </c>
      <c r="F46" s="3">
        <v>33056813.809999999</v>
      </c>
      <c r="G46" s="3">
        <v>47600000</v>
      </c>
      <c r="H46" s="4">
        <v>40000000</v>
      </c>
      <c r="I46" s="4">
        <v>42000000</v>
      </c>
      <c r="J46" s="16">
        <f t="shared" si="0"/>
        <v>-0.15966386554621848</v>
      </c>
      <c r="K46" s="16">
        <f t="shared" si="1"/>
        <v>5.0000000000000044E-2</v>
      </c>
    </row>
    <row r="47" spans="1:11" ht="19.5" customHeight="1" x14ac:dyDescent="0.25">
      <c r="A47" s="2" t="s">
        <v>123</v>
      </c>
      <c r="B47" s="2" t="s">
        <v>16</v>
      </c>
      <c r="C47" s="2" t="s">
        <v>139</v>
      </c>
      <c r="D47" s="2" t="s">
        <v>140</v>
      </c>
      <c r="E47" s="2" t="s">
        <v>141</v>
      </c>
      <c r="F47" s="3">
        <v>424494.18</v>
      </c>
      <c r="G47" s="3">
        <v>650000</v>
      </c>
      <c r="H47" s="4">
        <v>0</v>
      </c>
      <c r="I47" s="4">
        <v>0</v>
      </c>
      <c r="J47" s="16">
        <f t="shared" si="0"/>
        <v>-1</v>
      </c>
      <c r="K47" s="16" t="str">
        <f t="shared" si="1"/>
        <v>--</v>
      </c>
    </row>
    <row r="48" spans="1:11" ht="19.5" customHeight="1" x14ac:dyDescent="0.25">
      <c r="A48" s="2" t="s">
        <v>123</v>
      </c>
      <c r="B48" s="2" t="s">
        <v>16</v>
      </c>
      <c r="C48" s="2" t="s">
        <v>142</v>
      </c>
      <c r="D48" s="2" t="s">
        <v>143</v>
      </c>
      <c r="E48" s="2" t="s">
        <v>144</v>
      </c>
      <c r="F48" s="3">
        <v>2417083.64</v>
      </c>
      <c r="G48" s="3">
        <v>160000</v>
      </c>
      <c r="H48" s="4">
        <v>1500000</v>
      </c>
      <c r="I48" s="4">
        <v>1500000</v>
      </c>
      <c r="J48" s="16">
        <f t="shared" si="0"/>
        <v>8.375</v>
      </c>
      <c r="K48" s="16">
        <f t="shared" si="1"/>
        <v>0</v>
      </c>
    </row>
    <row r="49" spans="1:11" ht="19.5" customHeight="1" x14ac:dyDescent="0.25">
      <c r="A49" s="2" t="s">
        <v>123</v>
      </c>
      <c r="B49" s="2" t="s">
        <v>16</v>
      </c>
      <c r="C49" s="2" t="s">
        <v>145</v>
      </c>
      <c r="D49" s="2" t="s">
        <v>146</v>
      </c>
      <c r="E49" s="2" t="s">
        <v>147</v>
      </c>
      <c r="F49" s="3">
        <v>2149300.23</v>
      </c>
      <c r="G49" s="3">
        <v>2814289</v>
      </c>
      <c r="H49" s="4">
        <v>2900000</v>
      </c>
      <c r="I49" s="4">
        <v>2900000</v>
      </c>
      <c r="J49" s="16">
        <f t="shared" si="0"/>
        <v>3.0455649721830236E-2</v>
      </c>
      <c r="K49" s="16">
        <f t="shared" si="1"/>
        <v>0</v>
      </c>
    </row>
    <row r="50" spans="1:11" ht="19.5" customHeight="1" x14ac:dyDescent="0.25">
      <c r="A50" s="2" t="s">
        <v>123</v>
      </c>
      <c r="B50" s="2" t="s">
        <v>16</v>
      </c>
      <c r="C50" s="2" t="s">
        <v>148</v>
      </c>
      <c r="D50" s="2" t="s">
        <v>149</v>
      </c>
      <c r="E50" s="2" t="s">
        <v>150</v>
      </c>
      <c r="F50" s="3">
        <v>599799.21</v>
      </c>
      <c r="G50" s="3">
        <v>813751</v>
      </c>
      <c r="H50" s="4">
        <v>1013751</v>
      </c>
      <c r="I50" s="4">
        <v>1013751</v>
      </c>
      <c r="J50" s="16">
        <f t="shared" si="0"/>
        <v>0.24577542761852222</v>
      </c>
      <c r="K50" s="16">
        <f t="shared" si="1"/>
        <v>0</v>
      </c>
    </row>
    <row r="51" spans="1:11" ht="19.5" customHeight="1" x14ac:dyDescent="0.25">
      <c r="A51" s="2" t="s">
        <v>123</v>
      </c>
      <c r="B51" s="2" t="s">
        <v>16</v>
      </c>
      <c r="C51" s="2" t="s">
        <v>151</v>
      </c>
      <c r="D51" s="2" t="s">
        <v>152</v>
      </c>
      <c r="E51" s="2" t="s">
        <v>153</v>
      </c>
      <c r="F51" s="4">
        <v>332320.68</v>
      </c>
      <c r="G51" s="3">
        <v>2500000</v>
      </c>
      <c r="H51" s="4">
        <v>1000000</v>
      </c>
      <c r="I51" s="4">
        <v>1000000</v>
      </c>
      <c r="J51" s="16">
        <f t="shared" si="0"/>
        <v>-0.6</v>
      </c>
      <c r="K51" s="16">
        <f t="shared" si="1"/>
        <v>0</v>
      </c>
    </row>
    <row r="52" spans="1:11" ht="19.5" customHeight="1" x14ac:dyDescent="0.25">
      <c r="A52" s="2" t="s">
        <v>123</v>
      </c>
      <c r="B52" s="2" t="s">
        <v>16</v>
      </c>
      <c r="C52" s="2" t="s">
        <v>154</v>
      </c>
      <c r="D52" s="2" t="s">
        <v>155</v>
      </c>
      <c r="E52" s="2" t="s">
        <v>156</v>
      </c>
      <c r="F52" s="3">
        <v>86985.25</v>
      </c>
      <c r="G52" s="4">
        <v>95325</v>
      </c>
      <c r="H52" s="4">
        <v>95325</v>
      </c>
      <c r="I52" s="4">
        <v>95325</v>
      </c>
      <c r="J52" s="16">
        <f t="shared" si="0"/>
        <v>0</v>
      </c>
      <c r="K52" s="16">
        <f t="shared" si="1"/>
        <v>0</v>
      </c>
    </row>
    <row r="53" spans="1:11" ht="19.5" customHeight="1" x14ac:dyDescent="0.25">
      <c r="A53" s="2" t="s">
        <v>123</v>
      </c>
      <c r="B53" s="2" t="s">
        <v>16</v>
      </c>
      <c r="C53" s="2" t="s">
        <v>157</v>
      </c>
      <c r="D53" s="2" t="s">
        <v>158</v>
      </c>
      <c r="E53" s="2" t="s">
        <v>159</v>
      </c>
      <c r="F53" s="3">
        <v>0</v>
      </c>
      <c r="G53" s="3">
        <v>10000</v>
      </c>
      <c r="H53" s="4">
        <v>10000</v>
      </c>
      <c r="I53" s="4">
        <v>10000</v>
      </c>
      <c r="J53" s="16">
        <f t="shared" si="0"/>
        <v>0</v>
      </c>
      <c r="K53" s="16">
        <f t="shared" si="1"/>
        <v>0</v>
      </c>
    </row>
    <row r="54" spans="1:11" ht="19.5" customHeight="1" x14ac:dyDescent="0.25">
      <c r="A54" s="2" t="s">
        <v>123</v>
      </c>
      <c r="B54" s="2" t="s">
        <v>16</v>
      </c>
      <c r="C54" s="2" t="s">
        <v>35</v>
      </c>
      <c r="D54" s="2" t="s">
        <v>160</v>
      </c>
      <c r="E54" s="2" t="s">
        <v>161</v>
      </c>
      <c r="F54" s="3">
        <v>0</v>
      </c>
      <c r="G54" s="3">
        <v>8750000</v>
      </c>
      <c r="H54" s="4">
        <v>0</v>
      </c>
      <c r="I54" s="4">
        <v>0</v>
      </c>
      <c r="J54" s="16">
        <f t="shared" si="0"/>
        <v>-1</v>
      </c>
      <c r="K54" s="16" t="str">
        <f t="shared" si="1"/>
        <v>--</v>
      </c>
    </row>
    <row r="55" spans="1:11" ht="19.5" customHeight="1" x14ac:dyDescent="0.25">
      <c r="A55" s="2" t="s">
        <v>123</v>
      </c>
      <c r="B55" s="2" t="s">
        <v>16</v>
      </c>
      <c r="C55" s="2" t="s">
        <v>35</v>
      </c>
      <c r="D55" s="2" t="s">
        <v>162</v>
      </c>
      <c r="E55" s="2" t="s">
        <v>163</v>
      </c>
      <c r="F55" s="3">
        <v>0</v>
      </c>
      <c r="G55" s="3">
        <v>1000000</v>
      </c>
      <c r="H55" s="4">
        <v>0</v>
      </c>
      <c r="I55" s="4">
        <v>0</v>
      </c>
      <c r="J55" s="16">
        <f t="shared" si="0"/>
        <v>-1</v>
      </c>
      <c r="K55" s="16" t="str">
        <f t="shared" si="1"/>
        <v>--</v>
      </c>
    </row>
    <row r="56" spans="1:11" ht="19.5" customHeight="1" x14ac:dyDescent="0.25">
      <c r="A56" s="2" t="s">
        <v>123</v>
      </c>
      <c r="B56" s="2" t="s">
        <v>16</v>
      </c>
      <c r="C56" s="2" t="s">
        <v>164</v>
      </c>
      <c r="D56" s="2" t="s">
        <v>165</v>
      </c>
      <c r="E56" s="2" t="s">
        <v>166</v>
      </c>
      <c r="F56" s="3">
        <v>4903262.05</v>
      </c>
      <c r="G56" s="3">
        <v>2400000</v>
      </c>
      <c r="H56" s="4">
        <v>4700000</v>
      </c>
      <c r="I56" s="4">
        <v>4700000</v>
      </c>
      <c r="J56" s="16">
        <f t="shared" si="0"/>
        <v>0.95833333333333326</v>
      </c>
      <c r="K56" s="16">
        <f t="shared" si="1"/>
        <v>0</v>
      </c>
    </row>
    <row r="57" spans="1:11" ht="19.5" customHeight="1" x14ac:dyDescent="0.25">
      <c r="A57" s="2" t="s">
        <v>123</v>
      </c>
      <c r="B57" s="2" t="s">
        <v>16</v>
      </c>
      <c r="C57" s="2" t="s">
        <v>167</v>
      </c>
      <c r="D57" s="2" t="s">
        <v>168</v>
      </c>
      <c r="E57" s="2" t="s">
        <v>169</v>
      </c>
      <c r="F57" s="3">
        <v>82419.28</v>
      </c>
      <c r="G57" s="3">
        <v>225000</v>
      </c>
      <c r="H57" s="4">
        <v>0</v>
      </c>
      <c r="I57" s="4">
        <v>0</v>
      </c>
      <c r="J57" s="16">
        <f t="shared" si="0"/>
        <v>-1</v>
      </c>
      <c r="K57" s="16" t="str">
        <f t="shared" si="1"/>
        <v>--</v>
      </c>
    </row>
    <row r="58" spans="1:11" ht="19.5" customHeight="1" x14ac:dyDescent="0.25">
      <c r="A58" s="2" t="s">
        <v>123</v>
      </c>
      <c r="B58" s="2" t="s">
        <v>16</v>
      </c>
      <c r="C58" s="2" t="s">
        <v>170</v>
      </c>
      <c r="D58" s="2" t="s">
        <v>171</v>
      </c>
      <c r="E58" s="2" t="s">
        <v>172</v>
      </c>
      <c r="F58" s="3">
        <v>46052</v>
      </c>
      <c r="G58" s="3">
        <v>100000</v>
      </c>
      <c r="H58" s="4">
        <v>100000</v>
      </c>
      <c r="I58" s="4">
        <v>100000</v>
      </c>
      <c r="J58" s="16">
        <f t="shared" si="0"/>
        <v>0</v>
      </c>
      <c r="K58" s="16">
        <f t="shared" si="1"/>
        <v>0</v>
      </c>
    </row>
    <row r="59" spans="1:11" ht="19.5" customHeight="1" x14ac:dyDescent="0.25">
      <c r="A59" s="2" t="s">
        <v>123</v>
      </c>
      <c r="B59" s="2" t="s">
        <v>16</v>
      </c>
      <c r="C59" s="2" t="s">
        <v>173</v>
      </c>
      <c r="D59" s="8" t="s">
        <v>174</v>
      </c>
      <c r="E59" s="2" t="s">
        <v>175</v>
      </c>
      <c r="F59" s="3">
        <v>0</v>
      </c>
      <c r="G59" s="3">
        <v>0</v>
      </c>
      <c r="H59" s="4">
        <v>0</v>
      </c>
      <c r="I59" s="4">
        <v>0</v>
      </c>
      <c r="J59" s="16" t="str">
        <f t="shared" si="0"/>
        <v>--</v>
      </c>
      <c r="K59" s="16" t="str">
        <f t="shared" si="1"/>
        <v>--</v>
      </c>
    </row>
    <row r="60" spans="1:11" ht="19.5" customHeight="1" x14ac:dyDescent="0.25">
      <c r="A60" s="2" t="s">
        <v>123</v>
      </c>
      <c r="B60" s="2" t="s">
        <v>16</v>
      </c>
      <c r="C60" s="2" t="s">
        <v>176</v>
      </c>
      <c r="D60" s="2" t="s">
        <v>177</v>
      </c>
      <c r="E60" s="2" t="s">
        <v>178</v>
      </c>
      <c r="F60" s="3">
        <v>7956926.4500000002</v>
      </c>
      <c r="G60" s="3">
        <v>8206607</v>
      </c>
      <c r="H60" s="4">
        <v>9276000</v>
      </c>
      <c r="I60" s="4">
        <v>9276000</v>
      </c>
      <c r="J60" s="16">
        <f t="shared" si="0"/>
        <v>0.13030878656672606</v>
      </c>
      <c r="K60" s="16">
        <f t="shared" si="1"/>
        <v>0</v>
      </c>
    </row>
    <row r="61" spans="1:11" ht="19.5" customHeight="1" x14ac:dyDescent="0.25">
      <c r="A61" s="2" t="s">
        <v>123</v>
      </c>
      <c r="B61" s="2" t="s">
        <v>16</v>
      </c>
      <c r="C61" s="2" t="s">
        <v>179</v>
      </c>
      <c r="D61" s="2" t="s">
        <v>180</v>
      </c>
      <c r="E61" s="2" t="s">
        <v>181</v>
      </c>
      <c r="F61" s="3">
        <v>261895.64</v>
      </c>
      <c r="G61" s="3">
        <v>328728</v>
      </c>
      <c r="H61" s="4">
        <v>328728</v>
      </c>
      <c r="I61" s="4">
        <v>328728</v>
      </c>
      <c r="J61" s="16">
        <f t="shared" si="0"/>
        <v>0</v>
      </c>
      <c r="K61" s="16">
        <f t="shared" si="1"/>
        <v>0</v>
      </c>
    </row>
    <row r="62" spans="1:11" ht="19.5" customHeight="1" x14ac:dyDescent="0.25">
      <c r="A62" s="2" t="s">
        <v>123</v>
      </c>
      <c r="B62" s="2" t="s">
        <v>16</v>
      </c>
      <c r="C62" s="2" t="s">
        <v>182</v>
      </c>
      <c r="D62" s="2" t="s">
        <v>183</v>
      </c>
      <c r="E62" s="2" t="s">
        <v>184</v>
      </c>
      <c r="F62" s="3">
        <v>1096002.8400000001</v>
      </c>
      <c r="G62" s="3">
        <v>2000000</v>
      </c>
      <c r="H62" s="4">
        <v>2650000</v>
      </c>
      <c r="I62" s="4">
        <v>2650000</v>
      </c>
      <c r="J62" s="16">
        <f t="shared" si="0"/>
        <v>0.32499999999999996</v>
      </c>
      <c r="K62" s="16">
        <f t="shared" si="1"/>
        <v>0</v>
      </c>
    </row>
    <row r="63" spans="1:11" ht="19.5" customHeight="1" x14ac:dyDescent="0.25">
      <c r="A63" s="2" t="s">
        <v>123</v>
      </c>
      <c r="B63" s="2" t="s">
        <v>44</v>
      </c>
      <c r="C63" s="2" t="s">
        <v>185</v>
      </c>
      <c r="D63" s="2" t="s">
        <v>186</v>
      </c>
      <c r="E63" s="2" t="s">
        <v>187</v>
      </c>
      <c r="F63" s="3">
        <v>9098615.0399999991</v>
      </c>
      <c r="G63" s="3">
        <v>8961419</v>
      </c>
      <c r="H63" s="4">
        <v>13561582</v>
      </c>
      <c r="I63" s="4">
        <v>13561582</v>
      </c>
      <c r="J63" s="16">
        <f t="shared" si="0"/>
        <v>0.51332975279919402</v>
      </c>
      <c r="K63" s="16">
        <f t="shared" si="1"/>
        <v>0</v>
      </c>
    </row>
    <row r="64" spans="1:11" ht="19.5" customHeight="1" x14ac:dyDescent="0.25">
      <c r="A64" s="2" t="s">
        <v>123</v>
      </c>
      <c r="B64" s="2" t="s">
        <v>44</v>
      </c>
      <c r="C64" s="2" t="s">
        <v>188</v>
      </c>
      <c r="D64" s="2" t="s">
        <v>189</v>
      </c>
      <c r="E64" s="2" t="s">
        <v>190</v>
      </c>
      <c r="F64" s="3">
        <v>106472104.5</v>
      </c>
      <c r="G64" s="4">
        <v>106553897</v>
      </c>
      <c r="H64" s="4">
        <v>90000000</v>
      </c>
      <c r="I64" s="4">
        <v>90000000</v>
      </c>
      <c r="J64" s="16">
        <f t="shared" si="0"/>
        <v>-0.15535703025483905</v>
      </c>
      <c r="K64" s="16">
        <f t="shared" si="1"/>
        <v>0</v>
      </c>
    </row>
    <row r="65" spans="1:11" ht="19.5" customHeight="1" x14ac:dyDescent="0.25">
      <c r="A65" s="2" t="s">
        <v>123</v>
      </c>
      <c r="B65" s="2" t="s">
        <v>44</v>
      </c>
      <c r="C65" s="2" t="s">
        <v>191</v>
      </c>
      <c r="D65" s="2" t="s">
        <v>192</v>
      </c>
      <c r="E65" s="2" t="s">
        <v>193</v>
      </c>
      <c r="F65" s="3">
        <v>1693668.35</v>
      </c>
      <c r="G65" s="3">
        <v>4020999</v>
      </c>
      <c r="H65" s="4">
        <v>4020999</v>
      </c>
      <c r="I65" s="4">
        <v>4020999</v>
      </c>
      <c r="J65" s="16">
        <f t="shared" si="0"/>
        <v>0</v>
      </c>
      <c r="K65" s="16">
        <f t="shared" si="1"/>
        <v>0</v>
      </c>
    </row>
    <row r="66" spans="1:11" ht="19.5" customHeight="1" x14ac:dyDescent="0.25">
      <c r="A66" s="2" t="s">
        <v>123</v>
      </c>
      <c r="B66" s="2" t="s">
        <v>44</v>
      </c>
      <c r="C66" s="2" t="s">
        <v>194</v>
      </c>
      <c r="D66" s="2" t="s">
        <v>195</v>
      </c>
      <c r="E66" s="2" t="s">
        <v>196</v>
      </c>
      <c r="F66" s="3">
        <v>4181897.26</v>
      </c>
      <c r="G66" s="3">
        <v>5000000</v>
      </c>
      <c r="H66" s="4">
        <v>5000000</v>
      </c>
      <c r="I66" s="4">
        <v>5000000</v>
      </c>
      <c r="J66" s="16">
        <f t="shared" si="0"/>
        <v>0</v>
      </c>
      <c r="K66" s="16">
        <f t="shared" si="1"/>
        <v>0</v>
      </c>
    </row>
    <row r="67" spans="1:11" ht="19.5" customHeight="1" x14ac:dyDescent="0.25">
      <c r="A67" s="2" t="s">
        <v>123</v>
      </c>
      <c r="B67" s="2" t="s">
        <v>44</v>
      </c>
      <c r="C67" s="2" t="s">
        <v>197</v>
      </c>
      <c r="D67" s="2" t="s">
        <v>198</v>
      </c>
      <c r="E67" s="2" t="s">
        <v>199</v>
      </c>
      <c r="F67" s="3">
        <v>3357212.61</v>
      </c>
      <c r="G67" s="3">
        <v>5299999</v>
      </c>
      <c r="H67" s="4">
        <v>3500000</v>
      </c>
      <c r="I67" s="4">
        <v>3500000</v>
      </c>
      <c r="J67" s="16">
        <f t="shared" ref="J67:J130" si="2">IFERROR(H67/G67-1,"--")</f>
        <v>-0.33962251690990886</v>
      </c>
      <c r="K67" s="16">
        <f t="shared" ref="K67:K130" si="3">IFERROR(I67/H67-1,"--")</f>
        <v>0</v>
      </c>
    </row>
    <row r="68" spans="1:11" ht="19.5" customHeight="1" x14ac:dyDescent="0.25">
      <c r="A68" s="2" t="s">
        <v>123</v>
      </c>
      <c r="B68" s="2" t="s">
        <v>54</v>
      </c>
      <c r="C68" s="2" t="s">
        <v>54</v>
      </c>
      <c r="D68" s="2" t="s">
        <v>200</v>
      </c>
      <c r="E68" s="2" t="s">
        <v>22</v>
      </c>
      <c r="F68" s="3">
        <v>61765488.530000001</v>
      </c>
      <c r="G68" s="3">
        <v>62958461</v>
      </c>
      <c r="H68" s="4">
        <v>70800000</v>
      </c>
      <c r="I68" s="4">
        <v>71630000</v>
      </c>
      <c r="J68" s="16">
        <f t="shared" si="2"/>
        <v>0.12455099561598248</v>
      </c>
      <c r="K68" s="16">
        <f t="shared" si="3"/>
        <v>1.1723163841807827E-2</v>
      </c>
    </row>
    <row r="69" spans="1:11" ht="19.5" customHeight="1" x14ac:dyDescent="0.25">
      <c r="A69" s="2" t="s">
        <v>123</v>
      </c>
      <c r="B69" s="2" t="s">
        <v>54</v>
      </c>
      <c r="C69" s="2" t="s">
        <v>54</v>
      </c>
      <c r="D69" s="2" t="s">
        <v>201</v>
      </c>
      <c r="E69" s="2" t="s">
        <v>202</v>
      </c>
      <c r="F69" s="3">
        <v>68950</v>
      </c>
      <c r="G69" s="3">
        <v>68950</v>
      </c>
      <c r="H69" s="4">
        <v>68950</v>
      </c>
      <c r="I69" s="4">
        <v>68950</v>
      </c>
      <c r="J69" s="16">
        <f t="shared" si="2"/>
        <v>0</v>
      </c>
      <c r="K69" s="16">
        <f t="shared" si="3"/>
        <v>0</v>
      </c>
    </row>
    <row r="70" spans="1:11" ht="19.5" customHeight="1" x14ac:dyDescent="0.25">
      <c r="A70" s="2" t="s">
        <v>123</v>
      </c>
      <c r="B70" s="2" t="s">
        <v>54</v>
      </c>
      <c r="C70" s="2" t="s">
        <v>54</v>
      </c>
      <c r="D70" s="2" t="s">
        <v>203</v>
      </c>
      <c r="E70" s="2" t="s">
        <v>204</v>
      </c>
      <c r="F70" s="3">
        <v>2513288.41</v>
      </c>
      <c r="G70" s="3">
        <v>2513600</v>
      </c>
      <c r="H70" s="4">
        <v>2525000</v>
      </c>
      <c r="I70" s="4">
        <v>2520000</v>
      </c>
      <c r="J70" s="16">
        <f t="shared" si="2"/>
        <v>4.5353278166773148E-3</v>
      </c>
      <c r="K70" s="16">
        <f t="shared" si="3"/>
        <v>-1.980198019801982E-3</v>
      </c>
    </row>
    <row r="71" spans="1:11" ht="19.5" customHeight="1" x14ac:dyDescent="0.25">
      <c r="A71" s="2" t="s">
        <v>123</v>
      </c>
      <c r="B71" s="2" t="s">
        <v>54</v>
      </c>
      <c r="C71" s="2" t="s">
        <v>54</v>
      </c>
      <c r="D71" s="2" t="s">
        <v>205</v>
      </c>
      <c r="E71" s="2" t="s">
        <v>206</v>
      </c>
      <c r="F71" s="3">
        <v>966750</v>
      </c>
      <c r="G71" s="3">
        <v>1000554</v>
      </c>
      <c r="H71" s="4">
        <v>1024983</v>
      </c>
      <c r="I71" s="4">
        <v>1043558</v>
      </c>
      <c r="J71" s="16">
        <f t="shared" si="2"/>
        <v>2.4415473827499534E-2</v>
      </c>
      <c r="K71" s="16">
        <f t="shared" si="3"/>
        <v>1.8122251783688093E-2</v>
      </c>
    </row>
    <row r="72" spans="1:11" ht="19.5" customHeight="1" x14ac:dyDescent="0.25">
      <c r="A72" s="2" t="s">
        <v>123</v>
      </c>
      <c r="B72" s="2" t="s">
        <v>54</v>
      </c>
      <c r="C72" s="2" t="s">
        <v>54</v>
      </c>
      <c r="D72" s="2" t="s">
        <v>207</v>
      </c>
      <c r="E72" s="2" t="s">
        <v>208</v>
      </c>
      <c r="F72" s="3">
        <v>1238437</v>
      </c>
      <c r="G72" s="3">
        <v>1278630</v>
      </c>
      <c r="H72" s="4">
        <v>1317602</v>
      </c>
      <c r="I72" s="4">
        <v>1340208</v>
      </c>
      <c r="J72" s="16">
        <f t="shared" si="2"/>
        <v>3.0479497587261317E-2</v>
      </c>
      <c r="K72" s="16">
        <f t="shared" si="3"/>
        <v>1.7156925991308469E-2</v>
      </c>
    </row>
    <row r="73" spans="1:11" ht="19.5" customHeight="1" x14ac:dyDescent="0.25">
      <c r="A73" s="2" t="s">
        <v>123</v>
      </c>
      <c r="B73" s="2" t="s">
        <v>54</v>
      </c>
      <c r="C73" s="2" t="s">
        <v>54</v>
      </c>
      <c r="D73" s="2" t="s">
        <v>209</v>
      </c>
      <c r="E73" s="2" t="s">
        <v>210</v>
      </c>
      <c r="F73" s="3">
        <v>961667.6</v>
      </c>
      <c r="G73" s="3">
        <v>1250000</v>
      </c>
      <c r="H73" s="4">
        <v>1500000</v>
      </c>
      <c r="I73" s="4">
        <v>1500000</v>
      </c>
      <c r="J73" s="16">
        <f t="shared" si="2"/>
        <v>0.19999999999999996</v>
      </c>
      <c r="K73" s="16">
        <f t="shared" si="3"/>
        <v>0</v>
      </c>
    </row>
    <row r="74" spans="1:11" ht="19.5" customHeight="1" x14ac:dyDescent="0.25">
      <c r="A74" s="2" t="s">
        <v>123</v>
      </c>
      <c r="B74" s="2" t="s">
        <v>54</v>
      </c>
      <c r="C74" s="2" t="s">
        <v>54</v>
      </c>
      <c r="D74" s="2" t="s">
        <v>211</v>
      </c>
      <c r="E74" s="2" t="s">
        <v>212</v>
      </c>
      <c r="F74" s="3">
        <v>707105.86</v>
      </c>
      <c r="G74" s="3">
        <v>0</v>
      </c>
      <c r="H74" s="4">
        <v>964100</v>
      </c>
      <c r="I74" s="4">
        <v>964100</v>
      </c>
      <c r="J74" s="16" t="str">
        <f t="shared" si="2"/>
        <v>--</v>
      </c>
      <c r="K74" s="16">
        <f t="shared" si="3"/>
        <v>0</v>
      </c>
    </row>
    <row r="75" spans="1:11" ht="19.5" customHeight="1" x14ac:dyDescent="0.25">
      <c r="A75" s="2" t="s">
        <v>123</v>
      </c>
      <c r="B75" s="2" t="s">
        <v>54</v>
      </c>
      <c r="C75" s="2" t="s">
        <v>54</v>
      </c>
      <c r="D75" s="2" t="s">
        <v>213</v>
      </c>
      <c r="E75" s="2" t="s">
        <v>214</v>
      </c>
      <c r="F75" s="3">
        <v>437458.9</v>
      </c>
      <c r="G75" s="3">
        <v>500000</v>
      </c>
      <c r="H75" s="4">
        <v>500000</v>
      </c>
      <c r="I75" s="4">
        <v>500000</v>
      </c>
      <c r="J75" s="16">
        <f t="shared" si="2"/>
        <v>0</v>
      </c>
      <c r="K75" s="16">
        <f t="shared" si="3"/>
        <v>0</v>
      </c>
    </row>
    <row r="76" spans="1:11" ht="19.5" customHeight="1" x14ac:dyDescent="0.25">
      <c r="A76" s="6" t="s">
        <v>123</v>
      </c>
      <c r="B76" s="6" t="s">
        <v>54</v>
      </c>
      <c r="C76" s="6" t="s">
        <v>54</v>
      </c>
      <c r="D76" s="7" t="s">
        <v>215</v>
      </c>
      <c r="E76" s="6" t="s">
        <v>216</v>
      </c>
      <c r="F76" s="4">
        <v>0</v>
      </c>
      <c r="G76" s="4">
        <v>0</v>
      </c>
      <c r="H76" s="4">
        <v>1000000</v>
      </c>
      <c r="I76" s="4">
        <v>400000</v>
      </c>
      <c r="J76" s="16" t="str">
        <f t="shared" si="2"/>
        <v>--</v>
      </c>
      <c r="K76" s="16">
        <f t="shared" si="3"/>
        <v>-0.6</v>
      </c>
    </row>
    <row r="77" spans="1:11" ht="19.5" customHeight="1" x14ac:dyDescent="0.25">
      <c r="A77" s="6" t="s">
        <v>123</v>
      </c>
      <c r="B77" s="6" t="s">
        <v>54</v>
      </c>
      <c r="C77" s="6" t="s">
        <v>54</v>
      </c>
      <c r="D77" s="7" t="s">
        <v>226</v>
      </c>
      <c r="E77" s="6" t="s">
        <v>129</v>
      </c>
      <c r="F77" s="9">
        <v>0</v>
      </c>
      <c r="G77" s="9">
        <v>0</v>
      </c>
      <c r="H77" s="4">
        <v>2500000</v>
      </c>
      <c r="I77" s="4">
        <v>0</v>
      </c>
      <c r="J77" s="16" t="str">
        <f t="shared" si="2"/>
        <v>--</v>
      </c>
      <c r="K77" s="16">
        <f t="shared" si="3"/>
        <v>-1</v>
      </c>
    </row>
    <row r="78" spans="1:11" ht="19.5" customHeight="1" x14ac:dyDescent="0.25">
      <c r="A78" s="2" t="s">
        <v>123</v>
      </c>
      <c r="B78" s="2" t="s">
        <v>54</v>
      </c>
      <c r="C78" s="2" t="s">
        <v>54</v>
      </c>
      <c r="D78" s="2" t="s">
        <v>217</v>
      </c>
      <c r="E78" s="2" t="s">
        <v>218</v>
      </c>
      <c r="F78" s="3">
        <v>4393053.91</v>
      </c>
      <c r="G78" s="3">
        <v>4800000</v>
      </c>
      <c r="H78" s="4">
        <v>10000000</v>
      </c>
      <c r="I78" s="4">
        <v>7300000</v>
      </c>
      <c r="J78" s="16">
        <f t="shared" si="2"/>
        <v>1.0833333333333335</v>
      </c>
      <c r="K78" s="16">
        <f t="shared" si="3"/>
        <v>-0.27</v>
      </c>
    </row>
    <row r="79" spans="1:11" ht="19.5" customHeight="1" x14ac:dyDescent="0.25">
      <c r="A79" s="2" t="s">
        <v>123</v>
      </c>
      <c r="B79" s="2" t="s">
        <v>54</v>
      </c>
      <c r="C79" s="2" t="s">
        <v>54</v>
      </c>
      <c r="D79" s="2" t="s">
        <v>219</v>
      </c>
      <c r="E79" s="2" t="s">
        <v>220</v>
      </c>
      <c r="F79" s="3">
        <v>7220500.6600000001</v>
      </c>
      <c r="G79" s="3">
        <v>8000000</v>
      </c>
      <c r="H79" s="4">
        <v>12000000</v>
      </c>
      <c r="I79" s="4">
        <v>12000000</v>
      </c>
      <c r="J79" s="16">
        <f t="shared" si="2"/>
        <v>0.5</v>
      </c>
      <c r="K79" s="16">
        <f t="shared" si="3"/>
        <v>0</v>
      </c>
    </row>
    <row r="80" spans="1:11" ht="19.5" customHeight="1" x14ac:dyDescent="0.25">
      <c r="A80" s="2" t="s">
        <v>123</v>
      </c>
      <c r="B80" s="2" t="s">
        <v>54</v>
      </c>
      <c r="C80" s="2" t="s">
        <v>54</v>
      </c>
      <c r="D80" s="2" t="s">
        <v>221</v>
      </c>
      <c r="E80" s="2" t="s">
        <v>222</v>
      </c>
      <c r="F80" s="3">
        <v>914375</v>
      </c>
      <c r="G80" s="3">
        <v>1000000</v>
      </c>
      <c r="H80" s="4">
        <v>5000000</v>
      </c>
      <c r="I80" s="4">
        <v>2500000</v>
      </c>
      <c r="J80" s="16">
        <f t="shared" si="2"/>
        <v>4</v>
      </c>
      <c r="K80" s="16">
        <f t="shared" si="3"/>
        <v>-0.5</v>
      </c>
    </row>
    <row r="81" spans="1:11" ht="19.5" customHeight="1" x14ac:dyDescent="0.25">
      <c r="A81" s="2" t="s">
        <v>123</v>
      </c>
      <c r="B81" s="2" t="s">
        <v>54</v>
      </c>
      <c r="C81" s="2" t="s">
        <v>54</v>
      </c>
      <c r="D81" s="2" t="s">
        <v>223</v>
      </c>
      <c r="E81" s="2" t="s">
        <v>224</v>
      </c>
      <c r="F81" s="3">
        <v>216108.4</v>
      </c>
      <c r="G81" s="3">
        <v>783892</v>
      </c>
      <c r="H81" s="4">
        <v>300000</v>
      </c>
      <c r="I81" s="4">
        <v>0</v>
      </c>
      <c r="J81" s="16">
        <f t="shared" si="2"/>
        <v>-0.61729421910161086</v>
      </c>
      <c r="K81" s="16">
        <f t="shared" si="3"/>
        <v>-1</v>
      </c>
    </row>
    <row r="82" spans="1:11" ht="19.5" customHeight="1" x14ac:dyDescent="0.25">
      <c r="A82" s="6" t="s">
        <v>123</v>
      </c>
      <c r="B82" s="6" t="s">
        <v>54</v>
      </c>
      <c r="C82" s="6" t="s">
        <v>54</v>
      </c>
      <c r="D82" s="7" t="s">
        <v>225</v>
      </c>
      <c r="E82" s="6" t="s">
        <v>175</v>
      </c>
      <c r="F82" s="9">
        <v>0</v>
      </c>
      <c r="G82" s="9">
        <v>0</v>
      </c>
      <c r="H82" s="4">
        <v>15000000</v>
      </c>
      <c r="I82" s="4">
        <v>0</v>
      </c>
      <c r="J82" s="16" t="str">
        <f t="shared" si="2"/>
        <v>--</v>
      </c>
      <c r="K82" s="16">
        <f t="shared" si="3"/>
        <v>-1</v>
      </c>
    </row>
    <row r="83" spans="1:11" ht="19.5" customHeight="1" x14ac:dyDescent="0.25">
      <c r="A83" s="2" t="s">
        <v>123</v>
      </c>
      <c r="B83" s="2" t="s">
        <v>227</v>
      </c>
      <c r="C83" s="2" t="s">
        <v>228</v>
      </c>
      <c r="D83" s="2" t="s">
        <v>229</v>
      </c>
      <c r="E83" s="2" t="s">
        <v>230</v>
      </c>
      <c r="F83" s="3">
        <v>2052484.62</v>
      </c>
      <c r="G83" s="3">
        <v>4000000</v>
      </c>
      <c r="H83" s="4">
        <v>1000000</v>
      </c>
      <c r="I83" s="4">
        <v>1000000</v>
      </c>
      <c r="J83" s="16">
        <f t="shared" si="2"/>
        <v>-0.75</v>
      </c>
      <c r="K83" s="16">
        <f t="shared" si="3"/>
        <v>0</v>
      </c>
    </row>
    <row r="84" spans="1:11" ht="19.5" customHeight="1" x14ac:dyDescent="0.25">
      <c r="A84" s="2" t="s">
        <v>123</v>
      </c>
      <c r="B84" s="2" t="s">
        <v>227</v>
      </c>
      <c r="C84" s="2" t="s">
        <v>231</v>
      </c>
      <c r="D84" s="2" t="s">
        <v>232</v>
      </c>
      <c r="E84" s="2" t="s">
        <v>233</v>
      </c>
      <c r="F84" s="3">
        <v>370991.57</v>
      </c>
      <c r="G84" s="3">
        <v>1000000</v>
      </c>
      <c r="H84" s="4">
        <v>1000000</v>
      </c>
      <c r="I84" s="4">
        <v>1000000</v>
      </c>
      <c r="J84" s="16">
        <f t="shared" si="2"/>
        <v>0</v>
      </c>
      <c r="K84" s="16">
        <f t="shared" si="3"/>
        <v>0</v>
      </c>
    </row>
    <row r="85" spans="1:11" ht="19.5" customHeight="1" x14ac:dyDescent="0.25">
      <c r="A85" s="2" t="s">
        <v>123</v>
      </c>
      <c r="B85" s="2" t="s">
        <v>227</v>
      </c>
      <c r="C85" s="2" t="s">
        <v>234</v>
      </c>
      <c r="D85" s="2" t="s">
        <v>235</v>
      </c>
      <c r="E85" s="2" t="s">
        <v>236</v>
      </c>
      <c r="F85" s="3">
        <v>331457.31</v>
      </c>
      <c r="G85" s="3">
        <v>1000000</v>
      </c>
      <c r="H85" s="4">
        <v>1000000</v>
      </c>
      <c r="I85" s="4">
        <v>1000000</v>
      </c>
      <c r="J85" s="16">
        <f t="shared" si="2"/>
        <v>0</v>
      </c>
      <c r="K85" s="16">
        <f t="shared" si="3"/>
        <v>0</v>
      </c>
    </row>
    <row r="86" spans="1:11" ht="19.5" customHeight="1" x14ac:dyDescent="0.25">
      <c r="A86" s="2" t="s">
        <v>123</v>
      </c>
      <c r="B86" s="2" t="s">
        <v>227</v>
      </c>
      <c r="C86" s="2" t="s">
        <v>237</v>
      </c>
      <c r="D86" s="2" t="s">
        <v>238</v>
      </c>
      <c r="E86" s="2" t="s">
        <v>239</v>
      </c>
      <c r="F86" s="3">
        <v>31680.14</v>
      </c>
      <c r="G86" s="3">
        <v>225000</v>
      </c>
      <c r="H86" s="4">
        <v>750000</v>
      </c>
      <c r="I86" s="4">
        <v>750000</v>
      </c>
      <c r="J86" s="16">
        <f t="shared" si="2"/>
        <v>2.3333333333333335</v>
      </c>
      <c r="K86" s="16">
        <f t="shared" si="3"/>
        <v>0</v>
      </c>
    </row>
    <row r="87" spans="1:11" ht="19.5" customHeight="1" x14ac:dyDescent="0.25">
      <c r="A87" s="2" t="s">
        <v>123</v>
      </c>
      <c r="B87" s="2" t="s">
        <v>227</v>
      </c>
      <c r="C87" s="2" t="s">
        <v>240</v>
      </c>
      <c r="D87" s="2" t="s">
        <v>241</v>
      </c>
      <c r="E87" s="2" t="s">
        <v>242</v>
      </c>
      <c r="F87" s="3">
        <v>3135501.97</v>
      </c>
      <c r="G87" s="3">
        <v>4500000</v>
      </c>
      <c r="H87" s="4">
        <v>4500000</v>
      </c>
      <c r="I87" s="4">
        <v>4500000</v>
      </c>
      <c r="J87" s="16">
        <f t="shared" si="2"/>
        <v>0</v>
      </c>
      <c r="K87" s="16">
        <f t="shared" si="3"/>
        <v>0</v>
      </c>
    </row>
    <row r="88" spans="1:11" ht="19.5" customHeight="1" x14ac:dyDescent="0.25">
      <c r="A88" s="2" t="s">
        <v>123</v>
      </c>
      <c r="B88" s="2" t="s">
        <v>243</v>
      </c>
      <c r="C88" s="2" t="s">
        <v>244</v>
      </c>
      <c r="D88" s="2" t="s">
        <v>245</v>
      </c>
      <c r="E88" s="2" t="s">
        <v>246</v>
      </c>
      <c r="F88" s="3">
        <v>8081128.2300000004</v>
      </c>
      <c r="G88" s="3">
        <v>8415500</v>
      </c>
      <c r="H88" s="4">
        <v>9115000</v>
      </c>
      <c r="I88" s="4">
        <v>9115000</v>
      </c>
      <c r="J88" s="16">
        <f t="shared" si="2"/>
        <v>8.3120432535202848E-2</v>
      </c>
      <c r="K88" s="16">
        <f t="shared" si="3"/>
        <v>0</v>
      </c>
    </row>
    <row r="89" spans="1:11" ht="19.5" customHeight="1" x14ac:dyDescent="0.25">
      <c r="A89" s="2" t="s">
        <v>247</v>
      </c>
      <c r="B89" s="2" t="s">
        <v>248</v>
      </c>
      <c r="C89" s="2" t="s">
        <v>249</v>
      </c>
      <c r="D89" s="2" t="s">
        <v>250</v>
      </c>
      <c r="E89" s="2" t="s">
        <v>251</v>
      </c>
      <c r="F89" s="3">
        <v>552878.30000000005</v>
      </c>
      <c r="G89" s="3">
        <v>610000</v>
      </c>
      <c r="H89" s="4">
        <v>610000</v>
      </c>
      <c r="I89" s="4">
        <v>610000</v>
      </c>
      <c r="J89" s="16">
        <f t="shared" si="2"/>
        <v>0</v>
      </c>
      <c r="K89" s="16">
        <f t="shared" si="3"/>
        <v>0</v>
      </c>
    </row>
    <row r="90" spans="1:11" ht="19.5" customHeight="1" x14ac:dyDescent="0.25">
      <c r="A90" s="2" t="s">
        <v>247</v>
      </c>
      <c r="B90" s="2" t="s">
        <v>16</v>
      </c>
      <c r="C90" s="2" t="s">
        <v>252</v>
      </c>
      <c r="D90" s="2" t="s">
        <v>253</v>
      </c>
      <c r="E90" s="2" t="s">
        <v>254</v>
      </c>
      <c r="F90" s="3">
        <v>0</v>
      </c>
      <c r="G90" s="3">
        <v>17500</v>
      </c>
      <c r="H90" s="4">
        <v>17500</v>
      </c>
      <c r="I90" s="4">
        <v>17500</v>
      </c>
      <c r="J90" s="16">
        <f t="shared" si="2"/>
        <v>0</v>
      </c>
      <c r="K90" s="16">
        <f t="shared" si="3"/>
        <v>0</v>
      </c>
    </row>
    <row r="91" spans="1:11" ht="19.5" customHeight="1" x14ac:dyDescent="0.25">
      <c r="A91" s="2" t="s">
        <v>247</v>
      </c>
      <c r="B91" s="2" t="s">
        <v>16</v>
      </c>
      <c r="C91" s="2" t="s">
        <v>255</v>
      </c>
      <c r="D91" s="2" t="s">
        <v>256</v>
      </c>
      <c r="E91" s="2" t="s">
        <v>257</v>
      </c>
      <c r="F91" s="3">
        <v>223514.58</v>
      </c>
      <c r="G91" s="3">
        <v>253000</v>
      </c>
      <c r="H91" s="4">
        <v>240000</v>
      </c>
      <c r="I91" s="4">
        <v>240000</v>
      </c>
      <c r="J91" s="16">
        <f t="shared" si="2"/>
        <v>-5.1383399209486202E-2</v>
      </c>
      <c r="K91" s="16">
        <f t="shared" si="3"/>
        <v>0</v>
      </c>
    </row>
    <row r="92" spans="1:11" ht="19.5" customHeight="1" x14ac:dyDescent="0.25">
      <c r="A92" s="2" t="s">
        <v>247</v>
      </c>
      <c r="B92" s="2" t="s">
        <v>16</v>
      </c>
      <c r="C92" s="2" t="s">
        <v>258</v>
      </c>
      <c r="D92" s="2" t="s">
        <v>259</v>
      </c>
      <c r="E92" s="2" t="s">
        <v>260</v>
      </c>
      <c r="F92" s="3">
        <v>1056710.67</v>
      </c>
      <c r="G92" s="3">
        <v>1550000</v>
      </c>
      <c r="H92" s="4">
        <v>1550000</v>
      </c>
      <c r="I92" s="4">
        <v>1550000</v>
      </c>
      <c r="J92" s="16">
        <f t="shared" si="2"/>
        <v>0</v>
      </c>
      <c r="K92" s="16">
        <f t="shared" si="3"/>
        <v>0</v>
      </c>
    </row>
    <row r="93" spans="1:11" ht="19.5" customHeight="1" x14ac:dyDescent="0.25">
      <c r="A93" s="2" t="s">
        <v>247</v>
      </c>
      <c r="B93" s="2" t="s">
        <v>16</v>
      </c>
      <c r="C93" s="2" t="s">
        <v>261</v>
      </c>
      <c r="D93" s="2" t="s">
        <v>262</v>
      </c>
      <c r="E93" s="2" t="s">
        <v>263</v>
      </c>
      <c r="F93" s="3">
        <v>246683.8</v>
      </c>
      <c r="G93" s="3">
        <v>500000</v>
      </c>
      <c r="H93" s="4">
        <v>425000</v>
      </c>
      <c r="I93" s="4">
        <v>425000</v>
      </c>
      <c r="J93" s="16">
        <f t="shared" si="2"/>
        <v>-0.15000000000000002</v>
      </c>
      <c r="K93" s="16">
        <f t="shared" si="3"/>
        <v>0</v>
      </c>
    </row>
    <row r="94" spans="1:11" ht="19.5" customHeight="1" x14ac:dyDescent="0.25">
      <c r="A94" s="2" t="s">
        <v>247</v>
      </c>
      <c r="B94" s="2" t="s">
        <v>16</v>
      </c>
      <c r="C94" s="2" t="s">
        <v>264</v>
      </c>
      <c r="D94" s="2" t="s">
        <v>265</v>
      </c>
      <c r="E94" s="2" t="s">
        <v>266</v>
      </c>
      <c r="F94" s="3">
        <v>2097535.67</v>
      </c>
      <c r="G94" s="3">
        <v>0</v>
      </c>
      <c r="H94" s="4">
        <v>0</v>
      </c>
      <c r="I94" s="4">
        <v>0</v>
      </c>
      <c r="J94" s="16" t="str">
        <f t="shared" si="2"/>
        <v>--</v>
      </c>
      <c r="K94" s="16" t="str">
        <f t="shared" si="3"/>
        <v>--</v>
      </c>
    </row>
    <row r="95" spans="1:11" ht="19.5" customHeight="1" x14ac:dyDescent="0.25">
      <c r="A95" s="2" t="s">
        <v>247</v>
      </c>
      <c r="B95" s="2" t="s">
        <v>16</v>
      </c>
      <c r="C95" s="2" t="s">
        <v>267</v>
      </c>
      <c r="D95" s="2" t="s">
        <v>268</v>
      </c>
      <c r="E95" s="2" t="s">
        <v>269</v>
      </c>
      <c r="F95" s="3">
        <v>3020370.42</v>
      </c>
      <c r="G95" s="3">
        <v>2426251</v>
      </c>
      <c r="H95" s="4">
        <v>2326251</v>
      </c>
      <c r="I95" s="4">
        <v>2326251</v>
      </c>
      <c r="J95" s="16">
        <f t="shared" si="2"/>
        <v>-4.121585112175119E-2</v>
      </c>
      <c r="K95" s="16">
        <f t="shared" si="3"/>
        <v>0</v>
      </c>
    </row>
    <row r="96" spans="1:11" ht="19.5" customHeight="1" x14ac:dyDescent="0.25">
      <c r="A96" s="2" t="s">
        <v>247</v>
      </c>
      <c r="B96" s="2" t="s">
        <v>16</v>
      </c>
      <c r="C96" s="2" t="s">
        <v>270</v>
      </c>
      <c r="D96" s="2" t="s">
        <v>271</v>
      </c>
      <c r="E96" s="2" t="s">
        <v>272</v>
      </c>
      <c r="F96" s="3">
        <v>18529.78</v>
      </c>
      <c r="G96" s="3">
        <v>50000</v>
      </c>
      <c r="H96" s="4">
        <v>50000</v>
      </c>
      <c r="I96" s="4">
        <v>50000</v>
      </c>
      <c r="J96" s="16">
        <f t="shared" si="2"/>
        <v>0</v>
      </c>
      <c r="K96" s="16">
        <f t="shared" si="3"/>
        <v>0</v>
      </c>
    </row>
    <row r="97" spans="1:11" ht="19.5" customHeight="1" x14ac:dyDescent="0.25">
      <c r="A97" s="2" t="s">
        <v>247</v>
      </c>
      <c r="B97" s="2" t="s">
        <v>16</v>
      </c>
      <c r="C97" s="2" t="s">
        <v>273</v>
      </c>
      <c r="D97" s="2" t="s">
        <v>274</v>
      </c>
      <c r="E97" s="2" t="s">
        <v>275</v>
      </c>
      <c r="F97" s="3">
        <v>83441.070000000007</v>
      </c>
      <c r="G97" s="4">
        <v>101130</v>
      </c>
      <c r="H97" s="4">
        <v>101130</v>
      </c>
      <c r="I97" s="4">
        <v>101130</v>
      </c>
      <c r="J97" s="16">
        <f t="shared" si="2"/>
        <v>0</v>
      </c>
      <c r="K97" s="16">
        <f t="shared" si="3"/>
        <v>0</v>
      </c>
    </row>
    <row r="98" spans="1:11" ht="19.5" customHeight="1" x14ac:dyDescent="0.25">
      <c r="A98" s="2" t="s">
        <v>247</v>
      </c>
      <c r="B98" s="2" t="s">
        <v>16</v>
      </c>
      <c r="C98" s="2" t="s">
        <v>276</v>
      </c>
      <c r="D98" s="2" t="s">
        <v>277</v>
      </c>
      <c r="E98" s="2" t="s">
        <v>278</v>
      </c>
      <c r="F98" s="3">
        <v>963747.01</v>
      </c>
      <c r="G98" s="3">
        <v>1043743</v>
      </c>
      <c r="H98" s="4">
        <v>1071208</v>
      </c>
      <c r="I98" s="4">
        <v>1096240</v>
      </c>
      <c r="J98" s="16">
        <f t="shared" si="2"/>
        <v>2.631394893187311E-2</v>
      </c>
      <c r="K98" s="16">
        <f t="shared" si="3"/>
        <v>2.3368010694468255E-2</v>
      </c>
    </row>
    <row r="99" spans="1:11" ht="19.5" customHeight="1" x14ac:dyDescent="0.25">
      <c r="A99" s="2" t="s">
        <v>247</v>
      </c>
      <c r="B99" s="2" t="s">
        <v>16</v>
      </c>
      <c r="C99" s="2" t="s">
        <v>279</v>
      </c>
      <c r="D99" s="2" t="s">
        <v>280</v>
      </c>
      <c r="E99" s="2" t="s">
        <v>281</v>
      </c>
      <c r="F99" s="3">
        <v>7837.35</v>
      </c>
      <c r="G99" s="3">
        <v>30500</v>
      </c>
      <c r="H99" s="4">
        <v>30500</v>
      </c>
      <c r="I99" s="4">
        <v>30500</v>
      </c>
      <c r="J99" s="16">
        <f t="shared" si="2"/>
        <v>0</v>
      </c>
      <c r="K99" s="16">
        <f t="shared" si="3"/>
        <v>0</v>
      </c>
    </row>
    <row r="100" spans="1:11" ht="19.5" customHeight="1" x14ac:dyDescent="0.25">
      <c r="A100" s="2" t="s">
        <v>247</v>
      </c>
      <c r="B100" s="2" t="s">
        <v>16</v>
      </c>
      <c r="C100" s="2" t="s">
        <v>282</v>
      </c>
      <c r="D100" s="2" t="s">
        <v>283</v>
      </c>
      <c r="E100" s="2" t="s">
        <v>284</v>
      </c>
      <c r="F100" s="3">
        <v>1821290.36</v>
      </c>
      <c r="G100" s="3">
        <v>1852950</v>
      </c>
      <c r="H100" s="4">
        <v>1832950</v>
      </c>
      <c r="I100" s="4">
        <v>1832950</v>
      </c>
      <c r="J100" s="16">
        <f t="shared" si="2"/>
        <v>-1.0793599395558462E-2</v>
      </c>
      <c r="K100" s="16">
        <f t="shared" si="3"/>
        <v>0</v>
      </c>
    </row>
    <row r="101" spans="1:11" ht="19.5" customHeight="1" x14ac:dyDescent="0.25">
      <c r="A101" s="2" t="s">
        <v>247</v>
      </c>
      <c r="B101" s="2" t="s">
        <v>16</v>
      </c>
      <c r="C101" s="2" t="s">
        <v>285</v>
      </c>
      <c r="D101" s="2" t="s">
        <v>286</v>
      </c>
      <c r="E101" s="2" t="s">
        <v>287</v>
      </c>
      <c r="F101" s="3">
        <v>113630.74</v>
      </c>
      <c r="G101" s="3">
        <v>120000</v>
      </c>
      <c r="H101" s="4">
        <v>100000</v>
      </c>
      <c r="I101" s="4">
        <v>100000</v>
      </c>
      <c r="J101" s="16">
        <f t="shared" si="2"/>
        <v>-0.16666666666666663</v>
      </c>
      <c r="K101" s="16">
        <f t="shared" si="3"/>
        <v>0</v>
      </c>
    </row>
    <row r="102" spans="1:11" ht="19.5" customHeight="1" x14ac:dyDescent="0.25">
      <c r="A102" s="2" t="s">
        <v>247</v>
      </c>
      <c r="B102" s="2" t="s">
        <v>16</v>
      </c>
      <c r="C102" s="2" t="s">
        <v>288</v>
      </c>
      <c r="D102" s="2" t="s">
        <v>289</v>
      </c>
      <c r="E102" s="2" t="s">
        <v>290</v>
      </c>
      <c r="F102" s="3">
        <v>1037790.88</v>
      </c>
      <c r="G102" s="3">
        <v>700000</v>
      </c>
      <c r="H102" s="4">
        <v>700000</v>
      </c>
      <c r="I102" s="4">
        <v>1200000</v>
      </c>
      <c r="J102" s="16">
        <f t="shared" si="2"/>
        <v>0</v>
      </c>
      <c r="K102" s="16">
        <f t="shared" si="3"/>
        <v>0.71428571428571419</v>
      </c>
    </row>
    <row r="103" spans="1:11" ht="19.5" customHeight="1" x14ac:dyDescent="0.25">
      <c r="A103" s="2" t="s">
        <v>247</v>
      </c>
      <c r="B103" s="2" t="s">
        <v>16</v>
      </c>
      <c r="C103" s="2" t="s">
        <v>291</v>
      </c>
      <c r="D103" s="2" t="s">
        <v>292</v>
      </c>
      <c r="E103" s="2" t="s">
        <v>293</v>
      </c>
      <c r="F103" s="3">
        <v>356717.5</v>
      </c>
      <c r="G103" s="3">
        <v>361450</v>
      </c>
      <c r="H103" s="4">
        <v>361450</v>
      </c>
      <c r="I103" s="4">
        <v>361450</v>
      </c>
      <c r="J103" s="16">
        <f t="shared" si="2"/>
        <v>0</v>
      </c>
      <c r="K103" s="16">
        <f t="shared" si="3"/>
        <v>0</v>
      </c>
    </row>
    <row r="104" spans="1:11" ht="19.5" customHeight="1" x14ac:dyDescent="0.25">
      <c r="A104" s="2" t="s">
        <v>247</v>
      </c>
      <c r="B104" s="2" t="s">
        <v>16</v>
      </c>
      <c r="C104" s="2" t="s">
        <v>294</v>
      </c>
      <c r="D104" s="2" t="s">
        <v>295</v>
      </c>
      <c r="E104" s="2" t="s">
        <v>296</v>
      </c>
      <c r="F104" s="3">
        <v>275000</v>
      </c>
      <c r="G104" s="4">
        <v>275000</v>
      </c>
      <c r="H104" s="4">
        <v>275000</v>
      </c>
      <c r="I104" s="4">
        <v>275000</v>
      </c>
      <c r="J104" s="16">
        <f t="shared" si="2"/>
        <v>0</v>
      </c>
      <c r="K104" s="16">
        <f t="shared" si="3"/>
        <v>0</v>
      </c>
    </row>
    <row r="105" spans="1:11" ht="19.5" customHeight="1" x14ac:dyDescent="0.25">
      <c r="A105" s="2" t="s">
        <v>247</v>
      </c>
      <c r="B105" s="2" t="s">
        <v>16</v>
      </c>
      <c r="C105" s="2" t="s">
        <v>294</v>
      </c>
      <c r="D105" s="2" t="s">
        <v>297</v>
      </c>
      <c r="E105" s="2" t="s">
        <v>298</v>
      </c>
      <c r="F105" s="3">
        <v>8048750.2800000003</v>
      </c>
      <c r="G105" s="3">
        <v>8000000</v>
      </c>
      <c r="H105" s="4">
        <v>8000000</v>
      </c>
      <c r="I105" s="4">
        <v>8000000</v>
      </c>
      <c r="J105" s="16">
        <f t="shared" si="2"/>
        <v>0</v>
      </c>
      <c r="K105" s="16">
        <f t="shared" si="3"/>
        <v>0</v>
      </c>
    </row>
    <row r="106" spans="1:11" ht="19.5" customHeight="1" x14ac:dyDescent="0.25">
      <c r="A106" s="2" t="s">
        <v>247</v>
      </c>
      <c r="B106" s="2" t="s">
        <v>16</v>
      </c>
      <c r="C106" s="2" t="s">
        <v>35</v>
      </c>
      <c r="D106" s="2" t="s">
        <v>299</v>
      </c>
      <c r="E106" s="2" t="s">
        <v>300</v>
      </c>
      <c r="F106" s="3">
        <v>0</v>
      </c>
      <c r="G106" s="3">
        <v>9400000</v>
      </c>
      <c r="H106" s="4">
        <v>1000000</v>
      </c>
      <c r="I106" s="4">
        <v>0</v>
      </c>
      <c r="J106" s="16">
        <f t="shared" si="2"/>
        <v>-0.8936170212765957</v>
      </c>
      <c r="K106" s="16">
        <f t="shared" si="3"/>
        <v>-1</v>
      </c>
    </row>
    <row r="107" spans="1:11" ht="19.5" customHeight="1" x14ac:dyDescent="0.25">
      <c r="A107" s="2" t="s">
        <v>247</v>
      </c>
      <c r="B107" s="2" t="s">
        <v>16</v>
      </c>
      <c r="C107" s="2" t="s">
        <v>301</v>
      </c>
      <c r="D107" s="2" t="s">
        <v>302</v>
      </c>
      <c r="E107" s="2" t="s">
        <v>303</v>
      </c>
      <c r="F107" s="3">
        <v>1437600.63</v>
      </c>
      <c r="G107" s="3">
        <v>1515298</v>
      </c>
      <c r="H107" s="4">
        <v>1554599</v>
      </c>
      <c r="I107" s="4">
        <v>1590615</v>
      </c>
      <c r="J107" s="16">
        <f t="shared" si="2"/>
        <v>2.5936152492777031E-2</v>
      </c>
      <c r="K107" s="16">
        <f t="shared" si="3"/>
        <v>2.3167389146654616E-2</v>
      </c>
    </row>
    <row r="108" spans="1:11" ht="19.5" customHeight="1" x14ac:dyDescent="0.25">
      <c r="A108" s="2" t="s">
        <v>247</v>
      </c>
      <c r="B108" s="2" t="s">
        <v>16</v>
      </c>
      <c r="C108" s="2" t="s">
        <v>304</v>
      </c>
      <c r="D108" s="2" t="s">
        <v>305</v>
      </c>
      <c r="E108" s="2" t="s">
        <v>306</v>
      </c>
      <c r="F108" s="3">
        <v>1380529.75</v>
      </c>
      <c r="G108" s="3">
        <v>975000</v>
      </c>
      <c r="H108" s="4">
        <v>1269572</v>
      </c>
      <c r="I108" s="4">
        <v>1289718</v>
      </c>
      <c r="J108" s="16">
        <f t="shared" si="2"/>
        <v>0.30212512820512827</v>
      </c>
      <c r="K108" s="16">
        <f t="shared" si="3"/>
        <v>1.5868339881471849E-2</v>
      </c>
    </row>
    <row r="109" spans="1:11" ht="19.5" customHeight="1" x14ac:dyDescent="0.25">
      <c r="A109" s="2" t="s">
        <v>247</v>
      </c>
      <c r="B109" s="2" t="s">
        <v>16</v>
      </c>
      <c r="C109" s="2" t="s">
        <v>307</v>
      </c>
      <c r="D109" s="2" t="s">
        <v>308</v>
      </c>
      <c r="E109" s="2" t="s">
        <v>309</v>
      </c>
      <c r="F109" s="3">
        <v>222743.28</v>
      </c>
      <c r="G109" s="3">
        <v>275000</v>
      </c>
      <c r="H109" s="4">
        <v>245000</v>
      </c>
      <c r="I109" s="4">
        <v>245000</v>
      </c>
      <c r="J109" s="16">
        <f t="shared" si="2"/>
        <v>-0.10909090909090913</v>
      </c>
      <c r="K109" s="16">
        <f t="shared" si="3"/>
        <v>0</v>
      </c>
    </row>
    <row r="110" spans="1:11" ht="19.5" customHeight="1" x14ac:dyDescent="0.25">
      <c r="A110" s="2" t="s">
        <v>247</v>
      </c>
      <c r="B110" s="2" t="s">
        <v>16</v>
      </c>
      <c r="C110" s="2" t="s">
        <v>310</v>
      </c>
      <c r="D110" s="2" t="s">
        <v>311</v>
      </c>
      <c r="E110" s="2" t="s">
        <v>312</v>
      </c>
      <c r="F110" s="3">
        <v>3901.82</v>
      </c>
      <c r="G110" s="3">
        <v>7000</v>
      </c>
      <c r="H110" s="4">
        <v>10000</v>
      </c>
      <c r="I110" s="4">
        <v>10000</v>
      </c>
      <c r="J110" s="16">
        <f t="shared" si="2"/>
        <v>0.4285714285714286</v>
      </c>
      <c r="K110" s="16">
        <f t="shared" si="3"/>
        <v>0</v>
      </c>
    </row>
    <row r="111" spans="1:11" ht="19.5" customHeight="1" x14ac:dyDescent="0.25">
      <c r="A111" s="2" t="s">
        <v>247</v>
      </c>
      <c r="B111" s="2" t="s">
        <v>16</v>
      </c>
      <c r="C111" s="2" t="s">
        <v>313</v>
      </c>
      <c r="D111" s="2" t="s">
        <v>314</v>
      </c>
      <c r="E111" s="2" t="s">
        <v>315</v>
      </c>
      <c r="F111" s="3">
        <v>560456.47</v>
      </c>
      <c r="G111" s="4">
        <v>320000</v>
      </c>
      <c r="H111" s="4">
        <v>460000</v>
      </c>
      <c r="I111" s="4">
        <v>460000</v>
      </c>
      <c r="J111" s="16">
        <f t="shared" si="2"/>
        <v>0.4375</v>
      </c>
      <c r="K111" s="16">
        <f t="shared" si="3"/>
        <v>0</v>
      </c>
    </row>
    <row r="112" spans="1:11" ht="19.5" customHeight="1" x14ac:dyDescent="0.25">
      <c r="A112" s="2" t="s">
        <v>247</v>
      </c>
      <c r="B112" s="2" t="s">
        <v>16</v>
      </c>
      <c r="C112" s="2" t="s">
        <v>316</v>
      </c>
      <c r="D112" s="2" t="s">
        <v>317</v>
      </c>
      <c r="E112" s="2" t="s">
        <v>318</v>
      </c>
      <c r="F112" s="4">
        <v>27508</v>
      </c>
      <c r="G112" s="3">
        <v>12000</v>
      </c>
      <c r="H112" s="4">
        <v>18000</v>
      </c>
      <c r="I112" s="4">
        <v>18000</v>
      </c>
      <c r="J112" s="16">
        <f t="shared" si="2"/>
        <v>0.5</v>
      </c>
      <c r="K112" s="16">
        <f t="shared" si="3"/>
        <v>0</v>
      </c>
    </row>
    <row r="113" spans="1:11" ht="19.5" customHeight="1" x14ac:dyDescent="0.25">
      <c r="A113" s="2" t="s">
        <v>247</v>
      </c>
      <c r="B113" s="2" t="s">
        <v>16</v>
      </c>
      <c r="C113" s="2" t="s">
        <v>319</v>
      </c>
      <c r="D113" s="2" t="s">
        <v>320</v>
      </c>
      <c r="E113" s="2" t="s">
        <v>321</v>
      </c>
      <c r="F113" s="3">
        <v>218000</v>
      </c>
      <c r="G113" s="3">
        <v>30000</v>
      </c>
      <c r="H113" s="4">
        <v>30000</v>
      </c>
      <c r="I113" s="4">
        <v>30000</v>
      </c>
      <c r="J113" s="16">
        <f t="shared" si="2"/>
        <v>0</v>
      </c>
      <c r="K113" s="16">
        <f t="shared" si="3"/>
        <v>0</v>
      </c>
    </row>
    <row r="114" spans="1:11" ht="19.5" customHeight="1" x14ac:dyDescent="0.25">
      <c r="A114" s="2" t="s">
        <v>247</v>
      </c>
      <c r="B114" s="2" t="s">
        <v>16</v>
      </c>
      <c r="C114" s="2" t="s">
        <v>322</v>
      </c>
      <c r="D114" s="2" t="s">
        <v>323</v>
      </c>
      <c r="E114" s="2" t="s">
        <v>324</v>
      </c>
      <c r="F114" s="3">
        <v>502088.93</v>
      </c>
      <c r="G114" s="3">
        <v>515000</v>
      </c>
      <c r="H114" s="4">
        <v>515000</v>
      </c>
      <c r="I114" s="4">
        <v>515000</v>
      </c>
      <c r="J114" s="16">
        <f t="shared" si="2"/>
        <v>0</v>
      </c>
      <c r="K114" s="16">
        <f t="shared" si="3"/>
        <v>0</v>
      </c>
    </row>
    <row r="115" spans="1:11" ht="19.5" customHeight="1" x14ac:dyDescent="0.25">
      <c r="A115" s="2" t="s">
        <v>247</v>
      </c>
      <c r="B115" s="2" t="s">
        <v>16</v>
      </c>
      <c r="C115" s="2" t="s">
        <v>325</v>
      </c>
      <c r="D115" s="2" t="s">
        <v>326</v>
      </c>
      <c r="E115" s="2" t="s">
        <v>327</v>
      </c>
      <c r="F115" s="3">
        <v>214.15</v>
      </c>
      <c r="G115" s="3">
        <v>0</v>
      </c>
      <c r="H115" s="4">
        <v>0</v>
      </c>
      <c r="I115" s="4">
        <v>0</v>
      </c>
      <c r="J115" s="16" t="str">
        <f t="shared" si="2"/>
        <v>--</v>
      </c>
      <c r="K115" s="16" t="str">
        <f t="shared" si="3"/>
        <v>--</v>
      </c>
    </row>
    <row r="116" spans="1:11" ht="19.5" customHeight="1" x14ac:dyDescent="0.25">
      <c r="A116" s="2" t="s">
        <v>247</v>
      </c>
      <c r="B116" s="2" t="s">
        <v>16</v>
      </c>
      <c r="C116" s="2" t="s">
        <v>328</v>
      </c>
      <c r="D116" s="2" t="s">
        <v>329</v>
      </c>
      <c r="E116" s="2" t="s">
        <v>330</v>
      </c>
      <c r="F116" s="3">
        <v>809564.2</v>
      </c>
      <c r="G116" s="3">
        <v>1734000</v>
      </c>
      <c r="H116" s="4">
        <v>1006000</v>
      </c>
      <c r="I116" s="4">
        <v>1006000</v>
      </c>
      <c r="J116" s="16">
        <f t="shared" si="2"/>
        <v>-0.41983852364475205</v>
      </c>
      <c r="K116" s="16">
        <f t="shared" si="3"/>
        <v>0</v>
      </c>
    </row>
    <row r="117" spans="1:11" ht="19.5" customHeight="1" x14ac:dyDescent="0.25">
      <c r="A117" s="6" t="s">
        <v>247</v>
      </c>
      <c r="B117" s="6" t="s">
        <v>16</v>
      </c>
      <c r="C117" s="6" t="s">
        <v>331</v>
      </c>
      <c r="D117" s="7" t="s">
        <v>332</v>
      </c>
      <c r="E117" s="6" t="s">
        <v>333</v>
      </c>
      <c r="F117" s="4">
        <v>0</v>
      </c>
      <c r="G117" s="4">
        <v>0</v>
      </c>
      <c r="H117" s="4">
        <v>0</v>
      </c>
      <c r="I117" s="4">
        <v>0</v>
      </c>
      <c r="J117" s="16" t="str">
        <f t="shared" si="2"/>
        <v>--</v>
      </c>
      <c r="K117" s="16" t="str">
        <f t="shared" si="3"/>
        <v>--</v>
      </c>
    </row>
    <row r="118" spans="1:11" ht="19.5" customHeight="1" x14ac:dyDescent="0.25">
      <c r="A118" s="6" t="s">
        <v>247</v>
      </c>
      <c r="B118" s="6" t="s">
        <v>16</v>
      </c>
      <c r="C118" s="6" t="s">
        <v>334</v>
      </c>
      <c r="D118" s="7" t="s">
        <v>335</v>
      </c>
      <c r="E118" s="6" t="s">
        <v>336</v>
      </c>
      <c r="F118" s="9">
        <v>0</v>
      </c>
      <c r="G118" s="9">
        <v>0</v>
      </c>
      <c r="H118" s="4">
        <v>250000</v>
      </c>
      <c r="I118" s="4">
        <v>250000</v>
      </c>
      <c r="J118" s="16" t="str">
        <f t="shared" si="2"/>
        <v>--</v>
      </c>
      <c r="K118" s="16">
        <f t="shared" si="3"/>
        <v>0</v>
      </c>
    </row>
    <row r="119" spans="1:11" ht="19.5" customHeight="1" x14ac:dyDescent="0.25">
      <c r="A119" s="2" t="s">
        <v>247</v>
      </c>
      <c r="B119" s="2" t="s">
        <v>16</v>
      </c>
      <c r="C119" s="2" t="s">
        <v>337</v>
      </c>
      <c r="D119" s="2" t="s">
        <v>338</v>
      </c>
      <c r="E119" s="2" t="s">
        <v>339</v>
      </c>
      <c r="F119" s="3">
        <v>5260781.8</v>
      </c>
      <c r="G119" s="3">
        <v>5466896</v>
      </c>
      <c r="H119" s="4">
        <v>5840522</v>
      </c>
      <c r="I119" s="4">
        <v>5962715</v>
      </c>
      <c r="J119" s="16">
        <f t="shared" si="2"/>
        <v>6.8343352425215276E-2</v>
      </c>
      <c r="K119" s="16">
        <f t="shared" si="3"/>
        <v>2.0921588857982121E-2</v>
      </c>
    </row>
    <row r="120" spans="1:11" ht="19.5" customHeight="1" x14ac:dyDescent="0.25">
      <c r="A120" s="2" t="s">
        <v>247</v>
      </c>
      <c r="B120" s="2" t="s">
        <v>16</v>
      </c>
      <c r="C120" s="2" t="s">
        <v>340</v>
      </c>
      <c r="D120" s="2" t="s">
        <v>341</v>
      </c>
      <c r="E120" s="2" t="s">
        <v>342</v>
      </c>
      <c r="F120" s="3">
        <v>4697244.75</v>
      </c>
      <c r="G120" s="3">
        <v>4894402</v>
      </c>
      <c r="H120" s="4">
        <v>4894402</v>
      </c>
      <c r="I120" s="4">
        <v>4894402</v>
      </c>
      <c r="J120" s="16">
        <f t="shared" si="2"/>
        <v>0</v>
      </c>
      <c r="K120" s="16">
        <f t="shared" si="3"/>
        <v>0</v>
      </c>
    </row>
    <row r="121" spans="1:11" ht="19.5" customHeight="1" x14ac:dyDescent="0.25">
      <c r="A121" s="2" t="s">
        <v>247</v>
      </c>
      <c r="B121" s="2" t="s">
        <v>16</v>
      </c>
      <c r="C121" s="2" t="s">
        <v>343</v>
      </c>
      <c r="D121" s="2" t="s">
        <v>344</v>
      </c>
      <c r="E121" s="2" t="s">
        <v>345</v>
      </c>
      <c r="F121" s="3">
        <v>2541225.21</v>
      </c>
      <c r="G121" s="3">
        <v>825000</v>
      </c>
      <c r="H121" s="4">
        <v>49300000</v>
      </c>
      <c r="I121" s="4">
        <v>49300000</v>
      </c>
      <c r="J121" s="16">
        <f t="shared" si="2"/>
        <v>58.757575757575758</v>
      </c>
      <c r="K121" s="16">
        <f t="shared" si="3"/>
        <v>0</v>
      </c>
    </row>
    <row r="122" spans="1:11" ht="19.5" customHeight="1" x14ac:dyDescent="0.25">
      <c r="A122" s="2" t="s">
        <v>247</v>
      </c>
      <c r="B122" s="2" t="s">
        <v>44</v>
      </c>
      <c r="C122" s="2" t="s">
        <v>346</v>
      </c>
      <c r="D122" s="2" t="s">
        <v>347</v>
      </c>
      <c r="E122" s="2" t="s">
        <v>348</v>
      </c>
      <c r="F122" s="3">
        <v>4729606.21</v>
      </c>
      <c r="G122" s="3">
        <v>5194424</v>
      </c>
      <c r="H122" s="4">
        <v>5194424</v>
      </c>
      <c r="I122" s="4">
        <v>5194424</v>
      </c>
      <c r="J122" s="16">
        <f t="shared" si="2"/>
        <v>0</v>
      </c>
      <c r="K122" s="16">
        <f t="shared" si="3"/>
        <v>0</v>
      </c>
    </row>
    <row r="123" spans="1:11" ht="19.5" customHeight="1" x14ac:dyDescent="0.25">
      <c r="A123" s="2" t="s">
        <v>247</v>
      </c>
      <c r="B123" s="2" t="s">
        <v>44</v>
      </c>
      <c r="C123" s="2" t="s">
        <v>349</v>
      </c>
      <c r="D123" s="2" t="s">
        <v>350</v>
      </c>
      <c r="E123" s="2" t="s">
        <v>351</v>
      </c>
      <c r="F123" s="3">
        <v>434393.5</v>
      </c>
      <c r="G123" s="3">
        <v>360000</v>
      </c>
      <c r="H123" s="4">
        <v>225000</v>
      </c>
      <c r="I123" s="4">
        <v>225000</v>
      </c>
      <c r="J123" s="16">
        <f t="shared" si="2"/>
        <v>-0.375</v>
      </c>
      <c r="K123" s="16">
        <f t="shared" si="3"/>
        <v>0</v>
      </c>
    </row>
    <row r="124" spans="1:11" ht="19.5" customHeight="1" x14ac:dyDescent="0.25">
      <c r="A124" s="2" t="s">
        <v>247</v>
      </c>
      <c r="B124" s="2" t="s">
        <v>44</v>
      </c>
      <c r="C124" s="2" t="s">
        <v>352</v>
      </c>
      <c r="D124" s="2" t="s">
        <v>353</v>
      </c>
      <c r="E124" s="2" t="s">
        <v>354</v>
      </c>
      <c r="F124" s="3">
        <v>5601026.5199999996</v>
      </c>
      <c r="G124" s="3">
        <v>7000000</v>
      </c>
      <c r="H124" s="4">
        <v>8613000</v>
      </c>
      <c r="I124" s="4">
        <v>8617000</v>
      </c>
      <c r="J124" s="16">
        <f t="shared" si="2"/>
        <v>0.23042857142857143</v>
      </c>
      <c r="K124" s="16">
        <f t="shared" si="3"/>
        <v>4.6441425751764243E-4</v>
      </c>
    </row>
    <row r="125" spans="1:11" ht="19.5" customHeight="1" x14ac:dyDescent="0.25">
      <c r="A125" s="2" t="s">
        <v>247</v>
      </c>
      <c r="B125" s="2" t="s">
        <v>44</v>
      </c>
      <c r="C125" s="2" t="s">
        <v>355</v>
      </c>
      <c r="D125" s="2" t="s">
        <v>356</v>
      </c>
      <c r="E125" s="2" t="s">
        <v>357</v>
      </c>
      <c r="F125" s="3">
        <v>297368.62</v>
      </c>
      <c r="G125" s="3">
        <v>350000</v>
      </c>
      <c r="H125" s="4">
        <v>330000</v>
      </c>
      <c r="I125" s="4">
        <v>330000</v>
      </c>
      <c r="J125" s="16">
        <f t="shared" si="2"/>
        <v>-5.7142857142857162E-2</v>
      </c>
      <c r="K125" s="16">
        <f t="shared" si="3"/>
        <v>0</v>
      </c>
    </row>
    <row r="126" spans="1:11" ht="19.5" customHeight="1" x14ac:dyDescent="0.25">
      <c r="A126" s="2" t="s">
        <v>247</v>
      </c>
      <c r="B126" s="2" t="s">
        <v>44</v>
      </c>
      <c r="C126" s="2" t="s">
        <v>358</v>
      </c>
      <c r="D126" s="2" t="s">
        <v>359</v>
      </c>
      <c r="E126" s="2" t="s">
        <v>360</v>
      </c>
      <c r="F126" s="3">
        <v>431543.82</v>
      </c>
      <c r="G126" s="3">
        <v>1209234</v>
      </c>
      <c r="H126" s="4">
        <v>1237587</v>
      </c>
      <c r="I126" s="4">
        <v>1264214</v>
      </c>
      <c r="J126" s="16">
        <f t="shared" si="2"/>
        <v>2.3447074759723963E-2</v>
      </c>
      <c r="K126" s="16">
        <f t="shared" si="3"/>
        <v>2.1515255089137097E-2</v>
      </c>
    </row>
    <row r="127" spans="1:11" ht="19.5" customHeight="1" x14ac:dyDescent="0.25">
      <c r="A127" s="2" t="s">
        <v>247</v>
      </c>
      <c r="B127" s="2" t="s">
        <v>44</v>
      </c>
      <c r="C127" s="2" t="s">
        <v>361</v>
      </c>
      <c r="D127" s="2" t="s">
        <v>362</v>
      </c>
      <c r="E127" s="2" t="s">
        <v>363</v>
      </c>
      <c r="F127" s="3">
        <v>7002628.75</v>
      </c>
      <c r="G127" s="3">
        <v>6095972</v>
      </c>
      <c r="H127" s="4">
        <v>7295972</v>
      </c>
      <c r="I127" s="4">
        <v>7295972</v>
      </c>
      <c r="J127" s="16">
        <f t="shared" si="2"/>
        <v>0.19685129787341538</v>
      </c>
      <c r="K127" s="16">
        <f t="shared" si="3"/>
        <v>0</v>
      </c>
    </row>
    <row r="128" spans="1:11" ht="19.5" customHeight="1" x14ac:dyDescent="0.25">
      <c r="A128" s="2" t="s">
        <v>247</v>
      </c>
      <c r="B128" s="2" t="s">
        <v>54</v>
      </c>
      <c r="C128" s="2" t="s">
        <v>54</v>
      </c>
      <c r="D128" s="2" t="s">
        <v>364</v>
      </c>
      <c r="E128" s="2" t="s">
        <v>365</v>
      </c>
      <c r="F128" s="3">
        <v>3869772.36</v>
      </c>
      <c r="G128" s="3">
        <v>3700399</v>
      </c>
      <c r="H128" s="4">
        <v>5267266</v>
      </c>
      <c r="I128" s="4">
        <v>5388181</v>
      </c>
      <c r="J128" s="16">
        <f t="shared" si="2"/>
        <v>0.42343190558639754</v>
      </c>
      <c r="K128" s="16">
        <f t="shared" si="3"/>
        <v>2.295593197685486E-2</v>
      </c>
    </row>
    <row r="129" spans="1:11" ht="19.5" customHeight="1" x14ac:dyDescent="0.25">
      <c r="A129" s="2" t="s">
        <v>247</v>
      </c>
      <c r="B129" s="2" t="s">
        <v>54</v>
      </c>
      <c r="C129" s="2" t="s">
        <v>54</v>
      </c>
      <c r="D129" s="2" t="s">
        <v>366</v>
      </c>
      <c r="E129" s="2" t="s">
        <v>367</v>
      </c>
      <c r="F129" s="3">
        <v>1228923.98</v>
      </c>
      <c r="G129" s="3">
        <v>1178459</v>
      </c>
      <c r="H129" s="4">
        <v>1292929</v>
      </c>
      <c r="I129" s="4">
        <v>1342866</v>
      </c>
      <c r="J129" s="16">
        <f t="shared" si="2"/>
        <v>9.7135326727531446E-2</v>
      </c>
      <c r="K129" s="16">
        <f t="shared" si="3"/>
        <v>3.8623157188059087E-2</v>
      </c>
    </row>
    <row r="130" spans="1:11" ht="19.5" customHeight="1" x14ac:dyDescent="0.25">
      <c r="A130" s="2" t="s">
        <v>247</v>
      </c>
      <c r="B130" s="2" t="s">
        <v>54</v>
      </c>
      <c r="C130" s="2" t="s">
        <v>54</v>
      </c>
      <c r="D130" s="2" t="s">
        <v>368</v>
      </c>
      <c r="E130" s="2" t="s">
        <v>369</v>
      </c>
      <c r="F130" s="3">
        <v>99390.84</v>
      </c>
      <c r="G130" s="3">
        <v>70056</v>
      </c>
      <c r="H130" s="4">
        <v>102734</v>
      </c>
      <c r="I130" s="4">
        <v>105096</v>
      </c>
      <c r="J130" s="16">
        <f t="shared" si="2"/>
        <v>0.46645540710288902</v>
      </c>
      <c r="K130" s="16">
        <f t="shared" si="3"/>
        <v>2.2991414721513781E-2</v>
      </c>
    </row>
    <row r="131" spans="1:11" ht="19.5" customHeight="1" x14ac:dyDescent="0.25">
      <c r="A131" s="2" t="s">
        <v>247</v>
      </c>
      <c r="B131" s="2" t="s">
        <v>54</v>
      </c>
      <c r="C131" s="2" t="s">
        <v>54</v>
      </c>
      <c r="D131" s="2" t="s">
        <v>370</v>
      </c>
      <c r="E131" s="2" t="s">
        <v>371</v>
      </c>
      <c r="F131" s="3">
        <v>1351537.43</v>
      </c>
      <c r="G131" s="3">
        <v>1320696</v>
      </c>
      <c r="H131" s="4">
        <v>1467261</v>
      </c>
      <c r="I131" s="4">
        <v>1389965</v>
      </c>
      <c r="J131" s="16">
        <f t="shared" ref="J131:J194" si="4">IFERROR(H131/G131-1,"--")</f>
        <v>0.11097557651420153</v>
      </c>
      <c r="K131" s="16">
        <f t="shared" ref="K131:K194" si="5">IFERROR(I131/H131-1,"--")</f>
        <v>-5.2680470618383546E-2</v>
      </c>
    </row>
    <row r="132" spans="1:11" ht="19.5" customHeight="1" x14ac:dyDescent="0.25">
      <c r="A132" s="2" t="s">
        <v>247</v>
      </c>
      <c r="B132" s="2" t="s">
        <v>54</v>
      </c>
      <c r="C132" s="2" t="s">
        <v>54</v>
      </c>
      <c r="D132" s="2" t="s">
        <v>372</v>
      </c>
      <c r="E132" s="2" t="s">
        <v>373</v>
      </c>
      <c r="F132" s="4">
        <v>1386156.16</v>
      </c>
      <c r="G132" s="3">
        <v>1340046</v>
      </c>
      <c r="H132" s="4">
        <v>1376113</v>
      </c>
      <c r="I132" s="4">
        <v>1408710</v>
      </c>
      <c r="J132" s="16">
        <f t="shared" si="4"/>
        <v>2.6914747702690756E-2</v>
      </c>
      <c r="K132" s="16">
        <f t="shared" si="5"/>
        <v>2.3687734946185479E-2</v>
      </c>
    </row>
    <row r="133" spans="1:11" ht="19.5" customHeight="1" x14ac:dyDescent="0.25">
      <c r="A133" s="2" t="s">
        <v>247</v>
      </c>
      <c r="B133" s="2" t="s">
        <v>54</v>
      </c>
      <c r="C133" s="2" t="s">
        <v>54</v>
      </c>
      <c r="D133" s="2" t="s">
        <v>374</v>
      </c>
      <c r="E133" s="2" t="s">
        <v>375</v>
      </c>
      <c r="F133" s="3">
        <v>75166.509999999995</v>
      </c>
      <c r="G133" s="3">
        <v>34815</v>
      </c>
      <c r="H133" s="4">
        <v>1000000</v>
      </c>
      <c r="I133" s="4">
        <v>500000</v>
      </c>
      <c r="J133" s="16">
        <f t="shared" si="4"/>
        <v>27.723251472066639</v>
      </c>
      <c r="K133" s="16">
        <f t="shared" si="5"/>
        <v>-0.5</v>
      </c>
    </row>
    <row r="134" spans="1:11" ht="19.5" customHeight="1" x14ac:dyDescent="0.25">
      <c r="A134" s="2" t="s">
        <v>247</v>
      </c>
      <c r="B134" s="2" t="s">
        <v>54</v>
      </c>
      <c r="C134" s="2" t="s">
        <v>54</v>
      </c>
      <c r="D134" s="2" t="s">
        <v>376</v>
      </c>
      <c r="E134" s="2" t="s">
        <v>377</v>
      </c>
      <c r="F134" s="3">
        <v>148853.34</v>
      </c>
      <c r="G134" s="4">
        <v>147468</v>
      </c>
      <c r="H134" s="4">
        <v>151708</v>
      </c>
      <c r="I134" s="4">
        <v>155449</v>
      </c>
      <c r="J134" s="16">
        <f t="shared" si="4"/>
        <v>2.8752000433992508E-2</v>
      </c>
      <c r="K134" s="16">
        <f t="shared" si="5"/>
        <v>2.4659213752735498E-2</v>
      </c>
    </row>
    <row r="135" spans="1:11" ht="19.5" customHeight="1" x14ac:dyDescent="0.25">
      <c r="A135" s="2" t="s">
        <v>247</v>
      </c>
      <c r="B135" s="2" t="s">
        <v>54</v>
      </c>
      <c r="C135" s="2" t="s">
        <v>54</v>
      </c>
      <c r="D135" s="2" t="s">
        <v>378</v>
      </c>
      <c r="E135" s="2" t="s">
        <v>379</v>
      </c>
      <c r="F135" s="3">
        <v>593480.65</v>
      </c>
      <c r="G135" s="3">
        <v>614723</v>
      </c>
      <c r="H135" s="4">
        <v>631487</v>
      </c>
      <c r="I135" s="4">
        <v>631487</v>
      </c>
      <c r="J135" s="16">
        <f t="shared" si="4"/>
        <v>2.7270819539857882E-2</v>
      </c>
      <c r="K135" s="16">
        <f t="shared" si="5"/>
        <v>0</v>
      </c>
    </row>
    <row r="136" spans="1:11" ht="19.5" customHeight="1" x14ac:dyDescent="0.25">
      <c r="A136" s="2" t="s">
        <v>247</v>
      </c>
      <c r="B136" s="2" t="s">
        <v>54</v>
      </c>
      <c r="C136" s="2" t="s">
        <v>54</v>
      </c>
      <c r="D136" s="2" t="s">
        <v>380</v>
      </c>
      <c r="E136" s="2" t="s">
        <v>381</v>
      </c>
      <c r="F136" s="3">
        <v>813164.17</v>
      </c>
      <c r="G136" s="3">
        <v>811428</v>
      </c>
      <c r="H136" s="4">
        <v>832288</v>
      </c>
      <c r="I136" s="4">
        <v>851470</v>
      </c>
      <c r="J136" s="16">
        <f t="shared" si="4"/>
        <v>2.570776458293289E-2</v>
      </c>
      <c r="K136" s="16">
        <f t="shared" si="5"/>
        <v>2.3047310546349342E-2</v>
      </c>
    </row>
    <row r="137" spans="1:11" ht="19.5" customHeight="1" x14ac:dyDescent="0.25">
      <c r="A137" s="2" t="s">
        <v>247</v>
      </c>
      <c r="B137" s="2" t="s">
        <v>54</v>
      </c>
      <c r="C137" s="2" t="s">
        <v>54</v>
      </c>
      <c r="D137" s="2" t="s">
        <v>382</v>
      </c>
      <c r="E137" s="2" t="s">
        <v>383</v>
      </c>
      <c r="F137" s="3">
        <v>0</v>
      </c>
      <c r="G137" s="3">
        <v>14515453</v>
      </c>
      <c r="H137" s="4">
        <v>10700000</v>
      </c>
      <c r="I137" s="4">
        <v>10700000</v>
      </c>
      <c r="J137" s="16">
        <f t="shared" si="4"/>
        <v>-0.26285455920666068</v>
      </c>
      <c r="K137" s="16">
        <f t="shared" si="5"/>
        <v>0</v>
      </c>
    </row>
    <row r="138" spans="1:11" ht="19.5" customHeight="1" x14ac:dyDescent="0.25">
      <c r="A138" s="2" t="s">
        <v>247</v>
      </c>
      <c r="B138" s="2" t="s">
        <v>54</v>
      </c>
      <c r="C138" s="2" t="s">
        <v>54</v>
      </c>
      <c r="D138" s="2" t="s">
        <v>384</v>
      </c>
      <c r="E138" s="2" t="s">
        <v>385</v>
      </c>
      <c r="F138" s="3">
        <v>1125791.73</v>
      </c>
      <c r="G138" s="3">
        <v>1145071</v>
      </c>
      <c r="H138" s="4">
        <v>1281483</v>
      </c>
      <c r="I138" s="4">
        <v>1325467</v>
      </c>
      <c r="J138" s="16">
        <f t="shared" si="4"/>
        <v>0.11912973082018485</v>
      </c>
      <c r="K138" s="16">
        <f t="shared" si="5"/>
        <v>3.4322733895026269E-2</v>
      </c>
    </row>
    <row r="139" spans="1:11" ht="19.5" customHeight="1" x14ac:dyDescent="0.25">
      <c r="A139" s="2" t="s">
        <v>247</v>
      </c>
      <c r="B139" s="2" t="s">
        <v>54</v>
      </c>
      <c r="C139" s="2" t="s">
        <v>54</v>
      </c>
      <c r="D139" s="2" t="s">
        <v>386</v>
      </c>
      <c r="E139" s="2" t="s">
        <v>387</v>
      </c>
      <c r="F139" s="3">
        <v>106516.59</v>
      </c>
      <c r="G139" s="3">
        <v>117493</v>
      </c>
      <c r="H139" s="4">
        <v>119843</v>
      </c>
      <c r="I139" s="4">
        <v>122240</v>
      </c>
      <c r="J139" s="16">
        <f t="shared" si="4"/>
        <v>2.0001191560348186E-2</v>
      </c>
      <c r="K139" s="16">
        <f t="shared" si="5"/>
        <v>2.0001168195055152E-2</v>
      </c>
    </row>
    <row r="140" spans="1:11" ht="19.5" customHeight="1" x14ac:dyDescent="0.25">
      <c r="A140" s="2" t="s">
        <v>247</v>
      </c>
      <c r="B140" s="2" t="s">
        <v>54</v>
      </c>
      <c r="C140" s="2" t="s">
        <v>54</v>
      </c>
      <c r="D140" s="2" t="s">
        <v>388</v>
      </c>
      <c r="E140" s="2" t="s">
        <v>312</v>
      </c>
      <c r="F140" s="3">
        <v>546598.72</v>
      </c>
      <c r="G140" s="3">
        <v>604060</v>
      </c>
      <c r="H140" s="4">
        <v>618447</v>
      </c>
      <c r="I140" s="4">
        <v>631310</v>
      </c>
      <c r="J140" s="16">
        <f t="shared" si="4"/>
        <v>2.3817170479753624E-2</v>
      </c>
      <c r="K140" s="16">
        <f t="shared" si="5"/>
        <v>2.0798872013284786E-2</v>
      </c>
    </row>
    <row r="141" spans="1:11" ht="19.5" customHeight="1" x14ac:dyDescent="0.25">
      <c r="A141" s="2" t="s">
        <v>247</v>
      </c>
      <c r="B141" s="2" t="s">
        <v>54</v>
      </c>
      <c r="C141" s="2" t="s">
        <v>54</v>
      </c>
      <c r="D141" s="2" t="s">
        <v>389</v>
      </c>
      <c r="E141" s="2" t="s">
        <v>390</v>
      </c>
      <c r="F141" s="4">
        <v>1235211.68</v>
      </c>
      <c r="G141" s="3">
        <v>1235767</v>
      </c>
      <c r="H141" s="4">
        <v>1269865</v>
      </c>
      <c r="I141" s="4">
        <v>1300401</v>
      </c>
      <c r="J141" s="16">
        <f t="shared" si="4"/>
        <v>2.7592580154673252E-2</v>
      </c>
      <c r="K141" s="16">
        <f t="shared" si="5"/>
        <v>2.4046650628216426E-2</v>
      </c>
    </row>
    <row r="142" spans="1:11" ht="19.5" customHeight="1" x14ac:dyDescent="0.25">
      <c r="A142" s="2" t="s">
        <v>247</v>
      </c>
      <c r="B142" s="2" t="s">
        <v>54</v>
      </c>
      <c r="C142" s="2" t="s">
        <v>54</v>
      </c>
      <c r="D142" s="2" t="s">
        <v>391</v>
      </c>
      <c r="E142" s="2" t="s">
        <v>392</v>
      </c>
      <c r="F142" s="3">
        <v>3464342.79</v>
      </c>
      <c r="G142" s="3">
        <v>3529219</v>
      </c>
      <c r="H142" s="4">
        <v>3658683</v>
      </c>
      <c r="I142" s="4">
        <v>3658683</v>
      </c>
      <c r="J142" s="16">
        <f t="shared" si="4"/>
        <v>3.6683470195530532E-2</v>
      </c>
      <c r="K142" s="16">
        <f t="shared" si="5"/>
        <v>0</v>
      </c>
    </row>
    <row r="143" spans="1:11" ht="19.5" customHeight="1" x14ac:dyDescent="0.25">
      <c r="A143" s="2" t="s">
        <v>247</v>
      </c>
      <c r="B143" s="2" t="s">
        <v>54</v>
      </c>
      <c r="C143" s="2" t="s">
        <v>54</v>
      </c>
      <c r="D143" s="2" t="s">
        <v>393</v>
      </c>
      <c r="E143" s="2" t="s">
        <v>394</v>
      </c>
      <c r="F143" s="3">
        <v>6102832.3600000003</v>
      </c>
      <c r="G143" s="3">
        <v>5882091</v>
      </c>
      <c r="H143" s="4">
        <v>6485605</v>
      </c>
      <c r="I143" s="4">
        <v>6672501</v>
      </c>
      <c r="J143" s="16">
        <f t="shared" si="4"/>
        <v>0.10260194886478291</v>
      </c>
      <c r="K143" s="16">
        <f t="shared" si="5"/>
        <v>2.8817049450282628E-2</v>
      </c>
    </row>
    <row r="144" spans="1:11" ht="19.5" customHeight="1" x14ac:dyDescent="0.25">
      <c r="A144" s="2" t="s">
        <v>247</v>
      </c>
      <c r="B144" s="2" t="s">
        <v>54</v>
      </c>
      <c r="C144" s="2" t="s">
        <v>54</v>
      </c>
      <c r="D144" s="2" t="s">
        <v>395</v>
      </c>
      <c r="E144" s="2" t="s">
        <v>396</v>
      </c>
      <c r="F144" s="3">
        <v>379672.5</v>
      </c>
      <c r="G144" s="3">
        <v>303738</v>
      </c>
      <c r="H144" s="4">
        <v>379673</v>
      </c>
      <c r="I144" s="4">
        <v>379673</v>
      </c>
      <c r="J144" s="16">
        <f t="shared" si="4"/>
        <v>0.2500016461555683</v>
      </c>
      <c r="K144" s="16">
        <f t="shared" si="5"/>
        <v>0</v>
      </c>
    </row>
    <row r="145" spans="1:11" ht="19.5" customHeight="1" x14ac:dyDescent="0.25">
      <c r="A145" s="2" t="s">
        <v>247</v>
      </c>
      <c r="B145" s="2" t="s">
        <v>54</v>
      </c>
      <c r="C145" s="2" t="s">
        <v>54</v>
      </c>
      <c r="D145" s="2" t="s">
        <v>397</v>
      </c>
      <c r="E145" s="2" t="s">
        <v>398</v>
      </c>
      <c r="F145" s="3">
        <v>13215486.380000001</v>
      </c>
      <c r="G145" s="3">
        <v>11063016</v>
      </c>
      <c r="H145" s="4">
        <v>11810000</v>
      </c>
      <c r="I145" s="4">
        <v>11810000</v>
      </c>
      <c r="J145" s="16">
        <f t="shared" si="4"/>
        <v>6.7520827955053209E-2</v>
      </c>
      <c r="K145" s="16">
        <f t="shared" si="5"/>
        <v>0</v>
      </c>
    </row>
    <row r="146" spans="1:11" ht="19.5" customHeight="1" x14ac:dyDescent="0.25">
      <c r="A146" s="2" t="s">
        <v>247</v>
      </c>
      <c r="B146" s="2" t="s">
        <v>54</v>
      </c>
      <c r="C146" s="2" t="s">
        <v>54</v>
      </c>
      <c r="D146" s="2" t="s">
        <v>399</v>
      </c>
      <c r="E146" s="2" t="s">
        <v>290</v>
      </c>
      <c r="F146" s="3">
        <v>399964.15999999997</v>
      </c>
      <c r="G146" s="3">
        <v>400000</v>
      </c>
      <c r="H146" s="4">
        <v>900000</v>
      </c>
      <c r="I146" s="4">
        <v>600000</v>
      </c>
      <c r="J146" s="16">
        <f t="shared" si="4"/>
        <v>1.25</v>
      </c>
      <c r="K146" s="16">
        <f t="shared" si="5"/>
        <v>-0.33333333333333337</v>
      </c>
    </row>
    <row r="147" spans="1:11" ht="19.5" customHeight="1" x14ac:dyDescent="0.25">
      <c r="A147" s="2" t="s">
        <v>247</v>
      </c>
      <c r="B147" s="2" t="s">
        <v>54</v>
      </c>
      <c r="C147" s="2" t="s">
        <v>54</v>
      </c>
      <c r="D147" s="2" t="s">
        <v>400</v>
      </c>
      <c r="E147" s="2" t="s">
        <v>401</v>
      </c>
      <c r="F147" s="3">
        <v>0</v>
      </c>
      <c r="G147" s="3">
        <v>0</v>
      </c>
      <c r="H147" s="4">
        <v>195000</v>
      </c>
      <c r="I147" s="4">
        <v>195000</v>
      </c>
      <c r="J147" s="16" t="str">
        <f t="shared" si="4"/>
        <v>--</v>
      </c>
      <c r="K147" s="16">
        <f t="shared" si="5"/>
        <v>0</v>
      </c>
    </row>
    <row r="148" spans="1:11" ht="19.5" customHeight="1" x14ac:dyDescent="0.25">
      <c r="A148" s="2" t="s">
        <v>247</v>
      </c>
      <c r="B148" s="2" t="s">
        <v>243</v>
      </c>
      <c r="C148" s="2" t="s">
        <v>402</v>
      </c>
      <c r="D148" s="2" t="s">
        <v>403</v>
      </c>
      <c r="E148" s="2" t="s">
        <v>404</v>
      </c>
      <c r="F148" s="3">
        <v>711244.25</v>
      </c>
      <c r="G148" s="3">
        <v>1204626</v>
      </c>
      <c r="H148" s="4">
        <v>1204626</v>
      </c>
      <c r="I148" s="4">
        <v>1204626</v>
      </c>
      <c r="J148" s="16">
        <f t="shared" si="4"/>
        <v>0</v>
      </c>
      <c r="K148" s="16">
        <f t="shared" si="5"/>
        <v>0</v>
      </c>
    </row>
    <row r="149" spans="1:11" ht="19.5" customHeight="1" x14ac:dyDescent="0.25">
      <c r="A149" s="2" t="s">
        <v>247</v>
      </c>
      <c r="B149" s="2" t="s">
        <v>243</v>
      </c>
      <c r="C149" s="2" t="s">
        <v>405</v>
      </c>
      <c r="D149" s="2" t="s">
        <v>406</v>
      </c>
      <c r="E149" s="2" t="s">
        <v>407</v>
      </c>
      <c r="F149" s="3">
        <v>4805048.9800000004</v>
      </c>
      <c r="G149" s="3">
        <v>5524048</v>
      </c>
      <c r="H149" s="4">
        <v>5677844</v>
      </c>
      <c r="I149" s="4">
        <v>5813996</v>
      </c>
      <c r="J149" s="16">
        <f t="shared" si="4"/>
        <v>2.7841177339516188E-2</v>
      </c>
      <c r="K149" s="16">
        <f t="shared" si="5"/>
        <v>2.3979524622374182E-2</v>
      </c>
    </row>
    <row r="150" spans="1:11" ht="19.5" customHeight="1" x14ac:dyDescent="0.25">
      <c r="A150" s="2" t="s">
        <v>408</v>
      </c>
      <c r="B150" s="2" t="s">
        <v>16</v>
      </c>
      <c r="C150" s="2" t="s">
        <v>409</v>
      </c>
      <c r="D150" s="2" t="s">
        <v>410</v>
      </c>
      <c r="E150" s="2" t="s">
        <v>411</v>
      </c>
      <c r="F150" s="3">
        <v>148588.75</v>
      </c>
      <c r="G150" s="3">
        <v>138000</v>
      </c>
      <c r="H150" s="4">
        <v>209000</v>
      </c>
      <c r="I150" s="4">
        <v>211000</v>
      </c>
      <c r="J150" s="16">
        <f t="shared" si="4"/>
        <v>0.51449275362318847</v>
      </c>
      <c r="K150" s="16">
        <f t="shared" si="5"/>
        <v>9.5693779904306719E-3</v>
      </c>
    </row>
    <row r="151" spans="1:11" ht="19.5" customHeight="1" x14ac:dyDescent="0.25">
      <c r="A151" s="2" t="s">
        <v>408</v>
      </c>
      <c r="B151" s="2" t="s">
        <v>16</v>
      </c>
      <c r="C151" s="2" t="s">
        <v>412</v>
      </c>
      <c r="D151" s="2" t="s">
        <v>413</v>
      </c>
      <c r="E151" s="2" t="s">
        <v>22</v>
      </c>
      <c r="F151" s="3">
        <v>463161.83</v>
      </c>
      <c r="G151" s="3">
        <v>673395</v>
      </c>
      <c r="H151" s="4">
        <v>774811</v>
      </c>
      <c r="I151" s="4">
        <v>783347</v>
      </c>
      <c r="J151" s="16">
        <f t="shared" si="4"/>
        <v>0.15060402883894297</v>
      </c>
      <c r="K151" s="16">
        <f t="shared" si="5"/>
        <v>1.1016880245634075E-2</v>
      </c>
    </row>
    <row r="152" spans="1:11" ht="19.5" customHeight="1" x14ac:dyDescent="0.25">
      <c r="A152" s="2" t="s">
        <v>408</v>
      </c>
      <c r="B152" s="2" t="s">
        <v>16</v>
      </c>
      <c r="C152" s="2" t="s">
        <v>414</v>
      </c>
      <c r="D152" s="2" t="s">
        <v>415</v>
      </c>
      <c r="E152" s="2" t="s">
        <v>416</v>
      </c>
      <c r="F152" s="3">
        <v>490618.23</v>
      </c>
      <c r="G152" s="3">
        <v>450000</v>
      </c>
      <c r="H152" s="4">
        <v>300000</v>
      </c>
      <c r="I152" s="4">
        <v>300000</v>
      </c>
      <c r="J152" s="16">
        <f t="shared" si="4"/>
        <v>-0.33333333333333337</v>
      </c>
      <c r="K152" s="16">
        <f t="shared" si="5"/>
        <v>0</v>
      </c>
    </row>
    <row r="153" spans="1:11" ht="19.5" customHeight="1" x14ac:dyDescent="0.25">
      <c r="A153" s="2" t="s">
        <v>417</v>
      </c>
      <c r="B153" s="2" t="s">
        <v>16</v>
      </c>
      <c r="C153" s="2" t="s">
        <v>20</v>
      </c>
      <c r="D153" s="2" t="s">
        <v>418</v>
      </c>
      <c r="E153" s="2" t="s">
        <v>419</v>
      </c>
      <c r="F153" s="3">
        <v>598865</v>
      </c>
      <c r="G153" s="3">
        <v>646294</v>
      </c>
      <c r="H153" s="4">
        <v>633410</v>
      </c>
      <c r="I153" s="4">
        <v>644408</v>
      </c>
      <c r="J153" s="16">
        <f t="shared" si="4"/>
        <v>-1.9935199769764211E-2</v>
      </c>
      <c r="K153" s="16">
        <f t="shared" si="5"/>
        <v>1.7363161301526597E-2</v>
      </c>
    </row>
    <row r="154" spans="1:11" ht="19.5" customHeight="1" x14ac:dyDescent="0.25">
      <c r="A154" s="2" t="s">
        <v>420</v>
      </c>
      <c r="B154" s="2" t="s">
        <v>16</v>
      </c>
      <c r="C154" s="2" t="s">
        <v>421</v>
      </c>
      <c r="D154" s="2" t="s">
        <v>422</v>
      </c>
      <c r="E154" s="2" t="s">
        <v>423</v>
      </c>
      <c r="F154" s="3">
        <v>320464.34000000003</v>
      </c>
      <c r="G154" s="3">
        <v>385000</v>
      </c>
      <c r="H154" s="4">
        <v>385000</v>
      </c>
      <c r="I154" s="4">
        <v>385000</v>
      </c>
      <c r="J154" s="16">
        <f t="shared" si="4"/>
        <v>0</v>
      </c>
      <c r="K154" s="16">
        <f t="shared" si="5"/>
        <v>0</v>
      </c>
    </row>
    <row r="155" spans="1:11" ht="19.5" customHeight="1" x14ac:dyDescent="0.25">
      <c r="A155" s="2" t="s">
        <v>420</v>
      </c>
      <c r="B155" s="2" t="s">
        <v>16</v>
      </c>
      <c r="C155" s="2" t="s">
        <v>424</v>
      </c>
      <c r="D155" s="2" t="s">
        <v>425</v>
      </c>
      <c r="E155" s="2" t="s">
        <v>426</v>
      </c>
      <c r="F155" s="3">
        <v>50705.2</v>
      </c>
      <c r="G155" s="3">
        <v>165000</v>
      </c>
      <c r="H155" s="4">
        <v>165000</v>
      </c>
      <c r="I155" s="4">
        <v>165000</v>
      </c>
      <c r="J155" s="16">
        <f t="shared" si="4"/>
        <v>0</v>
      </c>
      <c r="K155" s="16">
        <f t="shared" si="5"/>
        <v>0</v>
      </c>
    </row>
    <row r="156" spans="1:11" ht="19.5" customHeight="1" x14ac:dyDescent="0.25">
      <c r="A156" s="2" t="s">
        <v>420</v>
      </c>
      <c r="B156" s="2" t="s">
        <v>16</v>
      </c>
      <c r="C156" s="2" t="s">
        <v>35</v>
      </c>
      <c r="D156" s="2" t="s">
        <v>427</v>
      </c>
      <c r="E156" s="2" t="s">
        <v>428</v>
      </c>
      <c r="F156" s="3">
        <v>0</v>
      </c>
      <c r="G156" s="3">
        <v>20000000</v>
      </c>
      <c r="H156" s="4">
        <v>0</v>
      </c>
      <c r="I156" s="4">
        <v>0</v>
      </c>
      <c r="J156" s="16">
        <f t="shared" si="4"/>
        <v>-1</v>
      </c>
      <c r="K156" s="16" t="str">
        <f t="shared" si="5"/>
        <v>--</v>
      </c>
    </row>
    <row r="157" spans="1:11" ht="19.5" customHeight="1" x14ac:dyDescent="0.25">
      <c r="A157" s="2" t="s">
        <v>420</v>
      </c>
      <c r="B157" s="2" t="s">
        <v>44</v>
      </c>
      <c r="C157" s="2" t="s">
        <v>429</v>
      </c>
      <c r="D157" s="2" t="s">
        <v>430</v>
      </c>
      <c r="E157" s="2" t="s">
        <v>431</v>
      </c>
      <c r="F157" s="3">
        <v>661726</v>
      </c>
      <c r="G157" s="3">
        <v>1250000</v>
      </c>
      <c r="H157" s="4">
        <v>1250000</v>
      </c>
      <c r="I157" s="4">
        <v>1250000</v>
      </c>
      <c r="J157" s="16">
        <f t="shared" si="4"/>
        <v>0</v>
      </c>
      <c r="K157" s="16">
        <f t="shared" si="5"/>
        <v>0</v>
      </c>
    </row>
    <row r="158" spans="1:11" ht="19.5" customHeight="1" x14ac:dyDescent="0.25">
      <c r="A158" s="2" t="s">
        <v>420</v>
      </c>
      <c r="B158" s="2" t="s">
        <v>44</v>
      </c>
      <c r="C158" s="2" t="s">
        <v>432</v>
      </c>
      <c r="D158" s="2" t="s">
        <v>433</v>
      </c>
      <c r="E158" s="2" t="s">
        <v>434</v>
      </c>
      <c r="F158" s="3">
        <v>0</v>
      </c>
      <c r="G158" s="4">
        <v>517200</v>
      </c>
      <c r="H158" s="4">
        <v>0</v>
      </c>
      <c r="I158" s="4">
        <v>0</v>
      </c>
      <c r="J158" s="16">
        <f t="shared" si="4"/>
        <v>-1</v>
      </c>
      <c r="K158" s="16" t="str">
        <f t="shared" si="5"/>
        <v>--</v>
      </c>
    </row>
    <row r="159" spans="1:11" ht="19.5" customHeight="1" x14ac:dyDescent="0.25">
      <c r="A159" s="2" t="s">
        <v>420</v>
      </c>
      <c r="B159" s="2" t="s">
        <v>54</v>
      </c>
      <c r="C159" s="2" t="s">
        <v>54</v>
      </c>
      <c r="D159" s="2" t="s">
        <v>435</v>
      </c>
      <c r="E159" s="2" t="s">
        <v>22</v>
      </c>
      <c r="F159" s="3">
        <v>1961093.1200000001</v>
      </c>
      <c r="G159" s="3">
        <v>1961700</v>
      </c>
      <c r="H159" s="4">
        <v>1961700</v>
      </c>
      <c r="I159" s="4">
        <v>1961700</v>
      </c>
      <c r="J159" s="16">
        <f t="shared" si="4"/>
        <v>0</v>
      </c>
      <c r="K159" s="16">
        <f t="shared" si="5"/>
        <v>0</v>
      </c>
    </row>
    <row r="160" spans="1:11" ht="19.5" customHeight="1" x14ac:dyDescent="0.25">
      <c r="A160" s="2" t="s">
        <v>420</v>
      </c>
      <c r="B160" s="2" t="s">
        <v>54</v>
      </c>
      <c r="C160" s="2" t="s">
        <v>54</v>
      </c>
      <c r="D160" s="2" t="s">
        <v>436</v>
      </c>
      <c r="E160" s="2" t="s">
        <v>437</v>
      </c>
      <c r="F160" s="3">
        <v>18186885.5</v>
      </c>
      <c r="G160" s="3">
        <v>14469213</v>
      </c>
      <c r="H160" s="4">
        <v>18038300</v>
      </c>
      <c r="I160" s="4">
        <v>18038300</v>
      </c>
      <c r="J160" s="16">
        <f t="shared" si="4"/>
        <v>0.2466676660299354</v>
      </c>
      <c r="K160" s="16">
        <f t="shared" si="5"/>
        <v>0</v>
      </c>
    </row>
    <row r="161" spans="1:11" ht="19.5" customHeight="1" x14ac:dyDescent="0.25">
      <c r="A161" s="2" t="s">
        <v>438</v>
      </c>
      <c r="B161" s="2" t="s">
        <v>16</v>
      </c>
      <c r="C161" s="2" t="s">
        <v>20</v>
      </c>
      <c r="D161" s="2" t="s">
        <v>439</v>
      </c>
      <c r="E161" s="2" t="s">
        <v>22</v>
      </c>
      <c r="F161" s="3">
        <v>278715.25</v>
      </c>
      <c r="G161" s="3">
        <v>331822</v>
      </c>
      <c r="H161" s="4">
        <v>280501</v>
      </c>
      <c r="I161" s="4">
        <v>275423</v>
      </c>
      <c r="J161" s="16">
        <f t="shared" si="4"/>
        <v>-0.15466424769906761</v>
      </c>
      <c r="K161" s="16">
        <f t="shared" si="5"/>
        <v>-1.810332226979583E-2</v>
      </c>
    </row>
    <row r="162" spans="1:11" ht="19.5" customHeight="1" x14ac:dyDescent="0.25">
      <c r="A162" s="2" t="s">
        <v>440</v>
      </c>
      <c r="B162" s="2" t="s">
        <v>16</v>
      </c>
      <c r="C162" s="2" t="s">
        <v>441</v>
      </c>
      <c r="D162" s="2" t="s">
        <v>442</v>
      </c>
      <c r="E162" s="2" t="s">
        <v>443</v>
      </c>
      <c r="F162" s="3">
        <v>9895772.8800000008</v>
      </c>
      <c r="G162" s="3">
        <v>10302741</v>
      </c>
      <c r="H162" s="4">
        <v>11818035</v>
      </c>
      <c r="I162" s="4">
        <v>11065646</v>
      </c>
      <c r="J162" s="16">
        <f t="shared" si="4"/>
        <v>0.14707678277072089</v>
      </c>
      <c r="K162" s="16">
        <f t="shared" si="5"/>
        <v>-6.3664475524061293E-2</v>
      </c>
    </row>
    <row r="163" spans="1:11" ht="19.5" customHeight="1" x14ac:dyDescent="0.25">
      <c r="A163" s="2" t="s">
        <v>440</v>
      </c>
      <c r="B163" s="2" t="s">
        <v>16</v>
      </c>
      <c r="C163" s="2" t="s">
        <v>444</v>
      </c>
      <c r="D163" s="2" t="s">
        <v>445</v>
      </c>
      <c r="E163" s="2" t="s">
        <v>446</v>
      </c>
      <c r="F163" s="3">
        <v>33562618.574000001</v>
      </c>
      <c r="G163" s="3">
        <v>34448724</v>
      </c>
      <c r="H163" s="4">
        <v>33931168</v>
      </c>
      <c r="I163" s="4">
        <v>32983559</v>
      </c>
      <c r="J163" s="16">
        <f t="shared" si="4"/>
        <v>-1.5023952701412102E-2</v>
      </c>
      <c r="K163" s="16">
        <f t="shared" si="5"/>
        <v>-2.7927391123111378E-2</v>
      </c>
    </row>
    <row r="164" spans="1:11" ht="19.5" customHeight="1" x14ac:dyDescent="0.25">
      <c r="A164" s="2" t="s">
        <v>440</v>
      </c>
      <c r="B164" s="2" t="s">
        <v>16</v>
      </c>
      <c r="C164" s="2" t="s">
        <v>447</v>
      </c>
      <c r="D164" s="2" t="s">
        <v>448</v>
      </c>
      <c r="E164" s="2" t="s">
        <v>449</v>
      </c>
      <c r="F164" s="3">
        <v>217166.42</v>
      </c>
      <c r="G164" s="3">
        <v>200000</v>
      </c>
      <c r="H164" s="4">
        <v>200000</v>
      </c>
      <c r="I164" s="4">
        <v>200000</v>
      </c>
      <c r="J164" s="16">
        <f t="shared" si="4"/>
        <v>0</v>
      </c>
      <c r="K164" s="16">
        <f t="shared" si="5"/>
        <v>0</v>
      </c>
    </row>
    <row r="165" spans="1:11" ht="19.5" customHeight="1" x14ac:dyDescent="0.25">
      <c r="A165" s="2" t="s">
        <v>440</v>
      </c>
      <c r="B165" s="2" t="s">
        <v>16</v>
      </c>
      <c r="C165" s="2" t="s">
        <v>450</v>
      </c>
      <c r="D165" s="2" t="s">
        <v>451</v>
      </c>
      <c r="E165" s="2" t="s">
        <v>452</v>
      </c>
      <c r="F165" s="3">
        <v>105629.47</v>
      </c>
      <c r="G165" s="3">
        <v>100000</v>
      </c>
      <c r="H165" s="4">
        <v>125000</v>
      </c>
      <c r="I165" s="4">
        <v>125000</v>
      </c>
      <c r="J165" s="16">
        <f t="shared" si="4"/>
        <v>0.25</v>
      </c>
      <c r="K165" s="16">
        <f t="shared" si="5"/>
        <v>0</v>
      </c>
    </row>
    <row r="166" spans="1:11" ht="19.5" customHeight="1" x14ac:dyDescent="0.25">
      <c r="A166" s="2" t="s">
        <v>440</v>
      </c>
      <c r="B166" s="2" t="s">
        <v>16</v>
      </c>
      <c r="C166" s="2" t="s">
        <v>453</v>
      </c>
      <c r="D166" s="2" t="s">
        <v>454</v>
      </c>
      <c r="E166" s="2" t="s">
        <v>455</v>
      </c>
      <c r="F166" s="3">
        <v>8385995.21</v>
      </c>
      <c r="G166" s="3">
        <v>10000000</v>
      </c>
      <c r="H166" s="4">
        <v>12215435</v>
      </c>
      <c r="I166" s="4">
        <v>13905599</v>
      </c>
      <c r="J166" s="16">
        <f t="shared" si="4"/>
        <v>0.22154349999999989</v>
      </c>
      <c r="K166" s="16">
        <f t="shared" si="5"/>
        <v>0.13836298093354849</v>
      </c>
    </row>
    <row r="167" spans="1:11" ht="19.5" customHeight="1" x14ac:dyDescent="0.25">
      <c r="A167" s="2" t="s">
        <v>440</v>
      </c>
      <c r="B167" s="2" t="s">
        <v>16</v>
      </c>
      <c r="C167" s="2" t="s">
        <v>456</v>
      </c>
      <c r="D167" s="2" t="s">
        <v>457</v>
      </c>
      <c r="E167" s="2" t="s">
        <v>458</v>
      </c>
      <c r="F167" s="3">
        <v>4623683.54</v>
      </c>
      <c r="G167" s="3">
        <v>6800000</v>
      </c>
      <c r="H167" s="4">
        <v>4142777</v>
      </c>
      <c r="I167" s="4">
        <v>5705108</v>
      </c>
      <c r="J167" s="16">
        <f t="shared" si="4"/>
        <v>-0.39076808823529408</v>
      </c>
      <c r="K167" s="16">
        <f t="shared" si="5"/>
        <v>0.37712167466412017</v>
      </c>
    </row>
    <row r="168" spans="1:11" ht="19.5" customHeight="1" x14ac:dyDescent="0.25">
      <c r="A168" s="2" t="s">
        <v>440</v>
      </c>
      <c r="B168" s="2" t="s">
        <v>54</v>
      </c>
      <c r="C168" s="2" t="s">
        <v>54</v>
      </c>
      <c r="D168" s="2" t="s">
        <v>459</v>
      </c>
      <c r="E168" s="2" t="s">
        <v>22</v>
      </c>
      <c r="F168" s="3">
        <v>942755.12</v>
      </c>
      <c r="G168" s="3">
        <v>0</v>
      </c>
      <c r="H168" s="4">
        <v>0</v>
      </c>
      <c r="I168" s="4">
        <v>0</v>
      </c>
      <c r="J168" s="16" t="str">
        <f t="shared" si="4"/>
        <v>--</v>
      </c>
      <c r="K168" s="16" t="str">
        <f t="shared" si="5"/>
        <v>--</v>
      </c>
    </row>
    <row r="169" spans="1:11" ht="19.5" customHeight="1" x14ac:dyDescent="0.25">
      <c r="A169" s="2" t="s">
        <v>440</v>
      </c>
      <c r="B169" s="2" t="s">
        <v>54</v>
      </c>
      <c r="C169" s="2" t="s">
        <v>54</v>
      </c>
      <c r="D169" s="2" t="s">
        <v>460</v>
      </c>
      <c r="E169" s="2" t="s">
        <v>461</v>
      </c>
      <c r="F169" s="3">
        <v>11468244.859999999</v>
      </c>
      <c r="G169" s="3">
        <v>12189612</v>
      </c>
      <c r="H169" s="4">
        <v>12046143</v>
      </c>
      <c r="I169" s="4">
        <v>12344795</v>
      </c>
      <c r="J169" s="16">
        <f t="shared" si="4"/>
        <v>-1.1769775773010638E-2</v>
      </c>
      <c r="K169" s="16">
        <f t="shared" si="5"/>
        <v>2.4792333944566369E-2</v>
      </c>
    </row>
    <row r="170" spans="1:11" ht="19.5" customHeight="1" x14ac:dyDescent="0.25">
      <c r="A170" s="2" t="s">
        <v>440</v>
      </c>
      <c r="B170" s="2" t="s">
        <v>54</v>
      </c>
      <c r="C170" s="2" t="s">
        <v>54</v>
      </c>
      <c r="D170" s="2" t="s">
        <v>462</v>
      </c>
      <c r="E170" s="2" t="s">
        <v>463</v>
      </c>
      <c r="F170" s="3">
        <v>1556084.94</v>
      </c>
      <c r="G170" s="3">
        <v>1600000</v>
      </c>
      <c r="H170" s="4">
        <v>1950971</v>
      </c>
      <c r="I170" s="4">
        <v>1977596</v>
      </c>
      <c r="J170" s="16">
        <f t="shared" si="4"/>
        <v>0.2193568749999999</v>
      </c>
      <c r="K170" s="16">
        <f t="shared" si="5"/>
        <v>1.3647050622484835E-2</v>
      </c>
    </row>
    <row r="171" spans="1:11" ht="19.5" customHeight="1" x14ac:dyDescent="0.25">
      <c r="A171" s="2" t="s">
        <v>440</v>
      </c>
      <c r="B171" s="2" t="s">
        <v>54</v>
      </c>
      <c r="C171" s="2" t="s">
        <v>54</v>
      </c>
      <c r="D171" s="2" t="s">
        <v>464</v>
      </c>
      <c r="E171" s="2" t="s">
        <v>465</v>
      </c>
      <c r="F171" s="3">
        <v>521070.08000000002</v>
      </c>
      <c r="G171" s="3">
        <v>550000</v>
      </c>
      <c r="H171" s="4">
        <v>550000</v>
      </c>
      <c r="I171" s="4">
        <v>550000</v>
      </c>
      <c r="J171" s="16">
        <f t="shared" si="4"/>
        <v>0</v>
      </c>
      <c r="K171" s="16">
        <f t="shared" si="5"/>
        <v>0</v>
      </c>
    </row>
    <row r="172" spans="1:11" ht="19.5" customHeight="1" x14ac:dyDescent="0.25">
      <c r="A172" s="2" t="s">
        <v>440</v>
      </c>
      <c r="B172" s="2" t="s">
        <v>54</v>
      </c>
      <c r="C172" s="2" t="s">
        <v>54</v>
      </c>
      <c r="D172" s="2" t="s">
        <v>466</v>
      </c>
      <c r="E172" s="2" t="s">
        <v>467</v>
      </c>
      <c r="F172" s="3">
        <v>2230134.62</v>
      </c>
      <c r="G172" s="3">
        <v>2400000</v>
      </c>
      <c r="H172" s="4">
        <v>2400000</v>
      </c>
      <c r="I172" s="4">
        <v>2400000</v>
      </c>
      <c r="J172" s="16">
        <f t="shared" si="4"/>
        <v>0</v>
      </c>
      <c r="K172" s="16">
        <f t="shared" si="5"/>
        <v>0</v>
      </c>
    </row>
    <row r="173" spans="1:11" ht="19.5" customHeight="1" x14ac:dyDescent="0.25">
      <c r="A173" s="2" t="s">
        <v>440</v>
      </c>
      <c r="B173" s="2" t="s">
        <v>54</v>
      </c>
      <c r="C173" s="2" t="s">
        <v>54</v>
      </c>
      <c r="D173" s="2" t="s">
        <v>468</v>
      </c>
      <c r="E173" s="2" t="s">
        <v>469</v>
      </c>
      <c r="F173" s="3">
        <v>25885.1</v>
      </c>
      <c r="G173" s="3">
        <v>0</v>
      </c>
      <c r="H173" s="4">
        <v>0</v>
      </c>
      <c r="I173" s="4">
        <v>0</v>
      </c>
      <c r="J173" s="16" t="str">
        <f t="shared" si="4"/>
        <v>--</v>
      </c>
      <c r="K173" s="16" t="str">
        <f t="shared" si="5"/>
        <v>--</v>
      </c>
    </row>
    <row r="174" spans="1:11" ht="19.5" customHeight="1" x14ac:dyDescent="0.25">
      <c r="A174" s="2" t="s">
        <v>440</v>
      </c>
      <c r="B174" s="2" t="s">
        <v>54</v>
      </c>
      <c r="C174" s="2" t="s">
        <v>54</v>
      </c>
      <c r="D174" s="2" t="s">
        <v>470</v>
      </c>
      <c r="E174" s="2" t="s">
        <v>471</v>
      </c>
      <c r="F174" s="3">
        <v>12474787.575999999</v>
      </c>
      <c r="G174" s="3">
        <v>13200000</v>
      </c>
      <c r="H174" s="4">
        <v>13200000</v>
      </c>
      <c r="I174" s="4">
        <v>13200000</v>
      </c>
      <c r="J174" s="16">
        <f t="shared" si="4"/>
        <v>0</v>
      </c>
      <c r="K174" s="16">
        <f t="shared" si="5"/>
        <v>0</v>
      </c>
    </row>
    <row r="175" spans="1:11" ht="19.5" customHeight="1" x14ac:dyDescent="0.25">
      <c r="A175" s="2" t="s">
        <v>472</v>
      </c>
      <c r="B175" s="2" t="s">
        <v>16</v>
      </c>
      <c r="C175" s="2" t="s">
        <v>473</v>
      </c>
      <c r="D175" s="2" t="s">
        <v>474</v>
      </c>
      <c r="E175" s="2" t="s">
        <v>475</v>
      </c>
      <c r="F175" s="3">
        <v>921222.15</v>
      </c>
      <c r="G175" s="3">
        <v>1876000</v>
      </c>
      <c r="H175" s="4">
        <v>1688400</v>
      </c>
      <c r="I175" s="4">
        <v>1688400</v>
      </c>
      <c r="J175" s="16">
        <f t="shared" si="4"/>
        <v>-9.9999999999999978E-2</v>
      </c>
      <c r="K175" s="16">
        <f t="shared" si="5"/>
        <v>0</v>
      </c>
    </row>
    <row r="176" spans="1:11" ht="19.5" customHeight="1" x14ac:dyDescent="0.25">
      <c r="A176" s="2" t="s">
        <v>476</v>
      </c>
      <c r="B176" s="2" t="s">
        <v>477</v>
      </c>
      <c r="C176" s="2" t="s">
        <v>478</v>
      </c>
      <c r="D176" s="2" t="s">
        <v>479</v>
      </c>
      <c r="E176" s="2" t="s">
        <v>480</v>
      </c>
      <c r="F176" s="3">
        <v>3464697.24</v>
      </c>
      <c r="G176" s="3">
        <v>4989518</v>
      </c>
      <c r="H176" s="4">
        <v>5000000</v>
      </c>
      <c r="I176" s="4">
        <v>5000000</v>
      </c>
      <c r="J176" s="16">
        <f t="shared" si="4"/>
        <v>2.1008041257692955E-3</v>
      </c>
      <c r="K176" s="16">
        <f t="shared" si="5"/>
        <v>0</v>
      </c>
    </row>
    <row r="177" spans="1:11" ht="19.5" customHeight="1" x14ac:dyDescent="0.25">
      <c r="A177" s="2" t="s">
        <v>476</v>
      </c>
      <c r="B177" s="2" t="s">
        <v>477</v>
      </c>
      <c r="C177" s="2" t="s">
        <v>481</v>
      </c>
      <c r="D177" s="2" t="s">
        <v>482</v>
      </c>
      <c r="E177" s="2" t="s">
        <v>483</v>
      </c>
      <c r="F177" s="3">
        <v>3006080.53</v>
      </c>
      <c r="G177" s="3">
        <v>2910482</v>
      </c>
      <c r="H177" s="4">
        <v>3000000</v>
      </c>
      <c r="I177" s="4">
        <v>3000000</v>
      </c>
      <c r="J177" s="16">
        <f t="shared" si="4"/>
        <v>3.0757104836930838E-2</v>
      </c>
      <c r="K177" s="16">
        <f t="shared" si="5"/>
        <v>0</v>
      </c>
    </row>
    <row r="178" spans="1:11" ht="19.5" customHeight="1" x14ac:dyDescent="0.25">
      <c r="A178" s="2" t="s">
        <v>476</v>
      </c>
      <c r="B178" s="2" t="s">
        <v>16</v>
      </c>
      <c r="C178" s="2" t="s">
        <v>484</v>
      </c>
      <c r="D178" s="2" t="s">
        <v>485</v>
      </c>
      <c r="E178" s="2" t="s">
        <v>486</v>
      </c>
      <c r="F178" s="3">
        <v>567850.84</v>
      </c>
      <c r="G178" s="3">
        <v>744562</v>
      </c>
      <c r="H178" s="4">
        <v>800485</v>
      </c>
      <c r="I178" s="4">
        <v>825000</v>
      </c>
      <c r="J178" s="16">
        <f t="shared" si="4"/>
        <v>7.5108587330537935E-2</v>
      </c>
      <c r="K178" s="16">
        <f t="shared" si="5"/>
        <v>3.0625183482513751E-2</v>
      </c>
    </row>
    <row r="179" spans="1:11" ht="19.5" customHeight="1" x14ac:dyDescent="0.25">
      <c r="A179" s="2" t="s">
        <v>476</v>
      </c>
      <c r="B179" s="2" t="s">
        <v>16</v>
      </c>
      <c r="C179" s="2" t="s">
        <v>487</v>
      </c>
      <c r="D179" s="2" t="s">
        <v>488</v>
      </c>
      <c r="E179" s="2" t="s">
        <v>489</v>
      </c>
      <c r="F179" s="3">
        <v>68101.66</v>
      </c>
      <c r="G179" s="3">
        <v>199250</v>
      </c>
      <c r="H179" s="4">
        <v>199250</v>
      </c>
      <c r="I179" s="4">
        <v>199250</v>
      </c>
      <c r="J179" s="16">
        <f t="shared" si="4"/>
        <v>0</v>
      </c>
      <c r="K179" s="16">
        <f t="shared" si="5"/>
        <v>0</v>
      </c>
    </row>
    <row r="180" spans="1:11" ht="19.5" customHeight="1" x14ac:dyDescent="0.25">
      <c r="A180" s="2" t="s">
        <v>476</v>
      </c>
      <c r="B180" s="2" t="s">
        <v>16</v>
      </c>
      <c r="C180" s="2" t="s">
        <v>490</v>
      </c>
      <c r="D180" s="2" t="s">
        <v>491</v>
      </c>
      <c r="E180" s="2" t="s">
        <v>492</v>
      </c>
      <c r="F180" s="3">
        <v>47991.78</v>
      </c>
      <c r="G180" s="3">
        <v>60000</v>
      </c>
      <c r="H180" s="4">
        <v>63000</v>
      </c>
      <c r="I180" s="4">
        <v>65000</v>
      </c>
      <c r="J180" s="16">
        <f t="shared" si="4"/>
        <v>5.0000000000000044E-2</v>
      </c>
      <c r="K180" s="16">
        <f t="shared" si="5"/>
        <v>3.1746031746031855E-2</v>
      </c>
    </row>
    <row r="181" spans="1:11" ht="19.5" customHeight="1" x14ac:dyDescent="0.25">
      <c r="A181" s="2" t="s">
        <v>476</v>
      </c>
      <c r="B181" s="2" t="s">
        <v>16</v>
      </c>
      <c r="C181" s="2" t="s">
        <v>35</v>
      </c>
      <c r="D181" s="2" t="s">
        <v>493</v>
      </c>
      <c r="E181" s="2" t="s">
        <v>494</v>
      </c>
      <c r="F181" s="3">
        <v>0</v>
      </c>
      <c r="G181" s="3">
        <v>4915000</v>
      </c>
      <c r="H181" s="4">
        <v>0</v>
      </c>
      <c r="I181" s="4">
        <v>0</v>
      </c>
      <c r="J181" s="16">
        <f t="shared" si="4"/>
        <v>-1</v>
      </c>
      <c r="K181" s="16" t="str">
        <f t="shared" si="5"/>
        <v>--</v>
      </c>
    </row>
    <row r="182" spans="1:11" ht="19.5" customHeight="1" x14ac:dyDescent="0.25">
      <c r="A182" s="2" t="s">
        <v>476</v>
      </c>
      <c r="B182" s="2" t="s">
        <v>16</v>
      </c>
      <c r="C182" s="2" t="s">
        <v>35</v>
      </c>
      <c r="D182" s="2" t="s">
        <v>495</v>
      </c>
      <c r="E182" s="2" t="s">
        <v>496</v>
      </c>
      <c r="F182" s="3">
        <v>0</v>
      </c>
      <c r="G182" s="3">
        <v>141123261</v>
      </c>
      <c r="H182" s="4">
        <v>0</v>
      </c>
      <c r="I182" s="4">
        <v>0</v>
      </c>
      <c r="J182" s="16">
        <f t="shared" si="4"/>
        <v>-1</v>
      </c>
      <c r="K182" s="16" t="str">
        <f t="shared" si="5"/>
        <v>--</v>
      </c>
    </row>
    <row r="183" spans="1:11" ht="19.5" customHeight="1" x14ac:dyDescent="0.25">
      <c r="A183" s="2" t="s">
        <v>476</v>
      </c>
      <c r="B183" s="2" t="s">
        <v>16</v>
      </c>
      <c r="C183" s="2" t="s">
        <v>35</v>
      </c>
      <c r="D183" s="2" t="s">
        <v>497</v>
      </c>
      <c r="E183" s="2" t="s">
        <v>498</v>
      </c>
      <c r="F183" s="3">
        <v>0</v>
      </c>
      <c r="G183" s="3">
        <v>78292058</v>
      </c>
      <c r="H183" s="4">
        <v>0</v>
      </c>
      <c r="I183" s="4">
        <v>0</v>
      </c>
      <c r="J183" s="16">
        <f t="shared" si="4"/>
        <v>-1</v>
      </c>
      <c r="K183" s="16" t="str">
        <f t="shared" si="5"/>
        <v>--</v>
      </c>
    </row>
    <row r="184" spans="1:11" ht="19.5" customHeight="1" x14ac:dyDescent="0.25">
      <c r="A184" s="2" t="s">
        <v>476</v>
      </c>
      <c r="B184" s="2" t="s">
        <v>16</v>
      </c>
      <c r="C184" s="2" t="s">
        <v>35</v>
      </c>
      <c r="D184" s="2" t="s">
        <v>499</v>
      </c>
      <c r="E184" s="2" t="s">
        <v>500</v>
      </c>
      <c r="F184" s="3">
        <v>0</v>
      </c>
      <c r="G184" s="3">
        <v>80584681</v>
      </c>
      <c r="H184" s="4">
        <v>0</v>
      </c>
      <c r="I184" s="4">
        <v>0</v>
      </c>
      <c r="J184" s="16">
        <f t="shared" si="4"/>
        <v>-1</v>
      </c>
      <c r="K184" s="16" t="str">
        <f t="shared" si="5"/>
        <v>--</v>
      </c>
    </row>
    <row r="185" spans="1:11" ht="19.5" customHeight="1" x14ac:dyDescent="0.25">
      <c r="A185" s="2" t="s">
        <v>476</v>
      </c>
      <c r="B185" s="2" t="s">
        <v>16</v>
      </c>
      <c r="C185" s="2" t="s">
        <v>501</v>
      </c>
      <c r="D185" s="2" t="s">
        <v>502</v>
      </c>
      <c r="E185" s="2" t="s">
        <v>503</v>
      </c>
      <c r="F185" s="3">
        <v>836853.64</v>
      </c>
      <c r="G185" s="3">
        <v>1000000</v>
      </c>
      <c r="H185" s="4">
        <v>1000000</v>
      </c>
      <c r="I185" s="4">
        <v>1000000</v>
      </c>
      <c r="J185" s="16">
        <f t="shared" si="4"/>
        <v>0</v>
      </c>
      <c r="K185" s="16">
        <f t="shared" si="5"/>
        <v>0</v>
      </c>
    </row>
    <row r="186" spans="1:11" ht="19.5" customHeight="1" x14ac:dyDescent="0.25">
      <c r="A186" s="2" t="s">
        <v>476</v>
      </c>
      <c r="B186" s="2" t="s">
        <v>16</v>
      </c>
      <c r="C186" s="2" t="s">
        <v>504</v>
      </c>
      <c r="D186" s="2" t="s">
        <v>505</v>
      </c>
      <c r="E186" s="2" t="s">
        <v>506</v>
      </c>
      <c r="F186" s="3">
        <v>890064.7</v>
      </c>
      <c r="G186" s="3">
        <v>1402150</v>
      </c>
      <c r="H186" s="4">
        <v>1402150</v>
      </c>
      <c r="I186" s="4">
        <v>1402150</v>
      </c>
      <c r="J186" s="16">
        <f t="shared" si="4"/>
        <v>0</v>
      </c>
      <c r="K186" s="16">
        <f t="shared" si="5"/>
        <v>0</v>
      </c>
    </row>
    <row r="187" spans="1:11" ht="19.5" customHeight="1" x14ac:dyDescent="0.25">
      <c r="A187" s="6" t="s">
        <v>476</v>
      </c>
      <c r="B187" s="6" t="s">
        <v>16</v>
      </c>
      <c r="C187" s="6" t="s">
        <v>507</v>
      </c>
      <c r="D187" s="7" t="s">
        <v>508</v>
      </c>
      <c r="E187" s="6" t="s">
        <v>509</v>
      </c>
      <c r="F187" s="9">
        <v>0</v>
      </c>
      <c r="G187" s="9">
        <v>0</v>
      </c>
      <c r="H187" s="4">
        <v>200000</v>
      </c>
      <c r="I187" s="4">
        <v>200000</v>
      </c>
      <c r="J187" s="16" t="str">
        <f t="shared" si="4"/>
        <v>--</v>
      </c>
      <c r="K187" s="16">
        <f t="shared" si="5"/>
        <v>0</v>
      </c>
    </row>
    <row r="188" spans="1:11" ht="19.5" customHeight="1" x14ac:dyDescent="0.25">
      <c r="A188" s="2" t="s">
        <v>476</v>
      </c>
      <c r="B188" s="2" t="s">
        <v>16</v>
      </c>
      <c r="C188" s="2" t="s">
        <v>507</v>
      </c>
      <c r="D188" s="2" t="s">
        <v>510</v>
      </c>
      <c r="E188" s="2" t="s">
        <v>511</v>
      </c>
      <c r="F188" s="3">
        <v>4702500</v>
      </c>
      <c r="G188" s="3">
        <v>4950000</v>
      </c>
      <c r="H188" s="4">
        <v>0</v>
      </c>
      <c r="I188" s="4">
        <v>0</v>
      </c>
      <c r="J188" s="16">
        <f t="shared" si="4"/>
        <v>-1</v>
      </c>
      <c r="K188" s="16" t="str">
        <f t="shared" si="5"/>
        <v>--</v>
      </c>
    </row>
    <row r="189" spans="1:11" ht="19.5" customHeight="1" x14ac:dyDescent="0.25">
      <c r="A189" s="2" t="s">
        <v>476</v>
      </c>
      <c r="B189" s="2" t="s">
        <v>16</v>
      </c>
      <c r="C189" s="2" t="s">
        <v>512</v>
      </c>
      <c r="D189" s="2" t="s">
        <v>513</v>
      </c>
      <c r="E189" s="2" t="s">
        <v>514</v>
      </c>
      <c r="F189" s="3">
        <v>873000</v>
      </c>
      <c r="G189" s="3">
        <v>0</v>
      </c>
      <c r="H189" s="4">
        <v>3500000</v>
      </c>
      <c r="I189" s="4">
        <v>3500000</v>
      </c>
      <c r="J189" s="16" t="str">
        <f t="shared" si="4"/>
        <v>--</v>
      </c>
      <c r="K189" s="16">
        <f t="shared" si="5"/>
        <v>0</v>
      </c>
    </row>
    <row r="190" spans="1:11" ht="19.5" customHeight="1" x14ac:dyDescent="0.25">
      <c r="A190" s="2" t="s">
        <v>476</v>
      </c>
      <c r="B190" s="2" t="s">
        <v>16</v>
      </c>
      <c r="C190" s="2" t="s">
        <v>512</v>
      </c>
      <c r="D190" s="2" t="s">
        <v>515</v>
      </c>
      <c r="E190" s="2" t="s">
        <v>516</v>
      </c>
      <c r="F190" s="3">
        <v>29230.02</v>
      </c>
      <c r="G190" s="3">
        <v>0</v>
      </c>
      <c r="H190" s="4">
        <v>0</v>
      </c>
      <c r="I190" s="4">
        <v>0</v>
      </c>
      <c r="J190" s="16" t="str">
        <f t="shared" si="4"/>
        <v>--</v>
      </c>
      <c r="K190" s="16" t="str">
        <f t="shared" si="5"/>
        <v>--</v>
      </c>
    </row>
    <row r="191" spans="1:11" ht="19.5" customHeight="1" x14ac:dyDescent="0.25">
      <c r="A191" s="2" t="s">
        <v>476</v>
      </c>
      <c r="B191" s="2" t="s">
        <v>16</v>
      </c>
      <c r="C191" s="2" t="s">
        <v>517</v>
      </c>
      <c r="D191" s="2" t="s">
        <v>518</v>
      </c>
      <c r="E191" s="2" t="s">
        <v>519</v>
      </c>
      <c r="F191" s="3">
        <v>6743424.7400000002</v>
      </c>
      <c r="G191" s="3">
        <v>7915343</v>
      </c>
      <c r="H191" s="4">
        <v>8049501</v>
      </c>
      <c r="I191" s="4">
        <v>8159165</v>
      </c>
      <c r="J191" s="16">
        <f t="shared" si="4"/>
        <v>1.6949107574997013E-2</v>
      </c>
      <c r="K191" s="16">
        <f t="shared" si="5"/>
        <v>1.3623701643120434E-2</v>
      </c>
    </row>
    <row r="192" spans="1:11" ht="19.5" customHeight="1" x14ac:dyDescent="0.25">
      <c r="A192" s="6" t="s">
        <v>476</v>
      </c>
      <c r="B192" s="6" t="s">
        <v>16</v>
      </c>
      <c r="C192" s="6" t="s">
        <v>520</v>
      </c>
      <c r="D192" s="7" t="s">
        <v>521</v>
      </c>
      <c r="E192" s="6" t="s">
        <v>522</v>
      </c>
      <c r="F192" s="9">
        <v>0</v>
      </c>
      <c r="G192" s="9">
        <v>0</v>
      </c>
      <c r="H192" s="4">
        <v>1000000</v>
      </c>
      <c r="I192" s="4">
        <v>1000000</v>
      </c>
      <c r="J192" s="16" t="str">
        <f t="shared" si="4"/>
        <v>--</v>
      </c>
      <c r="K192" s="16">
        <f t="shared" si="5"/>
        <v>0</v>
      </c>
    </row>
    <row r="193" spans="1:11" ht="19.5" customHeight="1" x14ac:dyDescent="0.25">
      <c r="A193" s="2" t="s">
        <v>476</v>
      </c>
      <c r="B193" s="2" t="s">
        <v>16</v>
      </c>
      <c r="C193" s="2" t="s">
        <v>526</v>
      </c>
      <c r="D193" s="8" t="s">
        <v>527</v>
      </c>
      <c r="E193" s="2" t="s">
        <v>528</v>
      </c>
      <c r="F193" s="3">
        <v>0</v>
      </c>
      <c r="G193" s="3">
        <v>0</v>
      </c>
      <c r="H193" s="4">
        <v>150000</v>
      </c>
      <c r="I193" s="4">
        <v>0</v>
      </c>
      <c r="J193" s="16" t="str">
        <f t="shared" si="4"/>
        <v>--</v>
      </c>
      <c r="K193" s="16">
        <f t="shared" si="5"/>
        <v>-1</v>
      </c>
    </row>
    <row r="194" spans="1:11" ht="19.5" customHeight="1" x14ac:dyDescent="0.25">
      <c r="A194" s="2" t="s">
        <v>476</v>
      </c>
      <c r="B194" s="2" t="s">
        <v>16</v>
      </c>
      <c r="C194" s="2" t="s">
        <v>523</v>
      </c>
      <c r="D194" s="2" t="s">
        <v>524</v>
      </c>
      <c r="E194" s="2" t="s">
        <v>525</v>
      </c>
      <c r="F194" s="3">
        <v>313652.61</v>
      </c>
      <c r="G194" s="3">
        <v>729698</v>
      </c>
      <c r="H194" s="4">
        <v>0</v>
      </c>
      <c r="I194" s="4">
        <v>0</v>
      </c>
      <c r="J194" s="16">
        <f t="shared" si="4"/>
        <v>-1</v>
      </c>
      <c r="K194" s="16" t="str">
        <f t="shared" si="5"/>
        <v>--</v>
      </c>
    </row>
    <row r="195" spans="1:11" ht="19.5" customHeight="1" x14ac:dyDescent="0.25">
      <c r="A195" s="6" t="s">
        <v>476</v>
      </c>
      <c r="B195" s="6" t="s">
        <v>16</v>
      </c>
      <c r="C195" s="6" t="s">
        <v>529</v>
      </c>
      <c r="D195" s="7" t="s">
        <v>530</v>
      </c>
      <c r="E195" s="6" t="s">
        <v>531</v>
      </c>
      <c r="F195" s="9">
        <v>0</v>
      </c>
      <c r="G195" s="9">
        <v>0</v>
      </c>
      <c r="H195" s="4">
        <v>3000000</v>
      </c>
      <c r="I195" s="4">
        <v>0</v>
      </c>
      <c r="J195" s="16" t="str">
        <f t="shared" ref="J195:J258" si="6">IFERROR(H195/G195-1,"--")</f>
        <v>--</v>
      </c>
      <c r="K195" s="16">
        <f t="shared" ref="K195:K258" si="7">IFERROR(I195/H195-1,"--")</f>
        <v>-1</v>
      </c>
    </row>
    <row r="196" spans="1:11" ht="19.5" customHeight="1" x14ac:dyDescent="0.25">
      <c r="A196" s="2" t="s">
        <v>476</v>
      </c>
      <c r="B196" s="2" t="s">
        <v>16</v>
      </c>
      <c r="C196" s="2" t="s">
        <v>532</v>
      </c>
      <c r="D196" s="2" t="s">
        <v>533</v>
      </c>
      <c r="E196" s="2" t="s">
        <v>534</v>
      </c>
      <c r="F196" s="3">
        <v>741475.81</v>
      </c>
      <c r="G196" s="3">
        <v>1001626</v>
      </c>
      <c r="H196" s="4">
        <v>1035116</v>
      </c>
      <c r="I196" s="4">
        <v>1047209</v>
      </c>
      <c r="J196" s="16">
        <f t="shared" si="6"/>
        <v>3.3435633659669284E-2</v>
      </c>
      <c r="K196" s="16">
        <f t="shared" si="7"/>
        <v>1.1682748600156945E-2</v>
      </c>
    </row>
    <row r="197" spans="1:11" ht="19.5" customHeight="1" x14ac:dyDescent="0.25">
      <c r="A197" s="2" t="s">
        <v>476</v>
      </c>
      <c r="B197" s="2" t="s">
        <v>16</v>
      </c>
      <c r="C197" s="2" t="s">
        <v>535</v>
      </c>
      <c r="D197" s="2" t="s">
        <v>536</v>
      </c>
      <c r="E197" s="2" t="s">
        <v>537</v>
      </c>
      <c r="F197" s="4">
        <v>861933.13</v>
      </c>
      <c r="G197" s="3">
        <v>891320</v>
      </c>
      <c r="H197" s="4">
        <v>1116842</v>
      </c>
      <c r="I197" s="4">
        <v>1116842</v>
      </c>
      <c r="J197" s="16">
        <f t="shared" si="6"/>
        <v>0.25302023964457199</v>
      </c>
      <c r="K197" s="16">
        <f t="shared" si="7"/>
        <v>0</v>
      </c>
    </row>
    <row r="198" spans="1:11" ht="19.5" customHeight="1" x14ac:dyDescent="0.25">
      <c r="A198" s="2" t="s">
        <v>476</v>
      </c>
      <c r="B198" s="2" t="s">
        <v>44</v>
      </c>
      <c r="C198" s="2" t="s">
        <v>538</v>
      </c>
      <c r="D198" s="2" t="s">
        <v>539</v>
      </c>
      <c r="E198" s="2" t="s">
        <v>540</v>
      </c>
      <c r="F198" s="3">
        <v>6182.07</v>
      </c>
      <c r="G198" s="3">
        <v>25691</v>
      </c>
      <c r="H198" s="4">
        <v>25691</v>
      </c>
      <c r="I198" s="4">
        <v>25691</v>
      </c>
      <c r="J198" s="16">
        <f t="shared" si="6"/>
        <v>0</v>
      </c>
      <c r="K198" s="16">
        <f t="shared" si="7"/>
        <v>0</v>
      </c>
    </row>
    <row r="199" spans="1:11" ht="19.5" customHeight="1" x14ac:dyDescent="0.25">
      <c r="A199" s="2" t="s">
        <v>476</v>
      </c>
      <c r="B199" s="2" t="s">
        <v>44</v>
      </c>
      <c r="C199" s="2" t="s">
        <v>538</v>
      </c>
      <c r="D199" s="2" t="s">
        <v>541</v>
      </c>
      <c r="E199" s="2" t="s">
        <v>542</v>
      </c>
      <c r="F199" s="3">
        <v>1735597.4</v>
      </c>
      <c r="G199" s="3">
        <v>2000000</v>
      </c>
      <c r="H199" s="4">
        <v>2000000</v>
      </c>
      <c r="I199" s="4">
        <v>2000000</v>
      </c>
      <c r="J199" s="16">
        <f t="shared" si="6"/>
        <v>0</v>
      </c>
      <c r="K199" s="16">
        <f t="shared" si="7"/>
        <v>0</v>
      </c>
    </row>
    <row r="200" spans="1:11" ht="19.5" customHeight="1" x14ac:dyDescent="0.25">
      <c r="A200" s="2" t="s">
        <v>476</v>
      </c>
      <c r="B200" s="2" t="s">
        <v>44</v>
      </c>
      <c r="C200" s="2" t="s">
        <v>538</v>
      </c>
      <c r="D200" s="2" t="s">
        <v>543</v>
      </c>
      <c r="E200" s="2" t="s">
        <v>544</v>
      </c>
      <c r="F200" s="3">
        <v>1177809.06</v>
      </c>
      <c r="G200" s="3">
        <v>1350000</v>
      </c>
      <c r="H200" s="4">
        <v>1350000</v>
      </c>
      <c r="I200" s="4">
        <v>1350000</v>
      </c>
      <c r="J200" s="16">
        <f t="shared" si="6"/>
        <v>0</v>
      </c>
      <c r="K200" s="16">
        <f t="shared" si="7"/>
        <v>0</v>
      </c>
    </row>
    <row r="201" spans="1:11" ht="19.5" customHeight="1" x14ac:dyDescent="0.25">
      <c r="A201" s="2" t="s">
        <v>476</v>
      </c>
      <c r="B201" s="2" t="s">
        <v>44</v>
      </c>
      <c r="C201" s="2" t="s">
        <v>538</v>
      </c>
      <c r="D201" s="2" t="s">
        <v>545</v>
      </c>
      <c r="E201" s="2" t="s">
        <v>546</v>
      </c>
      <c r="F201" s="3">
        <v>14889591.09</v>
      </c>
      <c r="G201" s="3">
        <v>17600000</v>
      </c>
      <c r="H201" s="4">
        <v>17600000</v>
      </c>
      <c r="I201" s="4">
        <v>17600000</v>
      </c>
      <c r="J201" s="16">
        <f t="shared" si="6"/>
        <v>0</v>
      </c>
      <c r="K201" s="16">
        <f t="shared" si="7"/>
        <v>0</v>
      </c>
    </row>
    <row r="202" spans="1:11" ht="19.5" customHeight="1" x14ac:dyDescent="0.25">
      <c r="A202" s="2" t="s">
        <v>476</v>
      </c>
      <c r="B202" s="2" t="s">
        <v>44</v>
      </c>
      <c r="C202" s="2" t="s">
        <v>547</v>
      </c>
      <c r="D202" s="2" t="s">
        <v>548</v>
      </c>
      <c r="E202" s="2" t="s">
        <v>549</v>
      </c>
      <c r="F202" s="3">
        <v>1698087.5</v>
      </c>
      <c r="G202" s="3">
        <v>1750000</v>
      </c>
      <c r="H202" s="4">
        <v>1750000</v>
      </c>
      <c r="I202" s="4">
        <v>1750000</v>
      </c>
      <c r="J202" s="16">
        <f t="shared" si="6"/>
        <v>0</v>
      </c>
      <c r="K202" s="16">
        <f t="shared" si="7"/>
        <v>0</v>
      </c>
    </row>
    <row r="203" spans="1:11" ht="19.5" customHeight="1" x14ac:dyDescent="0.25">
      <c r="A203" s="2" t="s">
        <v>476</v>
      </c>
      <c r="B203" s="2" t="s">
        <v>44</v>
      </c>
      <c r="C203" s="2" t="s">
        <v>550</v>
      </c>
      <c r="D203" s="2" t="s">
        <v>551</v>
      </c>
      <c r="E203" s="2" t="s">
        <v>552</v>
      </c>
      <c r="F203" s="3">
        <v>0</v>
      </c>
      <c r="G203" s="3">
        <v>6800000</v>
      </c>
      <c r="H203" s="4">
        <v>0</v>
      </c>
      <c r="I203" s="4">
        <v>0</v>
      </c>
      <c r="J203" s="16">
        <f t="shared" si="6"/>
        <v>-1</v>
      </c>
      <c r="K203" s="16" t="str">
        <f t="shared" si="7"/>
        <v>--</v>
      </c>
    </row>
    <row r="204" spans="1:11" ht="19.5" customHeight="1" x14ac:dyDescent="0.25">
      <c r="A204" s="2" t="s">
        <v>476</v>
      </c>
      <c r="B204" s="2" t="s">
        <v>44</v>
      </c>
      <c r="C204" s="2" t="s">
        <v>550</v>
      </c>
      <c r="D204" s="2" t="s">
        <v>553</v>
      </c>
      <c r="E204" s="2" t="s">
        <v>554</v>
      </c>
      <c r="F204" s="3">
        <v>0</v>
      </c>
      <c r="G204" s="3">
        <v>4250000</v>
      </c>
      <c r="H204" s="4">
        <v>0</v>
      </c>
      <c r="I204" s="4">
        <v>0</v>
      </c>
      <c r="J204" s="16">
        <f t="shared" si="6"/>
        <v>-1</v>
      </c>
      <c r="K204" s="16" t="str">
        <f t="shared" si="7"/>
        <v>--</v>
      </c>
    </row>
    <row r="205" spans="1:11" ht="19.5" customHeight="1" x14ac:dyDescent="0.25">
      <c r="A205" s="2" t="s">
        <v>476</v>
      </c>
      <c r="B205" s="2" t="s">
        <v>44</v>
      </c>
      <c r="C205" s="2" t="s">
        <v>555</v>
      </c>
      <c r="D205" s="2" t="s">
        <v>556</v>
      </c>
      <c r="E205" s="2" t="s">
        <v>557</v>
      </c>
      <c r="F205" s="3">
        <v>53877</v>
      </c>
      <c r="G205" s="3">
        <v>70000</v>
      </c>
      <c r="H205" s="4">
        <v>70000</v>
      </c>
      <c r="I205" s="4">
        <v>70000</v>
      </c>
      <c r="J205" s="16">
        <f t="shared" si="6"/>
        <v>0</v>
      </c>
      <c r="K205" s="16">
        <f t="shared" si="7"/>
        <v>0</v>
      </c>
    </row>
    <row r="206" spans="1:11" ht="19.5" customHeight="1" x14ac:dyDescent="0.25">
      <c r="A206" s="2" t="s">
        <v>476</v>
      </c>
      <c r="B206" s="2" t="s">
        <v>54</v>
      </c>
      <c r="C206" s="2" t="s">
        <v>54</v>
      </c>
      <c r="D206" s="2" t="s">
        <v>558</v>
      </c>
      <c r="E206" s="2" t="s">
        <v>22</v>
      </c>
      <c r="F206" s="3">
        <v>5777530.5300000003</v>
      </c>
      <c r="G206" s="3">
        <v>5629556</v>
      </c>
      <c r="H206" s="4">
        <v>5742147</v>
      </c>
      <c r="I206" s="4">
        <v>5914411</v>
      </c>
      <c r="J206" s="16">
        <f t="shared" si="6"/>
        <v>1.9999978683931774E-2</v>
      </c>
      <c r="K206" s="16">
        <f t="shared" si="7"/>
        <v>2.9999928598135828E-2</v>
      </c>
    </row>
    <row r="207" spans="1:11" ht="19.5" customHeight="1" x14ac:dyDescent="0.25">
      <c r="A207" s="2" t="s">
        <v>476</v>
      </c>
      <c r="B207" s="2" t="s">
        <v>54</v>
      </c>
      <c r="C207" s="2" t="s">
        <v>54</v>
      </c>
      <c r="D207" s="2" t="s">
        <v>559</v>
      </c>
      <c r="E207" s="2" t="s">
        <v>560</v>
      </c>
      <c r="F207" s="3">
        <v>284287.2</v>
      </c>
      <c r="G207" s="3">
        <v>299250</v>
      </c>
      <c r="H207" s="4">
        <v>299250</v>
      </c>
      <c r="I207" s="4">
        <v>299250</v>
      </c>
      <c r="J207" s="16">
        <f t="shared" si="6"/>
        <v>0</v>
      </c>
      <c r="K207" s="16">
        <f t="shared" si="7"/>
        <v>0</v>
      </c>
    </row>
    <row r="208" spans="1:11" ht="19.5" customHeight="1" x14ac:dyDescent="0.25">
      <c r="A208" s="2" t="s">
        <v>476</v>
      </c>
      <c r="B208" s="2" t="s">
        <v>54</v>
      </c>
      <c r="C208" s="2" t="s">
        <v>54</v>
      </c>
      <c r="D208" s="2" t="s">
        <v>561</v>
      </c>
      <c r="E208" s="2" t="s">
        <v>562</v>
      </c>
      <c r="F208" s="3">
        <v>1808896.8</v>
      </c>
      <c r="G208" s="3">
        <v>1783281</v>
      </c>
      <c r="H208" s="4">
        <v>1818947</v>
      </c>
      <c r="I208" s="4">
        <v>1873515</v>
      </c>
      <c r="J208" s="16">
        <f t="shared" si="6"/>
        <v>2.0000213090365371E-2</v>
      </c>
      <c r="K208" s="16">
        <f t="shared" si="7"/>
        <v>2.9999774594861695E-2</v>
      </c>
    </row>
    <row r="209" spans="1:11" ht="19.5" customHeight="1" x14ac:dyDescent="0.25">
      <c r="A209" s="2" t="s">
        <v>476</v>
      </c>
      <c r="B209" s="2" t="s">
        <v>54</v>
      </c>
      <c r="C209" s="2" t="s">
        <v>54</v>
      </c>
      <c r="D209" s="2" t="s">
        <v>563</v>
      </c>
      <c r="E209" s="2" t="s">
        <v>564</v>
      </c>
      <c r="F209" s="3">
        <v>115000</v>
      </c>
      <c r="G209" s="3">
        <v>115000</v>
      </c>
      <c r="H209" s="4">
        <v>116725</v>
      </c>
      <c r="I209" s="4">
        <v>118476</v>
      </c>
      <c r="J209" s="16">
        <f t="shared" si="6"/>
        <v>1.4999999999999902E-2</v>
      </c>
      <c r="K209" s="16">
        <f t="shared" si="7"/>
        <v>1.5001070893124968E-2</v>
      </c>
    </row>
    <row r="210" spans="1:11" ht="19.5" customHeight="1" x14ac:dyDescent="0.25">
      <c r="A210" s="2" t="s">
        <v>476</v>
      </c>
      <c r="B210" s="2" t="s">
        <v>54</v>
      </c>
      <c r="C210" s="2" t="s">
        <v>54</v>
      </c>
      <c r="D210" s="2" t="s">
        <v>565</v>
      </c>
      <c r="E210" s="2" t="s">
        <v>566</v>
      </c>
      <c r="F210" s="3">
        <v>853881.35</v>
      </c>
      <c r="G210" s="3">
        <v>834048</v>
      </c>
      <c r="H210" s="4">
        <v>850729</v>
      </c>
      <c r="I210" s="4">
        <v>876251</v>
      </c>
      <c r="J210" s="16">
        <f t="shared" si="6"/>
        <v>2.0000047958870448E-2</v>
      </c>
      <c r="K210" s="16">
        <f t="shared" si="7"/>
        <v>3.0000152810119252E-2</v>
      </c>
    </row>
    <row r="211" spans="1:11" ht="19.5" customHeight="1" x14ac:dyDescent="0.25">
      <c r="A211" s="2" t="s">
        <v>476</v>
      </c>
      <c r="B211" s="2" t="s">
        <v>54</v>
      </c>
      <c r="C211" s="2" t="s">
        <v>54</v>
      </c>
      <c r="D211" s="2" t="s">
        <v>567</v>
      </c>
      <c r="E211" s="2" t="s">
        <v>568</v>
      </c>
      <c r="F211" s="3">
        <v>4168036.48</v>
      </c>
      <c r="G211" s="3">
        <v>3461413</v>
      </c>
      <c r="H211" s="4">
        <v>3530641</v>
      </c>
      <c r="I211" s="4">
        <v>3636561</v>
      </c>
      <c r="J211" s="16">
        <f t="shared" si="6"/>
        <v>1.999992488616642E-2</v>
      </c>
      <c r="K211" s="16">
        <f t="shared" si="7"/>
        <v>3.0000218090709296E-2</v>
      </c>
    </row>
    <row r="212" spans="1:11" ht="19.5" customHeight="1" x14ac:dyDescent="0.25">
      <c r="A212" s="2" t="s">
        <v>476</v>
      </c>
      <c r="B212" s="2" t="s">
        <v>54</v>
      </c>
      <c r="C212" s="2" t="s">
        <v>54</v>
      </c>
      <c r="D212" s="2" t="s">
        <v>569</v>
      </c>
      <c r="E212" s="2" t="s">
        <v>570</v>
      </c>
      <c r="F212" s="3">
        <v>4041600</v>
      </c>
      <c r="G212" s="3">
        <v>4041600</v>
      </c>
      <c r="H212" s="4">
        <v>4041600</v>
      </c>
      <c r="I212" s="4">
        <v>4041600</v>
      </c>
      <c r="J212" s="16">
        <f t="shared" si="6"/>
        <v>0</v>
      </c>
      <c r="K212" s="16">
        <f t="shared" si="7"/>
        <v>0</v>
      </c>
    </row>
    <row r="213" spans="1:11" ht="19.5" customHeight="1" x14ac:dyDescent="0.25">
      <c r="A213" s="2" t="s">
        <v>476</v>
      </c>
      <c r="B213" s="2" t="s">
        <v>54</v>
      </c>
      <c r="C213" s="2" t="s">
        <v>54</v>
      </c>
      <c r="D213" s="2" t="s">
        <v>571</v>
      </c>
      <c r="E213" s="2" t="s">
        <v>572</v>
      </c>
      <c r="F213" s="4">
        <v>13770800.1</v>
      </c>
      <c r="G213" s="3">
        <v>20508000</v>
      </c>
      <c r="H213" s="4">
        <v>25000000</v>
      </c>
      <c r="I213" s="4">
        <v>28000000</v>
      </c>
      <c r="J213" s="16">
        <f t="shared" si="6"/>
        <v>0.2190364735712893</v>
      </c>
      <c r="K213" s="16">
        <f t="shared" si="7"/>
        <v>0.12000000000000011</v>
      </c>
    </row>
    <row r="214" spans="1:11" ht="19.5" customHeight="1" x14ac:dyDescent="0.25">
      <c r="A214" s="2" t="s">
        <v>476</v>
      </c>
      <c r="B214" s="2" t="s">
        <v>54</v>
      </c>
      <c r="C214" s="2" t="s">
        <v>54</v>
      </c>
      <c r="D214" s="2" t="s">
        <v>573</v>
      </c>
      <c r="E214" s="2" t="s">
        <v>574</v>
      </c>
      <c r="F214" s="3">
        <v>7083344</v>
      </c>
      <c r="G214" s="3">
        <v>7083344</v>
      </c>
      <c r="H214" s="4">
        <v>7083344</v>
      </c>
      <c r="I214" s="4">
        <v>7083344</v>
      </c>
      <c r="J214" s="16">
        <f t="shared" si="6"/>
        <v>0</v>
      </c>
      <c r="K214" s="16">
        <f t="shared" si="7"/>
        <v>0</v>
      </c>
    </row>
    <row r="215" spans="1:11" ht="19.5" customHeight="1" x14ac:dyDescent="0.25">
      <c r="A215" s="2" t="s">
        <v>476</v>
      </c>
      <c r="B215" s="2" t="s">
        <v>54</v>
      </c>
      <c r="C215" s="2" t="s">
        <v>54</v>
      </c>
      <c r="D215" s="2" t="s">
        <v>575</v>
      </c>
      <c r="E215" s="2" t="s">
        <v>576</v>
      </c>
      <c r="F215" s="3">
        <v>18922115.760000002</v>
      </c>
      <c r="G215" s="3">
        <v>20204000</v>
      </c>
      <c r="H215" s="4">
        <v>21310120</v>
      </c>
      <c r="I215" s="4">
        <v>21810120</v>
      </c>
      <c r="J215" s="16">
        <f t="shared" si="6"/>
        <v>5.4747574737675775E-2</v>
      </c>
      <c r="K215" s="16">
        <f t="shared" si="7"/>
        <v>2.3463030710291655E-2</v>
      </c>
    </row>
    <row r="216" spans="1:11" ht="19.5" customHeight="1" x14ac:dyDescent="0.25">
      <c r="A216" s="2" t="s">
        <v>476</v>
      </c>
      <c r="B216" s="2" t="s">
        <v>54</v>
      </c>
      <c r="C216" s="2" t="s">
        <v>54</v>
      </c>
      <c r="D216" s="2" t="s">
        <v>577</v>
      </c>
      <c r="E216" s="2" t="s">
        <v>578</v>
      </c>
      <c r="F216" s="4">
        <v>851175</v>
      </c>
      <c r="G216" s="3">
        <v>873000</v>
      </c>
      <c r="H216" s="4">
        <v>873000</v>
      </c>
      <c r="I216" s="4">
        <v>873000</v>
      </c>
      <c r="J216" s="16">
        <f t="shared" si="6"/>
        <v>0</v>
      </c>
      <c r="K216" s="16">
        <f t="shared" si="7"/>
        <v>0</v>
      </c>
    </row>
    <row r="217" spans="1:11" ht="19.5" customHeight="1" x14ac:dyDescent="0.25">
      <c r="A217" s="2" t="s">
        <v>476</v>
      </c>
      <c r="B217" s="2" t="s">
        <v>54</v>
      </c>
      <c r="C217" s="2" t="s">
        <v>54</v>
      </c>
      <c r="D217" s="2" t="s">
        <v>579</v>
      </c>
      <c r="E217" s="2" t="s">
        <v>580</v>
      </c>
      <c r="F217" s="3">
        <v>509311.45</v>
      </c>
      <c r="G217" s="3">
        <v>600000</v>
      </c>
      <c r="H217" s="4">
        <v>612000</v>
      </c>
      <c r="I217" s="4">
        <v>630360</v>
      </c>
      <c r="J217" s="16">
        <f t="shared" si="6"/>
        <v>2.0000000000000018E-2</v>
      </c>
      <c r="K217" s="16">
        <f t="shared" si="7"/>
        <v>3.0000000000000027E-2</v>
      </c>
    </row>
    <row r="218" spans="1:11" ht="19.5" customHeight="1" x14ac:dyDescent="0.25">
      <c r="A218" s="6" t="s">
        <v>476</v>
      </c>
      <c r="B218" s="6" t="s">
        <v>54</v>
      </c>
      <c r="C218" s="6" t="s">
        <v>54</v>
      </c>
      <c r="D218" s="7" t="s">
        <v>581</v>
      </c>
      <c r="E218" s="6" t="s">
        <v>582</v>
      </c>
      <c r="F218" s="4">
        <v>0</v>
      </c>
      <c r="G218" s="4">
        <v>0</v>
      </c>
      <c r="H218" s="4">
        <v>0</v>
      </c>
      <c r="I218" s="4">
        <v>0</v>
      </c>
      <c r="J218" s="16" t="str">
        <f t="shared" si="6"/>
        <v>--</v>
      </c>
      <c r="K218" s="16" t="str">
        <f t="shared" si="7"/>
        <v>--</v>
      </c>
    </row>
    <row r="219" spans="1:11" ht="19.5" customHeight="1" x14ac:dyDescent="0.25">
      <c r="A219" s="6" t="s">
        <v>476</v>
      </c>
      <c r="B219" s="6" t="s">
        <v>54</v>
      </c>
      <c r="C219" s="6" t="s">
        <v>54</v>
      </c>
      <c r="D219" s="7" t="s">
        <v>583</v>
      </c>
      <c r="E219" s="6" t="s">
        <v>584</v>
      </c>
      <c r="F219" s="9">
        <v>0</v>
      </c>
      <c r="G219" s="9">
        <v>0</v>
      </c>
      <c r="H219" s="4">
        <v>0</v>
      </c>
      <c r="I219" s="4">
        <v>1000000</v>
      </c>
      <c r="J219" s="16" t="str">
        <f t="shared" si="6"/>
        <v>--</v>
      </c>
      <c r="K219" s="16" t="str">
        <f t="shared" si="7"/>
        <v>--</v>
      </c>
    </row>
    <row r="220" spans="1:11" ht="19.5" customHeight="1" x14ac:dyDescent="0.25">
      <c r="A220" s="2" t="s">
        <v>476</v>
      </c>
      <c r="B220" s="2" t="s">
        <v>54</v>
      </c>
      <c r="C220" s="2" t="s">
        <v>54</v>
      </c>
      <c r="D220" s="2" t="s">
        <v>585</v>
      </c>
      <c r="E220" s="6" t="s">
        <v>586</v>
      </c>
      <c r="F220" s="3">
        <v>1940444439.01</v>
      </c>
      <c r="G220" s="3">
        <v>2037149490</v>
      </c>
      <c r="H220" s="4">
        <v>2056678116</v>
      </c>
      <c r="I220" s="4">
        <v>2075761402</v>
      </c>
      <c r="J220" s="16">
        <f t="shared" si="6"/>
        <v>9.5862508352295706E-3</v>
      </c>
      <c r="K220" s="16">
        <f t="shared" si="7"/>
        <v>9.2786935649000757E-3</v>
      </c>
    </row>
    <row r="221" spans="1:11" ht="19.5" customHeight="1" x14ac:dyDescent="0.25">
      <c r="A221" s="2" t="s">
        <v>476</v>
      </c>
      <c r="B221" s="2" t="s">
        <v>54</v>
      </c>
      <c r="C221" s="2" t="s">
        <v>54</v>
      </c>
      <c r="D221" s="2" t="s">
        <v>587</v>
      </c>
      <c r="E221" s="2" t="s">
        <v>588</v>
      </c>
      <c r="F221" s="3">
        <v>11915564.01</v>
      </c>
      <c r="G221" s="3">
        <v>12502933</v>
      </c>
      <c r="H221" s="4">
        <v>14000000</v>
      </c>
      <c r="I221" s="4">
        <v>15500000</v>
      </c>
      <c r="J221" s="16">
        <f t="shared" si="6"/>
        <v>0.11973726484817604</v>
      </c>
      <c r="K221" s="16">
        <f t="shared" si="7"/>
        <v>0.10714285714285721</v>
      </c>
    </row>
    <row r="222" spans="1:11" ht="19.5" customHeight="1" x14ac:dyDescent="0.25">
      <c r="A222" s="2" t="s">
        <v>476</v>
      </c>
      <c r="B222" s="2" t="s">
        <v>54</v>
      </c>
      <c r="C222" s="2" t="s">
        <v>54</v>
      </c>
      <c r="D222" s="2" t="s">
        <v>589</v>
      </c>
      <c r="E222" s="2" t="s">
        <v>590</v>
      </c>
      <c r="F222" s="3">
        <v>1500000</v>
      </c>
      <c r="G222" s="3">
        <v>0</v>
      </c>
      <c r="H222" s="4">
        <v>0</v>
      </c>
      <c r="I222" s="4">
        <v>0</v>
      </c>
      <c r="J222" s="16" t="str">
        <f t="shared" si="6"/>
        <v>--</v>
      </c>
      <c r="K222" s="16" t="str">
        <f t="shared" si="7"/>
        <v>--</v>
      </c>
    </row>
    <row r="223" spans="1:11" ht="19.5" customHeight="1" x14ac:dyDescent="0.25">
      <c r="A223" s="2" t="s">
        <v>476</v>
      </c>
      <c r="B223" s="2" t="s">
        <v>54</v>
      </c>
      <c r="C223" s="2" t="s">
        <v>54</v>
      </c>
      <c r="D223" s="2" t="s">
        <v>591</v>
      </c>
      <c r="E223" s="2" t="s">
        <v>592</v>
      </c>
      <c r="F223" s="4">
        <v>5723448.2000000002</v>
      </c>
      <c r="G223" s="3">
        <v>5723448</v>
      </c>
      <c r="H223" s="4">
        <v>5654164</v>
      </c>
      <c r="I223" s="4">
        <v>5752427</v>
      </c>
      <c r="J223" s="16">
        <f t="shared" si="6"/>
        <v>-1.2105290377408817E-2</v>
      </c>
      <c r="K223" s="16">
        <f t="shared" si="7"/>
        <v>1.737887334007282E-2</v>
      </c>
    </row>
    <row r="224" spans="1:11" ht="19.5" customHeight="1" x14ac:dyDescent="0.25">
      <c r="A224" s="2" t="s">
        <v>476</v>
      </c>
      <c r="B224" s="2" t="s">
        <v>54</v>
      </c>
      <c r="C224" s="2" t="s">
        <v>54</v>
      </c>
      <c r="D224" s="2" t="s">
        <v>593</v>
      </c>
      <c r="E224" s="2" t="s">
        <v>594</v>
      </c>
      <c r="F224" s="4">
        <v>1563387</v>
      </c>
      <c r="G224" s="3">
        <v>1563387</v>
      </c>
      <c r="H224" s="4">
        <v>1824219</v>
      </c>
      <c r="I224" s="4">
        <v>1863387</v>
      </c>
      <c r="J224" s="16">
        <f t="shared" si="6"/>
        <v>0.1668377695349903</v>
      </c>
      <c r="K224" s="16">
        <f t="shared" si="7"/>
        <v>2.1471106265201767E-2</v>
      </c>
    </row>
    <row r="225" spans="1:11" ht="19.5" customHeight="1" x14ac:dyDescent="0.25">
      <c r="A225" s="2" t="s">
        <v>476</v>
      </c>
      <c r="B225" s="2" t="s">
        <v>54</v>
      </c>
      <c r="C225" s="2" t="s">
        <v>54</v>
      </c>
      <c r="D225" s="2" t="s">
        <v>595</v>
      </c>
      <c r="E225" s="2" t="s">
        <v>596</v>
      </c>
      <c r="F225" s="3">
        <v>4278800.0999999996</v>
      </c>
      <c r="G225" s="3">
        <v>4278800</v>
      </c>
      <c r="H225" s="4">
        <v>4294160</v>
      </c>
      <c r="I225" s="4">
        <v>4422984</v>
      </c>
      <c r="J225" s="16">
        <f t="shared" si="6"/>
        <v>3.5897915303355621E-3</v>
      </c>
      <c r="K225" s="16">
        <f t="shared" si="7"/>
        <v>2.9999813700467559E-2</v>
      </c>
    </row>
    <row r="226" spans="1:11" ht="19.5" customHeight="1" x14ac:dyDescent="0.25">
      <c r="A226" s="2" t="s">
        <v>476</v>
      </c>
      <c r="B226" s="2" t="s">
        <v>54</v>
      </c>
      <c r="C226" s="2" t="s">
        <v>54</v>
      </c>
      <c r="D226" s="2" t="s">
        <v>597</v>
      </c>
      <c r="E226" s="2" t="s">
        <v>598</v>
      </c>
      <c r="F226" s="3">
        <v>23854677</v>
      </c>
      <c r="G226" s="3">
        <v>23854677</v>
      </c>
      <c r="H226" s="4">
        <v>24563453</v>
      </c>
      <c r="I226" s="4">
        <v>24761619</v>
      </c>
      <c r="J226" s="16">
        <f t="shared" si="6"/>
        <v>2.9712244688955503E-2</v>
      </c>
      <c r="K226" s="16">
        <f t="shared" si="7"/>
        <v>8.0675139606796176E-3</v>
      </c>
    </row>
    <row r="227" spans="1:11" ht="19.5" customHeight="1" x14ac:dyDescent="0.25">
      <c r="A227" s="2" t="s">
        <v>476</v>
      </c>
      <c r="B227" s="2" t="s">
        <v>54</v>
      </c>
      <c r="C227" s="2" t="s">
        <v>54</v>
      </c>
      <c r="D227" s="2" t="s">
        <v>599</v>
      </c>
      <c r="E227" s="2" t="s">
        <v>600</v>
      </c>
      <c r="F227" s="3">
        <v>11241466.4</v>
      </c>
      <c r="G227" s="3">
        <v>11241466</v>
      </c>
      <c r="H227" s="4">
        <v>11551202</v>
      </c>
      <c r="I227" s="4">
        <v>11685515</v>
      </c>
      <c r="J227" s="16">
        <f t="shared" si="6"/>
        <v>2.755298997479505E-2</v>
      </c>
      <c r="K227" s="16">
        <f t="shared" si="7"/>
        <v>1.1627621090861462E-2</v>
      </c>
    </row>
    <row r="228" spans="1:11" ht="19.5" customHeight="1" x14ac:dyDescent="0.25">
      <c r="A228" s="2" t="s">
        <v>476</v>
      </c>
      <c r="B228" s="2" t="s">
        <v>54</v>
      </c>
      <c r="C228" s="2" t="s">
        <v>54</v>
      </c>
      <c r="D228" s="2" t="s">
        <v>601</v>
      </c>
      <c r="E228" s="2" t="s">
        <v>602</v>
      </c>
      <c r="F228" s="4">
        <v>1987966</v>
      </c>
      <c r="G228" s="3">
        <v>2038940</v>
      </c>
      <c r="H228" s="4">
        <v>2038940</v>
      </c>
      <c r="I228" s="4">
        <v>2038940</v>
      </c>
      <c r="J228" s="16">
        <f t="shared" si="6"/>
        <v>0</v>
      </c>
      <c r="K228" s="16">
        <f t="shared" si="7"/>
        <v>0</v>
      </c>
    </row>
    <row r="229" spans="1:11" ht="19.5" customHeight="1" x14ac:dyDescent="0.25">
      <c r="A229" s="2" t="s">
        <v>476</v>
      </c>
      <c r="B229" s="2" t="s">
        <v>54</v>
      </c>
      <c r="C229" s="2" t="s">
        <v>54</v>
      </c>
      <c r="D229" s="2" t="s">
        <v>603</v>
      </c>
      <c r="E229" s="2" t="s">
        <v>604</v>
      </c>
      <c r="F229" s="3">
        <v>2932679</v>
      </c>
      <c r="G229" s="3">
        <v>3007876</v>
      </c>
      <c r="H229" s="4">
        <v>3007876</v>
      </c>
      <c r="I229" s="4">
        <v>3007876</v>
      </c>
      <c r="J229" s="16">
        <f t="shared" si="6"/>
        <v>0</v>
      </c>
      <c r="K229" s="16">
        <f t="shared" si="7"/>
        <v>0</v>
      </c>
    </row>
    <row r="230" spans="1:11" ht="19.5" customHeight="1" x14ac:dyDescent="0.25">
      <c r="A230" s="2" t="s">
        <v>476</v>
      </c>
      <c r="B230" s="2" t="s">
        <v>54</v>
      </c>
      <c r="C230" s="2" t="s">
        <v>54</v>
      </c>
      <c r="D230" s="2" t="s">
        <v>605</v>
      </c>
      <c r="E230" s="2" t="s">
        <v>606</v>
      </c>
      <c r="F230" s="3">
        <v>3884032.68</v>
      </c>
      <c r="G230" s="3">
        <v>4037456</v>
      </c>
      <c r="H230" s="4">
        <v>4636500</v>
      </c>
      <c r="I230" s="4">
        <v>5409250</v>
      </c>
      <c r="J230" s="16">
        <f t="shared" si="6"/>
        <v>0.1483716478891659</v>
      </c>
      <c r="K230" s="16">
        <f t="shared" si="7"/>
        <v>0.16666666666666674</v>
      </c>
    </row>
    <row r="231" spans="1:11" ht="19.5" customHeight="1" x14ac:dyDescent="0.25">
      <c r="A231" s="2" t="s">
        <v>476</v>
      </c>
      <c r="B231" s="2" t="s">
        <v>54</v>
      </c>
      <c r="C231" s="2" t="s">
        <v>54</v>
      </c>
      <c r="D231" s="2" t="s">
        <v>607</v>
      </c>
      <c r="E231" s="2" t="s">
        <v>608</v>
      </c>
      <c r="F231" s="3">
        <v>483642</v>
      </c>
      <c r="G231" s="3">
        <v>496043</v>
      </c>
      <c r="H231" s="4">
        <v>496043</v>
      </c>
      <c r="I231" s="4">
        <v>496043</v>
      </c>
      <c r="J231" s="16">
        <f t="shared" si="6"/>
        <v>0</v>
      </c>
      <c r="K231" s="16">
        <f t="shared" si="7"/>
        <v>0</v>
      </c>
    </row>
    <row r="232" spans="1:11" ht="19.5" customHeight="1" x14ac:dyDescent="0.25">
      <c r="A232" s="2" t="s">
        <v>476</v>
      </c>
      <c r="B232" s="2" t="s">
        <v>54</v>
      </c>
      <c r="C232" s="2" t="s">
        <v>54</v>
      </c>
      <c r="D232" s="2" t="s">
        <v>609</v>
      </c>
      <c r="E232" s="2" t="s">
        <v>610</v>
      </c>
      <c r="F232" s="3">
        <v>1389375</v>
      </c>
      <c r="G232" s="3">
        <v>1425000</v>
      </c>
      <c r="H232" s="4">
        <v>1425000</v>
      </c>
      <c r="I232" s="4">
        <v>1425000</v>
      </c>
      <c r="J232" s="16">
        <f t="shared" si="6"/>
        <v>0</v>
      </c>
      <c r="K232" s="16">
        <f t="shared" si="7"/>
        <v>0</v>
      </c>
    </row>
    <row r="233" spans="1:11" ht="19.5" customHeight="1" x14ac:dyDescent="0.25">
      <c r="A233" s="2" t="s">
        <v>476</v>
      </c>
      <c r="B233" s="2" t="s">
        <v>54</v>
      </c>
      <c r="C233" s="2" t="s">
        <v>54</v>
      </c>
      <c r="D233" s="2" t="s">
        <v>611</v>
      </c>
      <c r="E233" s="2" t="s">
        <v>612</v>
      </c>
      <c r="F233" s="3">
        <v>2803850</v>
      </c>
      <c r="G233" s="3">
        <v>1062400</v>
      </c>
      <c r="H233" s="4">
        <v>1540925</v>
      </c>
      <c r="I233" s="4">
        <v>853000</v>
      </c>
      <c r="J233" s="16">
        <f t="shared" si="6"/>
        <v>0.45041886295180733</v>
      </c>
      <c r="K233" s="16">
        <f t="shared" si="7"/>
        <v>-0.44643639372454857</v>
      </c>
    </row>
    <row r="234" spans="1:11" ht="19.5" customHeight="1" x14ac:dyDescent="0.25">
      <c r="A234" s="2" t="s">
        <v>476</v>
      </c>
      <c r="B234" s="2" t="s">
        <v>54</v>
      </c>
      <c r="C234" s="2" t="s">
        <v>54</v>
      </c>
      <c r="D234" s="2" t="s">
        <v>613</v>
      </c>
      <c r="E234" s="2" t="s">
        <v>614</v>
      </c>
      <c r="F234" s="3">
        <v>35493396</v>
      </c>
      <c r="G234" s="3">
        <v>35493396</v>
      </c>
      <c r="H234" s="4">
        <v>35785072</v>
      </c>
      <c r="I234" s="4">
        <v>36086454</v>
      </c>
      <c r="J234" s="16">
        <f t="shared" si="6"/>
        <v>8.2177540858587861E-3</v>
      </c>
      <c r="K234" s="16">
        <f t="shared" si="7"/>
        <v>8.4220034544013611E-3</v>
      </c>
    </row>
    <row r="235" spans="1:11" ht="19.5" customHeight="1" x14ac:dyDescent="0.25">
      <c r="A235" s="2" t="s">
        <v>476</v>
      </c>
      <c r="B235" s="2" t="s">
        <v>54</v>
      </c>
      <c r="C235" s="2" t="s">
        <v>54</v>
      </c>
      <c r="D235" s="2" t="s">
        <v>615</v>
      </c>
      <c r="E235" s="2" t="s">
        <v>616</v>
      </c>
      <c r="F235" s="3">
        <v>8955857</v>
      </c>
      <c r="G235" s="3">
        <v>9185494</v>
      </c>
      <c r="H235" s="4">
        <v>9185494</v>
      </c>
      <c r="I235" s="4">
        <v>9185494</v>
      </c>
      <c r="J235" s="16">
        <f t="shared" si="6"/>
        <v>0</v>
      </c>
      <c r="K235" s="16">
        <f t="shared" si="7"/>
        <v>0</v>
      </c>
    </row>
    <row r="236" spans="1:11" ht="19.5" customHeight="1" x14ac:dyDescent="0.25">
      <c r="A236" s="2" t="s">
        <v>476</v>
      </c>
      <c r="B236" s="2" t="s">
        <v>54</v>
      </c>
      <c r="C236" s="2" t="s">
        <v>54</v>
      </c>
      <c r="D236" s="2" t="s">
        <v>617</v>
      </c>
      <c r="E236" s="2" t="s">
        <v>618</v>
      </c>
      <c r="F236" s="3">
        <v>7707320</v>
      </c>
      <c r="G236" s="3">
        <v>7834944</v>
      </c>
      <c r="H236" s="4">
        <v>8334944</v>
      </c>
      <c r="I236" s="4">
        <v>8334944</v>
      </c>
      <c r="J236" s="16">
        <f t="shared" si="6"/>
        <v>6.3816665441386755E-2</v>
      </c>
      <c r="K236" s="16">
        <f t="shared" si="7"/>
        <v>0</v>
      </c>
    </row>
    <row r="237" spans="1:11" ht="19.5" customHeight="1" x14ac:dyDescent="0.25">
      <c r="A237" s="2" t="s">
        <v>476</v>
      </c>
      <c r="B237" s="2" t="s">
        <v>54</v>
      </c>
      <c r="C237" s="2" t="s">
        <v>54</v>
      </c>
      <c r="D237" s="2" t="s">
        <v>619</v>
      </c>
      <c r="E237" s="2" t="s">
        <v>620</v>
      </c>
      <c r="F237" s="3">
        <v>5741453</v>
      </c>
      <c r="G237" s="3">
        <v>5888670</v>
      </c>
      <c r="H237" s="4">
        <v>5888670</v>
      </c>
      <c r="I237" s="4">
        <v>5888670</v>
      </c>
      <c r="J237" s="16">
        <f t="shared" si="6"/>
        <v>0</v>
      </c>
      <c r="K237" s="16">
        <f t="shared" si="7"/>
        <v>0</v>
      </c>
    </row>
    <row r="238" spans="1:11" ht="19.5" customHeight="1" x14ac:dyDescent="0.25">
      <c r="A238" s="2" t="s">
        <v>476</v>
      </c>
      <c r="B238" s="2" t="s">
        <v>54</v>
      </c>
      <c r="C238" s="2" t="s">
        <v>54</v>
      </c>
      <c r="D238" s="2" t="s">
        <v>621</v>
      </c>
      <c r="E238" s="2" t="s">
        <v>622</v>
      </c>
      <c r="F238" s="4">
        <v>2789309</v>
      </c>
      <c r="G238" s="3">
        <v>2860830</v>
      </c>
      <c r="H238" s="4">
        <v>2860830</v>
      </c>
      <c r="I238" s="4">
        <v>2860830</v>
      </c>
      <c r="J238" s="16">
        <f t="shared" si="6"/>
        <v>0</v>
      </c>
      <c r="K238" s="16">
        <f t="shared" si="7"/>
        <v>0</v>
      </c>
    </row>
    <row r="239" spans="1:11" ht="19.5" customHeight="1" x14ac:dyDescent="0.25">
      <c r="A239" s="2" t="s">
        <v>476</v>
      </c>
      <c r="B239" s="2" t="s">
        <v>54</v>
      </c>
      <c r="C239" s="2" t="s">
        <v>54</v>
      </c>
      <c r="D239" s="2" t="s">
        <v>623</v>
      </c>
      <c r="E239" s="2" t="s">
        <v>624</v>
      </c>
      <c r="F239" s="3">
        <v>2696510</v>
      </c>
      <c r="G239" s="4">
        <v>2765651</v>
      </c>
      <c r="H239" s="4">
        <v>2765651</v>
      </c>
      <c r="I239" s="4">
        <v>2765651</v>
      </c>
      <c r="J239" s="16">
        <f t="shared" si="6"/>
        <v>0</v>
      </c>
      <c r="K239" s="16">
        <f t="shared" si="7"/>
        <v>0</v>
      </c>
    </row>
    <row r="240" spans="1:11" ht="19.5" customHeight="1" x14ac:dyDescent="0.25">
      <c r="A240" s="2" t="s">
        <v>476</v>
      </c>
      <c r="B240" s="2" t="s">
        <v>54</v>
      </c>
      <c r="C240" s="2" t="s">
        <v>54</v>
      </c>
      <c r="D240" s="2" t="s">
        <v>625</v>
      </c>
      <c r="E240" s="2" t="s">
        <v>626</v>
      </c>
      <c r="F240" s="3">
        <v>2773357</v>
      </c>
      <c r="G240" s="3">
        <v>2844469</v>
      </c>
      <c r="H240" s="4">
        <v>2844469</v>
      </c>
      <c r="I240" s="4">
        <v>2844469</v>
      </c>
      <c r="J240" s="16">
        <f t="shared" si="6"/>
        <v>0</v>
      </c>
      <c r="K240" s="16">
        <f t="shared" si="7"/>
        <v>0</v>
      </c>
    </row>
    <row r="241" spans="1:11" ht="19.5" customHeight="1" x14ac:dyDescent="0.25">
      <c r="A241" s="2" t="s">
        <v>476</v>
      </c>
      <c r="B241" s="2" t="s">
        <v>54</v>
      </c>
      <c r="C241" s="2" t="s">
        <v>54</v>
      </c>
      <c r="D241" s="2" t="s">
        <v>627</v>
      </c>
      <c r="E241" s="2" t="s">
        <v>628</v>
      </c>
      <c r="F241" s="3">
        <v>375000</v>
      </c>
      <c r="G241" s="3">
        <v>500000</v>
      </c>
      <c r="H241" s="4">
        <v>450000</v>
      </c>
      <c r="I241" s="4">
        <v>500000</v>
      </c>
      <c r="J241" s="16">
        <f t="shared" si="6"/>
        <v>-9.9999999999999978E-2</v>
      </c>
      <c r="K241" s="16">
        <f t="shared" si="7"/>
        <v>0.11111111111111116</v>
      </c>
    </row>
    <row r="242" spans="1:11" ht="19.5" customHeight="1" x14ac:dyDescent="0.25">
      <c r="A242" s="2" t="s">
        <v>476</v>
      </c>
      <c r="B242" s="2" t="s">
        <v>54</v>
      </c>
      <c r="C242" s="2" t="s">
        <v>54</v>
      </c>
      <c r="D242" s="2" t="s">
        <v>629</v>
      </c>
      <c r="E242" s="2" t="s">
        <v>630</v>
      </c>
      <c r="F242" s="3">
        <v>0</v>
      </c>
      <c r="G242" s="3">
        <v>400000</v>
      </c>
      <c r="H242" s="4">
        <v>0</v>
      </c>
      <c r="I242" s="4">
        <v>0</v>
      </c>
      <c r="J242" s="16">
        <f t="shared" si="6"/>
        <v>-1</v>
      </c>
      <c r="K242" s="16" t="str">
        <f t="shared" si="7"/>
        <v>--</v>
      </c>
    </row>
    <row r="243" spans="1:11" ht="19.5" customHeight="1" x14ac:dyDescent="0.25">
      <c r="A243" s="2" t="s">
        <v>476</v>
      </c>
      <c r="B243" s="2" t="s">
        <v>54</v>
      </c>
      <c r="C243" s="2" t="s">
        <v>54</v>
      </c>
      <c r="D243" s="2" t="s">
        <v>631</v>
      </c>
      <c r="E243" s="2" t="s">
        <v>632</v>
      </c>
      <c r="F243" s="3">
        <v>3734153.6</v>
      </c>
      <c r="G243" s="3">
        <v>3317860</v>
      </c>
      <c r="H243" s="4">
        <v>4883340</v>
      </c>
      <c r="I243" s="4">
        <v>4883340</v>
      </c>
      <c r="J243" s="16">
        <f t="shared" si="6"/>
        <v>0.47183425460989925</v>
      </c>
      <c r="K243" s="16">
        <f t="shared" si="7"/>
        <v>0</v>
      </c>
    </row>
    <row r="244" spans="1:11" ht="19.5" customHeight="1" x14ac:dyDescent="0.25">
      <c r="A244" s="2" t="s">
        <v>476</v>
      </c>
      <c r="B244" s="2" t="s">
        <v>54</v>
      </c>
      <c r="C244" s="2" t="s">
        <v>54</v>
      </c>
      <c r="D244" s="2" t="s">
        <v>633</v>
      </c>
      <c r="E244" s="2" t="s">
        <v>634</v>
      </c>
      <c r="F244" s="3">
        <v>3163970.23</v>
      </c>
      <c r="G244" s="3">
        <v>2854148</v>
      </c>
      <c r="H244" s="4">
        <v>5084568</v>
      </c>
      <c r="I244" s="4">
        <v>5084568</v>
      </c>
      <c r="J244" s="16">
        <f t="shared" si="6"/>
        <v>0.78146613280040134</v>
      </c>
      <c r="K244" s="16">
        <f t="shared" si="7"/>
        <v>0</v>
      </c>
    </row>
    <row r="245" spans="1:11" ht="19.5" customHeight="1" x14ac:dyDescent="0.25">
      <c r="A245" s="2" t="s">
        <v>476</v>
      </c>
      <c r="B245" s="2" t="s">
        <v>54</v>
      </c>
      <c r="C245" s="2" t="s">
        <v>54</v>
      </c>
      <c r="D245" s="2" t="s">
        <v>635</v>
      </c>
      <c r="E245" s="2" t="s">
        <v>636</v>
      </c>
      <c r="F245" s="3">
        <v>3448582.2</v>
      </c>
      <c r="G245" s="3">
        <v>3630087</v>
      </c>
      <c r="H245" s="4">
        <v>1584491</v>
      </c>
      <c r="I245" s="4">
        <v>1584491</v>
      </c>
      <c r="J245" s="16">
        <f t="shared" si="6"/>
        <v>-0.56351156322148754</v>
      </c>
      <c r="K245" s="16">
        <f t="shared" si="7"/>
        <v>0</v>
      </c>
    </row>
    <row r="246" spans="1:11" ht="19.5" customHeight="1" x14ac:dyDescent="0.25">
      <c r="A246" s="2" t="s">
        <v>476</v>
      </c>
      <c r="B246" s="2" t="s">
        <v>54</v>
      </c>
      <c r="C246" s="2" t="s">
        <v>54</v>
      </c>
      <c r="D246" s="2" t="s">
        <v>637</v>
      </c>
      <c r="E246" s="2" t="s">
        <v>638</v>
      </c>
      <c r="F246" s="3">
        <v>1326762.3999999999</v>
      </c>
      <c r="G246" s="3">
        <v>1326762</v>
      </c>
      <c r="H246" s="4">
        <v>1310702</v>
      </c>
      <c r="I246" s="4">
        <v>1326762</v>
      </c>
      <c r="J246" s="16">
        <f t="shared" si="6"/>
        <v>-1.2104657805996899E-2</v>
      </c>
      <c r="K246" s="16">
        <f t="shared" si="7"/>
        <v>1.2252975886204442E-2</v>
      </c>
    </row>
    <row r="247" spans="1:11" ht="19.5" customHeight="1" x14ac:dyDescent="0.25">
      <c r="A247" s="2" t="s">
        <v>476</v>
      </c>
      <c r="B247" s="2" t="s">
        <v>54</v>
      </c>
      <c r="C247" s="2" t="s">
        <v>54</v>
      </c>
      <c r="D247" s="2" t="s">
        <v>639</v>
      </c>
      <c r="E247" s="2" t="s">
        <v>640</v>
      </c>
      <c r="F247" s="3">
        <v>2923475.4</v>
      </c>
      <c r="G247" s="3">
        <v>2978512</v>
      </c>
      <c r="H247" s="4">
        <v>2915605</v>
      </c>
      <c r="I247" s="4">
        <v>2978512</v>
      </c>
      <c r="J247" s="16">
        <f t="shared" si="6"/>
        <v>-2.1120277507695073E-2</v>
      </c>
      <c r="K247" s="16">
        <f t="shared" si="7"/>
        <v>2.1575967938043839E-2</v>
      </c>
    </row>
    <row r="248" spans="1:11" ht="19.5" customHeight="1" x14ac:dyDescent="0.25">
      <c r="A248" s="2" t="s">
        <v>476</v>
      </c>
      <c r="B248" s="2" t="s">
        <v>54</v>
      </c>
      <c r="C248" s="2" t="s">
        <v>54</v>
      </c>
      <c r="D248" s="2" t="s">
        <v>641</v>
      </c>
      <c r="E248" s="2" t="s">
        <v>642</v>
      </c>
      <c r="F248" s="3">
        <v>293583.40000000002</v>
      </c>
      <c r="G248" s="3">
        <v>309035</v>
      </c>
      <c r="H248" s="4">
        <v>309035</v>
      </c>
      <c r="I248" s="4">
        <v>309035</v>
      </c>
      <c r="J248" s="16">
        <f t="shared" si="6"/>
        <v>0</v>
      </c>
      <c r="K248" s="16">
        <f t="shared" si="7"/>
        <v>0</v>
      </c>
    </row>
    <row r="249" spans="1:11" ht="19.5" customHeight="1" x14ac:dyDescent="0.25">
      <c r="A249" s="2" t="s">
        <v>476</v>
      </c>
      <c r="B249" s="2" t="s">
        <v>54</v>
      </c>
      <c r="C249" s="2" t="s">
        <v>54</v>
      </c>
      <c r="D249" s="2" t="s">
        <v>643</v>
      </c>
      <c r="E249" s="2" t="s">
        <v>644</v>
      </c>
      <c r="F249" s="3">
        <v>108670997.73</v>
      </c>
      <c r="G249" s="3">
        <v>101800000</v>
      </c>
      <c r="H249" s="4">
        <v>106756352</v>
      </c>
      <c r="I249" s="4">
        <v>112500000</v>
      </c>
      <c r="J249" s="16">
        <f t="shared" si="6"/>
        <v>4.8687151277013729E-2</v>
      </c>
      <c r="K249" s="16">
        <f t="shared" si="7"/>
        <v>5.3801463729296506E-2</v>
      </c>
    </row>
    <row r="250" spans="1:11" ht="19.5" customHeight="1" x14ac:dyDescent="0.25">
      <c r="A250" s="2" t="s">
        <v>476</v>
      </c>
      <c r="B250" s="2" t="s">
        <v>54</v>
      </c>
      <c r="C250" s="2" t="s">
        <v>54</v>
      </c>
      <c r="D250" s="2" t="s">
        <v>645</v>
      </c>
      <c r="E250" s="2" t="s">
        <v>646</v>
      </c>
      <c r="F250" s="3">
        <v>0</v>
      </c>
      <c r="G250" s="3">
        <v>0</v>
      </c>
      <c r="H250" s="4">
        <v>4000000</v>
      </c>
      <c r="I250" s="4">
        <v>5000000</v>
      </c>
      <c r="J250" s="16" t="str">
        <f t="shared" si="6"/>
        <v>--</v>
      </c>
      <c r="K250" s="16">
        <f t="shared" si="7"/>
        <v>0.25</v>
      </c>
    </row>
    <row r="251" spans="1:11" ht="19.5" customHeight="1" x14ac:dyDescent="0.25">
      <c r="A251" s="2" t="s">
        <v>476</v>
      </c>
      <c r="B251" s="2" t="s">
        <v>54</v>
      </c>
      <c r="C251" s="2" t="s">
        <v>54</v>
      </c>
      <c r="D251" s="2" t="s">
        <v>647</v>
      </c>
      <c r="E251" s="2" t="s">
        <v>648</v>
      </c>
      <c r="F251" s="3">
        <v>710001</v>
      </c>
      <c r="G251" s="3">
        <v>728206</v>
      </c>
      <c r="H251" s="4">
        <v>728206</v>
      </c>
      <c r="I251" s="4">
        <v>728206</v>
      </c>
      <c r="J251" s="16">
        <f t="shared" si="6"/>
        <v>0</v>
      </c>
      <c r="K251" s="16">
        <f t="shared" si="7"/>
        <v>0</v>
      </c>
    </row>
    <row r="252" spans="1:11" ht="19.5" customHeight="1" x14ac:dyDescent="0.25">
      <c r="A252" s="2" t="s">
        <v>476</v>
      </c>
      <c r="B252" s="2" t="s">
        <v>54</v>
      </c>
      <c r="C252" s="2" t="s">
        <v>54</v>
      </c>
      <c r="D252" s="2" t="s">
        <v>649</v>
      </c>
      <c r="E252" s="2" t="s">
        <v>511</v>
      </c>
      <c r="F252" s="4">
        <v>0</v>
      </c>
      <c r="G252" s="3">
        <v>0</v>
      </c>
      <c r="H252" s="4">
        <v>4950000</v>
      </c>
      <c r="I252" s="4">
        <v>4950000</v>
      </c>
      <c r="J252" s="16" t="str">
        <f t="shared" si="6"/>
        <v>--</v>
      </c>
      <c r="K252" s="16">
        <f t="shared" si="7"/>
        <v>0</v>
      </c>
    </row>
    <row r="253" spans="1:11" ht="19.5" customHeight="1" x14ac:dyDescent="0.25">
      <c r="A253" s="6" t="s">
        <v>476</v>
      </c>
      <c r="B253" s="6" t="s">
        <v>54</v>
      </c>
      <c r="C253" s="6" t="s">
        <v>54</v>
      </c>
      <c r="D253" s="7" t="s">
        <v>650</v>
      </c>
      <c r="E253" s="6" t="s">
        <v>651</v>
      </c>
      <c r="F253" s="4">
        <v>0</v>
      </c>
      <c r="G253" s="4">
        <v>0</v>
      </c>
      <c r="H253" s="4">
        <v>0</v>
      </c>
      <c r="I253" s="4">
        <v>0</v>
      </c>
      <c r="J253" s="16" t="str">
        <f t="shared" si="6"/>
        <v>--</v>
      </c>
      <c r="K253" s="16" t="str">
        <f t="shared" si="7"/>
        <v>--</v>
      </c>
    </row>
    <row r="254" spans="1:11" ht="19.5" customHeight="1" x14ac:dyDescent="0.25">
      <c r="A254" s="2" t="s">
        <v>476</v>
      </c>
      <c r="B254" s="2" t="s">
        <v>54</v>
      </c>
      <c r="C254" s="2" t="s">
        <v>54</v>
      </c>
      <c r="D254" s="2" t="s">
        <v>652</v>
      </c>
      <c r="E254" s="2" t="s">
        <v>653</v>
      </c>
      <c r="F254" s="3">
        <v>1352700</v>
      </c>
      <c r="G254" s="3">
        <v>1170000</v>
      </c>
      <c r="H254" s="4">
        <v>890000</v>
      </c>
      <c r="I254" s="4">
        <v>890000</v>
      </c>
      <c r="J254" s="16">
        <f t="shared" si="6"/>
        <v>-0.23931623931623935</v>
      </c>
      <c r="K254" s="16">
        <f t="shared" si="7"/>
        <v>0</v>
      </c>
    </row>
    <row r="255" spans="1:11" ht="19.5" customHeight="1" x14ac:dyDescent="0.25">
      <c r="A255" s="6" t="s">
        <v>476</v>
      </c>
      <c r="B255" s="6" t="s">
        <v>54</v>
      </c>
      <c r="C255" s="6" t="s">
        <v>54</v>
      </c>
      <c r="D255" s="7" t="s">
        <v>654</v>
      </c>
      <c r="E255" s="6" t="s">
        <v>655</v>
      </c>
      <c r="F255" s="4">
        <v>0</v>
      </c>
      <c r="G255" s="4">
        <v>0</v>
      </c>
      <c r="H255" s="4">
        <v>2500000</v>
      </c>
      <c r="I255" s="4">
        <v>2500000</v>
      </c>
      <c r="J255" s="16" t="str">
        <f t="shared" si="6"/>
        <v>--</v>
      </c>
      <c r="K255" s="16">
        <f t="shared" si="7"/>
        <v>0</v>
      </c>
    </row>
    <row r="256" spans="1:11" ht="19.5" customHeight="1" x14ac:dyDescent="0.25">
      <c r="A256" s="2" t="s">
        <v>476</v>
      </c>
      <c r="B256" s="2" t="s">
        <v>54</v>
      </c>
      <c r="C256" s="2" t="s">
        <v>54</v>
      </c>
      <c r="D256" s="2" t="s">
        <v>656</v>
      </c>
      <c r="E256" s="2" t="s">
        <v>657</v>
      </c>
      <c r="F256" s="3">
        <v>1000000</v>
      </c>
      <c r="G256" s="3">
        <v>900000</v>
      </c>
      <c r="H256" s="4">
        <v>0</v>
      </c>
      <c r="I256" s="4">
        <v>0</v>
      </c>
      <c r="J256" s="16">
        <f t="shared" si="6"/>
        <v>-1</v>
      </c>
      <c r="K256" s="16" t="str">
        <f t="shared" si="7"/>
        <v>--</v>
      </c>
    </row>
    <row r="257" spans="1:11" ht="19.5" customHeight="1" x14ac:dyDescent="0.25">
      <c r="A257" s="2" t="s">
        <v>476</v>
      </c>
      <c r="B257" s="2" t="s">
        <v>54</v>
      </c>
      <c r="C257" s="2" t="s">
        <v>54</v>
      </c>
      <c r="D257" s="2" t="s">
        <v>658</v>
      </c>
      <c r="E257" s="2" t="s">
        <v>659</v>
      </c>
      <c r="F257" s="3">
        <v>500000</v>
      </c>
      <c r="G257" s="4">
        <v>400000</v>
      </c>
      <c r="H257" s="4">
        <v>400000</v>
      </c>
      <c r="I257" s="4">
        <v>400000</v>
      </c>
      <c r="J257" s="16">
        <f t="shared" si="6"/>
        <v>0</v>
      </c>
      <c r="K257" s="16">
        <f t="shared" si="7"/>
        <v>0</v>
      </c>
    </row>
    <row r="258" spans="1:11" ht="19.5" customHeight="1" x14ac:dyDescent="0.25">
      <c r="A258" s="2" t="s">
        <v>476</v>
      </c>
      <c r="B258" s="2" t="s">
        <v>54</v>
      </c>
      <c r="C258" s="2" t="s">
        <v>54</v>
      </c>
      <c r="D258" s="2" t="s">
        <v>660</v>
      </c>
      <c r="E258" s="2" t="s">
        <v>661</v>
      </c>
      <c r="F258" s="3">
        <v>16424224.060000001</v>
      </c>
      <c r="G258" s="4">
        <v>18800000</v>
      </c>
      <c r="H258" s="4">
        <v>19000000</v>
      </c>
      <c r="I258" s="4">
        <v>19000000</v>
      </c>
      <c r="J258" s="16">
        <f t="shared" si="6"/>
        <v>1.0638297872340496E-2</v>
      </c>
      <c r="K258" s="16">
        <f t="shared" si="7"/>
        <v>0</v>
      </c>
    </row>
    <row r="259" spans="1:11" ht="19.5" customHeight="1" x14ac:dyDescent="0.25">
      <c r="A259" s="2" t="s">
        <v>476</v>
      </c>
      <c r="B259" s="2" t="s">
        <v>54</v>
      </c>
      <c r="C259" s="2" t="s">
        <v>54</v>
      </c>
      <c r="D259" s="2" t="s">
        <v>662</v>
      </c>
      <c r="E259" s="2" t="s">
        <v>663</v>
      </c>
      <c r="F259" s="3">
        <v>323841676.06999999</v>
      </c>
      <c r="G259" s="3">
        <v>204048136</v>
      </c>
      <c r="H259" s="4">
        <v>331000000</v>
      </c>
      <c r="I259" s="4">
        <v>301000000</v>
      </c>
      <c r="J259" s="16">
        <f t="shared" ref="J259:J322" si="8">IFERROR(H259/G259-1,"--")</f>
        <v>0.62216625198673703</v>
      </c>
      <c r="K259" s="16">
        <f t="shared" ref="K259:K322" si="9">IFERROR(I259/H259-1,"--")</f>
        <v>-9.0634441087613316E-2</v>
      </c>
    </row>
    <row r="260" spans="1:11" ht="19.5" customHeight="1" x14ac:dyDescent="0.25">
      <c r="A260" s="2" t="s">
        <v>664</v>
      </c>
      <c r="B260" s="2" t="s">
        <v>54</v>
      </c>
      <c r="C260" s="2" t="s">
        <v>54</v>
      </c>
      <c r="D260" s="2" t="s">
        <v>665</v>
      </c>
      <c r="E260" s="2" t="s">
        <v>22</v>
      </c>
      <c r="F260" s="3">
        <v>1593805.64</v>
      </c>
      <c r="G260" s="3">
        <v>1727708</v>
      </c>
      <c r="H260" s="4">
        <v>1753243</v>
      </c>
      <c r="I260" s="4">
        <v>1803160</v>
      </c>
      <c r="J260" s="16">
        <f t="shared" si="8"/>
        <v>1.4779696569096057E-2</v>
      </c>
      <c r="K260" s="16">
        <f t="shared" si="9"/>
        <v>2.8471238727318493E-2</v>
      </c>
    </row>
    <row r="261" spans="1:11" ht="19.5" customHeight="1" x14ac:dyDescent="0.25">
      <c r="A261" s="2" t="s">
        <v>666</v>
      </c>
      <c r="B261" s="2" t="s">
        <v>16</v>
      </c>
      <c r="C261" s="2" t="s">
        <v>667</v>
      </c>
      <c r="D261" s="2" t="s">
        <v>668</v>
      </c>
      <c r="E261" s="2" t="s">
        <v>22</v>
      </c>
      <c r="F261" s="3">
        <v>12448244.5</v>
      </c>
      <c r="G261" s="3">
        <v>13130000</v>
      </c>
      <c r="H261" s="4">
        <v>13401718</v>
      </c>
      <c r="I261" s="4">
        <v>13492672</v>
      </c>
      <c r="J261" s="16">
        <f t="shared" si="8"/>
        <v>2.0694440213252063E-2</v>
      </c>
      <c r="K261" s="16">
        <f t="shared" si="9"/>
        <v>6.7867418192204543E-3</v>
      </c>
    </row>
    <row r="262" spans="1:11" ht="19.5" customHeight="1" x14ac:dyDescent="0.25">
      <c r="A262" s="2" t="s">
        <v>666</v>
      </c>
      <c r="B262" s="2" t="s">
        <v>16</v>
      </c>
      <c r="C262" s="2" t="s">
        <v>669</v>
      </c>
      <c r="D262" s="2" t="s">
        <v>670</v>
      </c>
      <c r="E262" s="2" t="s">
        <v>671</v>
      </c>
      <c r="F262" s="3">
        <v>93927.96</v>
      </c>
      <c r="G262" s="3">
        <v>200000</v>
      </c>
      <c r="H262" s="4">
        <v>250000</v>
      </c>
      <c r="I262" s="4">
        <v>250000</v>
      </c>
      <c r="J262" s="16">
        <f t="shared" si="8"/>
        <v>0.25</v>
      </c>
      <c r="K262" s="16">
        <f t="shared" si="9"/>
        <v>0</v>
      </c>
    </row>
    <row r="263" spans="1:11" ht="19.5" customHeight="1" x14ac:dyDescent="0.25">
      <c r="A263" s="2" t="s">
        <v>672</v>
      </c>
      <c r="B263" s="2" t="s">
        <v>16</v>
      </c>
      <c r="C263" s="2" t="s">
        <v>20</v>
      </c>
      <c r="D263" s="2" t="s">
        <v>673</v>
      </c>
      <c r="E263" s="2" t="s">
        <v>22</v>
      </c>
      <c r="F263" s="3">
        <v>624236.84</v>
      </c>
      <c r="G263" s="3">
        <v>664212</v>
      </c>
      <c r="H263" s="4">
        <v>833131</v>
      </c>
      <c r="I263" s="4">
        <v>850305</v>
      </c>
      <c r="J263" s="16">
        <f t="shared" si="8"/>
        <v>0.25431488741546371</v>
      </c>
      <c r="K263" s="16">
        <f t="shared" si="9"/>
        <v>2.0613805031861832E-2</v>
      </c>
    </row>
    <row r="264" spans="1:11" ht="19.5" customHeight="1" x14ac:dyDescent="0.25">
      <c r="A264" s="2" t="s">
        <v>674</v>
      </c>
      <c r="B264" s="2" t="s">
        <v>243</v>
      </c>
      <c r="C264" s="2" t="s">
        <v>675</v>
      </c>
      <c r="D264" s="2" t="s">
        <v>676</v>
      </c>
      <c r="E264" s="2" t="s">
        <v>677</v>
      </c>
      <c r="F264" s="3">
        <v>0</v>
      </c>
      <c r="G264" s="3">
        <v>0</v>
      </c>
      <c r="H264" s="4">
        <v>7500000</v>
      </c>
      <c r="I264" s="4">
        <v>7500000</v>
      </c>
      <c r="J264" s="16" t="str">
        <f t="shared" si="8"/>
        <v>--</v>
      </c>
      <c r="K264" s="16">
        <f t="shared" si="9"/>
        <v>0</v>
      </c>
    </row>
    <row r="265" spans="1:11" ht="19.5" customHeight="1" x14ac:dyDescent="0.25">
      <c r="A265" s="2" t="s">
        <v>678</v>
      </c>
      <c r="B265" s="2" t="s">
        <v>16</v>
      </c>
      <c r="C265" s="2" t="s">
        <v>20</v>
      </c>
      <c r="D265" s="2" t="s">
        <v>679</v>
      </c>
      <c r="E265" s="2" t="s">
        <v>22</v>
      </c>
      <c r="F265" s="3">
        <v>552133.36</v>
      </c>
      <c r="G265" s="3">
        <v>622000</v>
      </c>
      <c r="H265" s="4">
        <v>622000</v>
      </c>
      <c r="I265" s="4">
        <v>622000</v>
      </c>
      <c r="J265" s="16">
        <f t="shared" si="8"/>
        <v>0</v>
      </c>
      <c r="K265" s="16">
        <f t="shared" si="9"/>
        <v>0</v>
      </c>
    </row>
    <row r="266" spans="1:11" ht="19.5" customHeight="1" x14ac:dyDescent="0.25">
      <c r="A266" s="2" t="s">
        <v>680</v>
      </c>
      <c r="B266" s="2" t="s">
        <v>16</v>
      </c>
      <c r="C266" s="2" t="s">
        <v>681</v>
      </c>
      <c r="D266" s="2" t="s">
        <v>682</v>
      </c>
      <c r="E266" s="2" t="s">
        <v>683</v>
      </c>
      <c r="F266" s="3">
        <v>0</v>
      </c>
      <c r="G266" s="3">
        <v>3000</v>
      </c>
      <c r="H266" s="4">
        <v>3000</v>
      </c>
      <c r="I266" s="4">
        <v>3000</v>
      </c>
      <c r="J266" s="16">
        <f t="shared" si="8"/>
        <v>0</v>
      </c>
      <c r="K266" s="16">
        <f t="shared" si="9"/>
        <v>0</v>
      </c>
    </row>
    <row r="267" spans="1:11" ht="19.5" customHeight="1" x14ac:dyDescent="0.25">
      <c r="A267" s="2" t="s">
        <v>680</v>
      </c>
      <c r="B267" s="2" t="s">
        <v>44</v>
      </c>
      <c r="C267" s="2" t="s">
        <v>684</v>
      </c>
      <c r="D267" s="2" t="s">
        <v>685</v>
      </c>
      <c r="E267" s="2" t="s">
        <v>686</v>
      </c>
      <c r="F267" s="3">
        <v>2682844.9500000002</v>
      </c>
      <c r="G267" s="3">
        <v>3313792</v>
      </c>
      <c r="H267" s="4">
        <v>3300000</v>
      </c>
      <c r="I267" s="4">
        <v>3036884</v>
      </c>
      <c r="J267" s="16">
        <f t="shared" si="8"/>
        <v>-4.1619993047240511E-3</v>
      </c>
      <c r="K267" s="16">
        <f t="shared" si="9"/>
        <v>-7.9732121212121254E-2</v>
      </c>
    </row>
    <row r="268" spans="1:11" ht="19.5" customHeight="1" x14ac:dyDescent="0.25">
      <c r="A268" s="2" t="s">
        <v>680</v>
      </c>
      <c r="B268" s="2" t="s">
        <v>54</v>
      </c>
      <c r="C268" s="2" t="s">
        <v>54</v>
      </c>
      <c r="D268" s="2" t="s">
        <v>687</v>
      </c>
      <c r="E268" s="2" t="s">
        <v>22</v>
      </c>
      <c r="F268" s="3">
        <v>5909890.6299999999</v>
      </c>
      <c r="G268" s="3">
        <v>5452740</v>
      </c>
      <c r="H268" s="4">
        <v>6118897</v>
      </c>
      <c r="I268" s="4">
        <v>6538548</v>
      </c>
      <c r="J268" s="16">
        <f t="shared" si="8"/>
        <v>0.12216922134559871</v>
      </c>
      <c r="K268" s="16">
        <f t="shared" si="9"/>
        <v>6.858278542685059E-2</v>
      </c>
    </row>
    <row r="269" spans="1:11" ht="19.5" customHeight="1" x14ac:dyDescent="0.25">
      <c r="A269" s="2" t="s">
        <v>688</v>
      </c>
      <c r="B269" s="2" t="s">
        <v>16</v>
      </c>
      <c r="C269" s="2" t="s">
        <v>689</v>
      </c>
      <c r="D269" s="2" t="s">
        <v>690</v>
      </c>
      <c r="E269" s="2" t="s">
        <v>691</v>
      </c>
      <c r="F269" s="3">
        <v>494373.01</v>
      </c>
      <c r="G269" s="3">
        <v>533532</v>
      </c>
      <c r="H269" s="4">
        <v>507867</v>
      </c>
      <c r="I269" s="4">
        <v>521755</v>
      </c>
      <c r="J269" s="16">
        <f t="shared" si="8"/>
        <v>-4.8103956276287052E-2</v>
      </c>
      <c r="K269" s="16">
        <f t="shared" si="9"/>
        <v>2.7345742093894732E-2</v>
      </c>
    </row>
    <row r="270" spans="1:11" ht="19.5" customHeight="1" x14ac:dyDescent="0.25">
      <c r="A270" s="2" t="s">
        <v>688</v>
      </c>
      <c r="B270" s="2" t="s">
        <v>16</v>
      </c>
      <c r="C270" s="2" t="s">
        <v>692</v>
      </c>
      <c r="D270" s="2" t="s">
        <v>693</v>
      </c>
      <c r="E270" s="2" t="s">
        <v>694</v>
      </c>
      <c r="F270" s="3">
        <v>0</v>
      </c>
      <c r="G270" s="3">
        <v>8000</v>
      </c>
      <c r="H270" s="4">
        <v>1200</v>
      </c>
      <c r="I270" s="4">
        <v>1200</v>
      </c>
      <c r="J270" s="16">
        <f t="shared" si="8"/>
        <v>-0.85</v>
      </c>
      <c r="K270" s="16">
        <f t="shared" si="9"/>
        <v>0</v>
      </c>
    </row>
    <row r="271" spans="1:11" ht="19.5" customHeight="1" x14ac:dyDescent="0.25">
      <c r="A271" s="2" t="s">
        <v>688</v>
      </c>
      <c r="B271" s="2" t="s">
        <v>54</v>
      </c>
      <c r="C271" s="2" t="s">
        <v>54</v>
      </c>
      <c r="D271" s="2" t="s">
        <v>695</v>
      </c>
      <c r="E271" s="2" t="s">
        <v>22</v>
      </c>
      <c r="F271" s="3">
        <v>2436780.89</v>
      </c>
      <c r="G271" s="3">
        <v>2692946</v>
      </c>
      <c r="H271" s="4">
        <v>2668140</v>
      </c>
      <c r="I271" s="4">
        <v>2730329</v>
      </c>
      <c r="J271" s="16">
        <f t="shared" si="8"/>
        <v>-9.2114732341458394E-3</v>
      </c>
      <c r="K271" s="16">
        <f t="shared" si="9"/>
        <v>2.3307997331474262E-2</v>
      </c>
    </row>
    <row r="272" spans="1:11" ht="19.5" customHeight="1" x14ac:dyDescent="0.25">
      <c r="A272" s="2" t="s">
        <v>688</v>
      </c>
      <c r="B272" s="2" t="s">
        <v>54</v>
      </c>
      <c r="C272" s="2" t="s">
        <v>54</v>
      </c>
      <c r="D272" s="2" t="s">
        <v>696</v>
      </c>
      <c r="E272" s="2" t="s">
        <v>697</v>
      </c>
      <c r="F272" s="3">
        <v>825000</v>
      </c>
      <c r="G272" s="3">
        <v>3206652</v>
      </c>
      <c r="H272" s="4">
        <v>0</v>
      </c>
      <c r="I272" s="4">
        <v>0</v>
      </c>
      <c r="J272" s="16">
        <f t="shared" si="8"/>
        <v>-1</v>
      </c>
      <c r="K272" s="16" t="str">
        <f t="shared" si="9"/>
        <v>--</v>
      </c>
    </row>
    <row r="273" spans="1:11" ht="19.5" customHeight="1" x14ac:dyDescent="0.25">
      <c r="A273" s="2" t="s">
        <v>688</v>
      </c>
      <c r="B273" s="2" t="s">
        <v>54</v>
      </c>
      <c r="C273" s="2" t="s">
        <v>54</v>
      </c>
      <c r="D273" s="2" t="s">
        <v>698</v>
      </c>
      <c r="E273" s="2" t="s">
        <v>699</v>
      </c>
      <c r="F273" s="3">
        <v>825393.3</v>
      </c>
      <c r="G273" s="4">
        <v>886527</v>
      </c>
      <c r="H273" s="4">
        <v>931645</v>
      </c>
      <c r="I273" s="4">
        <v>957137</v>
      </c>
      <c r="J273" s="16">
        <f t="shared" si="8"/>
        <v>5.0892979006843531E-2</v>
      </c>
      <c r="K273" s="16">
        <f t="shared" si="9"/>
        <v>2.7362353686221752E-2</v>
      </c>
    </row>
    <row r="274" spans="1:11" ht="19.5" customHeight="1" x14ac:dyDescent="0.25">
      <c r="A274" s="2" t="s">
        <v>700</v>
      </c>
      <c r="B274" s="2" t="s">
        <v>16</v>
      </c>
      <c r="C274" s="2" t="s">
        <v>701</v>
      </c>
      <c r="D274" s="2" t="s">
        <v>702</v>
      </c>
      <c r="E274" s="2" t="s">
        <v>703</v>
      </c>
      <c r="F274" s="3">
        <v>0</v>
      </c>
      <c r="G274" s="3">
        <v>35000</v>
      </c>
      <c r="H274" s="4">
        <v>35000</v>
      </c>
      <c r="I274" s="4">
        <v>35000</v>
      </c>
      <c r="J274" s="16">
        <f t="shared" si="8"/>
        <v>0</v>
      </c>
      <c r="K274" s="16">
        <f t="shared" si="9"/>
        <v>0</v>
      </c>
    </row>
    <row r="275" spans="1:11" ht="19.5" customHeight="1" x14ac:dyDescent="0.25">
      <c r="A275" s="2" t="s">
        <v>700</v>
      </c>
      <c r="B275" s="2" t="s">
        <v>16</v>
      </c>
      <c r="C275" s="2" t="s">
        <v>704</v>
      </c>
      <c r="D275" s="2" t="s">
        <v>705</v>
      </c>
      <c r="E275" s="2" t="s">
        <v>706</v>
      </c>
      <c r="F275" s="3">
        <v>275024.92</v>
      </c>
      <c r="G275" s="3">
        <v>313466</v>
      </c>
      <c r="H275" s="4">
        <v>313466</v>
      </c>
      <c r="I275" s="4">
        <v>313466</v>
      </c>
      <c r="J275" s="16">
        <f t="shared" si="8"/>
        <v>0</v>
      </c>
      <c r="K275" s="16">
        <f t="shared" si="9"/>
        <v>0</v>
      </c>
    </row>
    <row r="276" spans="1:11" ht="19.5" customHeight="1" x14ac:dyDescent="0.25">
      <c r="A276" s="2" t="s">
        <v>700</v>
      </c>
      <c r="B276" s="2" t="s">
        <v>16</v>
      </c>
      <c r="C276" s="2" t="s">
        <v>707</v>
      </c>
      <c r="D276" s="2" t="s">
        <v>708</v>
      </c>
      <c r="E276" s="2" t="s">
        <v>709</v>
      </c>
      <c r="F276" s="3">
        <v>1716644</v>
      </c>
      <c r="G276" s="3">
        <v>1980213</v>
      </c>
      <c r="H276" s="4">
        <v>2080213</v>
      </c>
      <c r="I276" s="4">
        <v>2080213</v>
      </c>
      <c r="J276" s="16">
        <f t="shared" si="8"/>
        <v>5.0499617970390043E-2</v>
      </c>
      <c r="K276" s="16">
        <f t="shared" si="9"/>
        <v>0</v>
      </c>
    </row>
    <row r="277" spans="1:11" ht="19.5" customHeight="1" x14ac:dyDescent="0.25">
      <c r="A277" s="2" t="s">
        <v>700</v>
      </c>
      <c r="B277" s="2" t="s">
        <v>16</v>
      </c>
      <c r="C277" s="2" t="s">
        <v>710</v>
      </c>
      <c r="D277" s="2" t="s">
        <v>711</v>
      </c>
      <c r="E277" s="2" t="s">
        <v>712</v>
      </c>
      <c r="F277" s="4">
        <v>11690540.34</v>
      </c>
      <c r="G277" s="3">
        <v>10465295</v>
      </c>
      <c r="H277" s="4">
        <v>11491192</v>
      </c>
      <c r="I277" s="4">
        <v>11489073</v>
      </c>
      <c r="J277" s="16">
        <f t="shared" si="8"/>
        <v>9.8028483669117872E-2</v>
      </c>
      <c r="K277" s="16">
        <f t="shared" si="9"/>
        <v>-1.844021055430467E-4</v>
      </c>
    </row>
    <row r="278" spans="1:11" ht="19.5" customHeight="1" x14ac:dyDescent="0.25">
      <c r="A278" s="2" t="s">
        <v>700</v>
      </c>
      <c r="B278" s="2" t="s">
        <v>16</v>
      </c>
      <c r="C278" s="2" t="s">
        <v>710</v>
      </c>
      <c r="D278" s="2" t="s">
        <v>713</v>
      </c>
      <c r="E278" s="2" t="s">
        <v>714</v>
      </c>
      <c r="F278" s="3">
        <v>91719455.689999998</v>
      </c>
      <c r="G278" s="3">
        <v>70000000</v>
      </c>
      <c r="H278" s="4">
        <v>70000000</v>
      </c>
      <c r="I278" s="4">
        <v>70000000</v>
      </c>
      <c r="J278" s="16">
        <f t="shared" si="8"/>
        <v>0</v>
      </c>
      <c r="K278" s="16">
        <f t="shared" si="9"/>
        <v>0</v>
      </c>
    </row>
    <row r="279" spans="1:11" ht="19.5" customHeight="1" x14ac:dyDescent="0.25">
      <c r="A279" s="2" t="s">
        <v>700</v>
      </c>
      <c r="B279" s="2" t="s">
        <v>16</v>
      </c>
      <c r="C279" s="2" t="s">
        <v>715</v>
      </c>
      <c r="D279" s="2" t="s">
        <v>716</v>
      </c>
      <c r="E279" s="2" t="s">
        <v>717</v>
      </c>
      <c r="F279" s="3">
        <v>8429643.2799999993</v>
      </c>
      <c r="G279" s="4">
        <v>10138048</v>
      </c>
      <c r="H279" s="4">
        <v>10138048</v>
      </c>
      <c r="I279" s="4">
        <v>10138048</v>
      </c>
      <c r="J279" s="16">
        <f t="shared" si="8"/>
        <v>0</v>
      </c>
      <c r="K279" s="16">
        <f t="shared" si="9"/>
        <v>0</v>
      </c>
    </row>
    <row r="280" spans="1:11" ht="19.5" customHeight="1" x14ac:dyDescent="0.25">
      <c r="A280" s="2" t="s">
        <v>700</v>
      </c>
      <c r="B280" s="2" t="s">
        <v>16</v>
      </c>
      <c r="C280" s="2" t="s">
        <v>718</v>
      </c>
      <c r="D280" s="2" t="s">
        <v>719</v>
      </c>
      <c r="E280" s="2" t="s">
        <v>720</v>
      </c>
      <c r="F280" s="3">
        <v>18411099.289999999</v>
      </c>
      <c r="G280" s="4">
        <v>21688598</v>
      </c>
      <c r="H280" s="4">
        <v>23166255</v>
      </c>
      <c r="I280" s="4">
        <v>23451914</v>
      </c>
      <c r="J280" s="16">
        <f t="shared" si="8"/>
        <v>6.8130591013766839E-2</v>
      </c>
      <c r="K280" s="16">
        <f t="shared" si="9"/>
        <v>1.2330823432617821E-2</v>
      </c>
    </row>
    <row r="281" spans="1:11" ht="19.5" customHeight="1" x14ac:dyDescent="0.25">
      <c r="A281" s="2" t="s">
        <v>700</v>
      </c>
      <c r="B281" s="2" t="s">
        <v>16</v>
      </c>
      <c r="C281" s="2" t="s">
        <v>718</v>
      </c>
      <c r="D281" s="2" t="s">
        <v>721</v>
      </c>
      <c r="E281" s="2" t="s">
        <v>722</v>
      </c>
      <c r="F281" s="3">
        <v>5112864.51</v>
      </c>
      <c r="G281" s="3">
        <v>5200000</v>
      </c>
      <c r="H281" s="4">
        <v>6675000</v>
      </c>
      <c r="I281" s="4">
        <v>6275000</v>
      </c>
      <c r="J281" s="16">
        <f t="shared" si="8"/>
        <v>0.28365384615384626</v>
      </c>
      <c r="K281" s="16">
        <f t="shared" si="9"/>
        <v>-5.9925093632958837E-2</v>
      </c>
    </row>
    <row r="282" spans="1:11" ht="19.5" customHeight="1" x14ac:dyDescent="0.25">
      <c r="A282" s="2" t="s">
        <v>700</v>
      </c>
      <c r="B282" s="2" t="s">
        <v>16</v>
      </c>
      <c r="C282" s="2" t="s">
        <v>723</v>
      </c>
      <c r="D282" s="2" t="s">
        <v>724</v>
      </c>
      <c r="E282" s="2" t="s">
        <v>725</v>
      </c>
      <c r="F282" s="3">
        <v>6843</v>
      </c>
      <c r="G282" s="3">
        <v>69655</v>
      </c>
      <c r="H282" s="4">
        <v>69655</v>
      </c>
      <c r="I282" s="4">
        <v>69655</v>
      </c>
      <c r="J282" s="16">
        <f t="shared" si="8"/>
        <v>0</v>
      </c>
      <c r="K282" s="16">
        <f t="shared" si="9"/>
        <v>0</v>
      </c>
    </row>
    <row r="283" spans="1:11" ht="19.5" customHeight="1" x14ac:dyDescent="0.25">
      <c r="A283" s="2" t="s">
        <v>700</v>
      </c>
      <c r="B283" s="2" t="s">
        <v>16</v>
      </c>
      <c r="C283" s="2" t="s">
        <v>726</v>
      </c>
      <c r="D283" s="2" t="s">
        <v>727</v>
      </c>
      <c r="E283" s="2" t="s">
        <v>728</v>
      </c>
      <c r="F283" s="3">
        <v>0</v>
      </c>
      <c r="G283" s="3">
        <v>50000</v>
      </c>
      <c r="H283" s="4">
        <v>50000</v>
      </c>
      <c r="I283" s="4">
        <v>50000</v>
      </c>
      <c r="J283" s="16">
        <f t="shared" si="8"/>
        <v>0</v>
      </c>
      <c r="K283" s="16">
        <f t="shared" si="9"/>
        <v>0</v>
      </c>
    </row>
    <row r="284" spans="1:11" ht="19.5" customHeight="1" x14ac:dyDescent="0.25">
      <c r="A284" s="2" t="s">
        <v>700</v>
      </c>
      <c r="B284" s="2" t="s">
        <v>16</v>
      </c>
      <c r="C284" s="2" t="s">
        <v>729</v>
      </c>
      <c r="D284" s="2" t="s">
        <v>730</v>
      </c>
      <c r="E284" s="2" t="s">
        <v>731</v>
      </c>
      <c r="F284" s="3">
        <v>3670206.04</v>
      </c>
      <c r="G284" s="3">
        <v>4067513</v>
      </c>
      <c r="H284" s="4">
        <v>4155513</v>
      </c>
      <c r="I284" s="4">
        <v>4227780</v>
      </c>
      <c r="J284" s="16">
        <f t="shared" si="8"/>
        <v>2.1634841732528054E-2</v>
      </c>
      <c r="K284" s="16">
        <f t="shared" si="9"/>
        <v>1.7390632636692605E-2</v>
      </c>
    </row>
    <row r="285" spans="1:11" ht="19.5" customHeight="1" x14ac:dyDescent="0.25">
      <c r="A285" s="2" t="s">
        <v>700</v>
      </c>
      <c r="B285" s="2" t="s">
        <v>16</v>
      </c>
      <c r="C285" s="2" t="s">
        <v>732</v>
      </c>
      <c r="D285" s="2" t="s">
        <v>733</v>
      </c>
      <c r="E285" s="2" t="s">
        <v>734</v>
      </c>
      <c r="F285" s="3">
        <v>6010437.0599999996</v>
      </c>
      <c r="G285" s="3">
        <v>6363135</v>
      </c>
      <c r="H285" s="4">
        <v>7234782</v>
      </c>
      <c r="I285" s="4">
        <v>7387595</v>
      </c>
      <c r="J285" s="16">
        <f t="shared" si="8"/>
        <v>0.13698389237380626</v>
      </c>
      <c r="K285" s="16">
        <f t="shared" si="9"/>
        <v>2.1121990959782844E-2</v>
      </c>
    </row>
    <row r="286" spans="1:11" ht="19.5" customHeight="1" x14ac:dyDescent="0.25">
      <c r="A286" s="2" t="s">
        <v>700</v>
      </c>
      <c r="B286" s="2" t="s">
        <v>16</v>
      </c>
      <c r="C286" s="2" t="s">
        <v>735</v>
      </c>
      <c r="D286" s="2" t="s">
        <v>736</v>
      </c>
      <c r="E286" s="2" t="s">
        <v>737</v>
      </c>
      <c r="F286" s="3">
        <v>3621256.67</v>
      </c>
      <c r="G286" s="3">
        <v>3807712</v>
      </c>
      <c r="H286" s="4">
        <v>3807712</v>
      </c>
      <c r="I286" s="4">
        <v>3807712</v>
      </c>
      <c r="J286" s="16">
        <f t="shared" si="8"/>
        <v>0</v>
      </c>
      <c r="K286" s="16">
        <f t="shared" si="9"/>
        <v>0</v>
      </c>
    </row>
    <row r="287" spans="1:11" ht="19.5" customHeight="1" x14ac:dyDescent="0.25">
      <c r="A287" s="2" t="s">
        <v>700</v>
      </c>
      <c r="B287" s="2" t="s">
        <v>16</v>
      </c>
      <c r="C287" s="2" t="s">
        <v>738</v>
      </c>
      <c r="D287" s="2" t="s">
        <v>739</v>
      </c>
      <c r="E287" s="2" t="s">
        <v>740</v>
      </c>
      <c r="F287" s="3">
        <v>4118301.09</v>
      </c>
      <c r="G287" s="3">
        <v>5777988</v>
      </c>
      <c r="H287" s="4">
        <v>5517185</v>
      </c>
      <c r="I287" s="4">
        <v>5510095</v>
      </c>
      <c r="J287" s="16">
        <f t="shared" si="8"/>
        <v>-4.5137338464531274E-2</v>
      </c>
      <c r="K287" s="16">
        <f t="shared" si="9"/>
        <v>-1.285075631866639E-3</v>
      </c>
    </row>
    <row r="288" spans="1:11" ht="19.5" customHeight="1" x14ac:dyDescent="0.25">
      <c r="A288" s="2" t="s">
        <v>700</v>
      </c>
      <c r="B288" s="2" t="s">
        <v>16</v>
      </c>
      <c r="C288" s="2" t="s">
        <v>741</v>
      </c>
      <c r="D288" s="2" t="s">
        <v>742</v>
      </c>
      <c r="E288" s="2" t="s">
        <v>743</v>
      </c>
      <c r="F288" s="3">
        <v>27287042.77</v>
      </c>
      <c r="G288" s="3">
        <v>30929000</v>
      </c>
      <c r="H288" s="4">
        <v>30929000</v>
      </c>
      <c r="I288" s="4">
        <v>30929000</v>
      </c>
      <c r="J288" s="16">
        <f t="shared" si="8"/>
        <v>0</v>
      </c>
      <c r="K288" s="16">
        <f t="shared" si="9"/>
        <v>0</v>
      </c>
    </row>
    <row r="289" spans="1:11" ht="19.5" customHeight="1" x14ac:dyDescent="0.25">
      <c r="A289" s="2" t="s">
        <v>700</v>
      </c>
      <c r="B289" s="2" t="s">
        <v>16</v>
      </c>
      <c r="C289" s="2" t="s">
        <v>744</v>
      </c>
      <c r="D289" s="2" t="s">
        <v>745</v>
      </c>
      <c r="E289" s="2" t="s">
        <v>746</v>
      </c>
      <c r="F289" s="3">
        <v>300000</v>
      </c>
      <c r="G289" s="3">
        <v>300000</v>
      </c>
      <c r="H289" s="4">
        <v>600000</v>
      </c>
      <c r="I289" s="4">
        <v>600000</v>
      </c>
      <c r="J289" s="16">
        <f t="shared" si="8"/>
        <v>1</v>
      </c>
      <c r="K289" s="16">
        <f t="shared" si="9"/>
        <v>0</v>
      </c>
    </row>
    <row r="290" spans="1:11" ht="19.5" customHeight="1" x14ac:dyDescent="0.25">
      <c r="A290" s="2" t="s">
        <v>700</v>
      </c>
      <c r="B290" s="2" t="s">
        <v>16</v>
      </c>
      <c r="C290" s="2" t="s">
        <v>747</v>
      </c>
      <c r="D290" s="2" t="s">
        <v>748</v>
      </c>
      <c r="E290" s="2" t="s">
        <v>749</v>
      </c>
      <c r="F290" s="3">
        <v>61907</v>
      </c>
      <c r="G290" s="3">
        <v>150000</v>
      </c>
      <c r="H290" s="4">
        <v>150000</v>
      </c>
      <c r="I290" s="4">
        <v>150000</v>
      </c>
      <c r="J290" s="16">
        <f t="shared" si="8"/>
        <v>0</v>
      </c>
      <c r="K290" s="16">
        <f t="shared" si="9"/>
        <v>0</v>
      </c>
    </row>
    <row r="291" spans="1:11" ht="19.5" customHeight="1" x14ac:dyDescent="0.25">
      <c r="A291" s="2" t="s">
        <v>700</v>
      </c>
      <c r="B291" s="2" t="s">
        <v>16</v>
      </c>
      <c r="C291" s="2" t="s">
        <v>750</v>
      </c>
      <c r="D291" s="2" t="s">
        <v>751</v>
      </c>
      <c r="E291" s="2" t="s">
        <v>752</v>
      </c>
      <c r="F291" s="3">
        <v>268274.02</v>
      </c>
      <c r="G291" s="3">
        <v>682150</v>
      </c>
      <c r="H291" s="4">
        <v>2182150</v>
      </c>
      <c r="I291" s="4">
        <v>2182150</v>
      </c>
      <c r="J291" s="16">
        <f t="shared" si="8"/>
        <v>2.1989298541376532</v>
      </c>
      <c r="K291" s="16">
        <f t="shared" si="9"/>
        <v>0</v>
      </c>
    </row>
    <row r="292" spans="1:11" ht="19.5" customHeight="1" x14ac:dyDescent="0.25">
      <c r="A292" s="2" t="s">
        <v>700</v>
      </c>
      <c r="B292" s="2" t="s">
        <v>16</v>
      </c>
      <c r="C292" s="2" t="s">
        <v>753</v>
      </c>
      <c r="D292" s="2" t="s">
        <v>754</v>
      </c>
      <c r="E292" s="2" t="s">
        <v>755</v>
      </c>
      <c r="F292" s="3">
        <v>0</v>
      </c>
      <c r="G292" s="4">
        <v>27324</v>
      </c>
      <c r="H292" s="4">
        <v>27324</v>
      </c>
      <c r="I292" s="4">
        <v>27324</v>
      </c>
      <c r="J292" s="16">
        <f t="shared" si="8"/>
        <v>0</v>
      </c>
      <c r="K292" s="16">
        <f t="shared" si="9"/>
        <v>0</v>
      </c>
    </row>
    <row r="293" spans="1:11" ht="19.5" customHeight="1" x14ac:dyDescent="0.25">
      <c r="A293" s="2" t="s">
        <v>700</v>
      </c>
      <c r="B293" s="2" t="s">
        <v>16</v>
      </c>
      <c r="C293" s="2" t="s">
        <v>756</v>
      </c>
      <c r="D293" s="2" t="s">
        <v>757</v>
      </c>
      <c r="E293" s="2" t="s">
        <v>758</v>
      </c>
      <c r="F293" s="3">
        <v>0</v>
      </c>
      <c r="G293" s="4">
        <v>788204</v>
      </c>
      <c r="H293" s="4">
        <v>327470</v>
      </c>
      <c r="I293" s="4">
        <v>396154</v>
      </c>
      <c r="J293" s="16">
        <f t="shared" si="8"/>
        <v>-0.58453649055320711</v>
      </c>
      <c r="K293" s="16">
        <f t="shared" si="9"/>
        <v>0.20974135035270414</v>
      </c>
    </row>
    <row r="294" spans="1:11" ht="19.5" customHeight="1" x14ac:dyDescent="0.25">
      <c r="A294" s="2" t="s">
        <v>700</v>
      </c>
      <c r="B294" s="2" t="s">
        <v>16</v>
      </c>
      <c r="C294" s="2" t="s">
        <v>759</v>
      </c>
      <c r="D294" s="2" t="s">
        <v>760</v>
      </c>
      <c r="E294" s="2" t="s">
        <v>761</v>
      </c>
      <c r="F294" s="3">
        <v>14511882.9</v>
      </c>
      <c r="G294" s="3">
        <v>19705103</v>
      </c>
      <c r="H294" s="4">
        <v>23532000</v>
      </c>
      <c r="I294" s="4">
        <v>25395000</v>
      </c>
      <c r="J294" s="16">
        <f t="shared" si="8"/>
        <v>0.19420842408182293</v>
      </c>
      <c r="K294" s="16">
        <f t="shared" si="9"/>
        <v>7.916879143294242E-2</v>
      </c>
    </row>
    <row r="295" spans="1:11" ht="19.5" customHeight="1" x14ac:dyDescent="0.25">
      <c r="A295" s="2" t="s">
        <v>700</v>
      </c>
      <c r="B295" s="2" t="s">
        <v>16</v>
      </c>
      <c r="C295" s="2" t="s">
        <v>762</v>
      </c>
      <c r="D295" s="2" t="s">
        <v>763</v>
      </c>
      <c r="E295" s="2" t="s">
        <v>764</v>
      </c>
      <c r="F295" s="3">
        <v>11228180.699999999</v>
      </c>
      <c r="G295" s="3">
        <v>14787281</v>
      </c>
      <c r="H295" s="4">
        <v>16829784</v>
      </c>
      <c r="I295" s="4">
        <v>15584778</v>
      </c>
      <c r="J295" s="16">
        <f t="shared" si="8"/>
        <v>0.13812566353476341</v>
      </c>
      <c r="K295" s="16">
        <f t="shared" si="9"/>
        <v>-7.3976350498616061E-2</v>
      </c>
    </row>
    <row r="296" spans="1:11" ht="19.5" customHeight="1" x14ac:dyDescent="0.25">
      <c r="A296" s="2" t="s">
        <v>700</v>
      </c>
      <c r="B296" s="2" t="s">
        <v>16</v>
      </c>
      <c r="C296" s="2" t="s">
        <v>765</v>
      </c>
      <c r="D296" s="2" t="s">
        <v>766</v>
      </c>
      <c r="E296" s="2" t="s">
        <v>767</v>
      </c>
      <c r="F296" s="3">
        <v>91034.7</v>
      </c>
      <c r="G296" s="3">
        <v>100000</v>
      </c>
      <c r="H296" s="4">
        <v>130000</v>
      </c>
      <c r="I296" s="4">
        <v>130000</v>
      </c>
      <c r="J296" s="16">
        <f t="shared" si="8"/>
        <v>0.30000000000000004</v>
      </c>
      <c r="K296" s="16">
        <f t="shared" si="9"/>
        <v>0</v>
      </c>
    </row>
    <row r="297" spans="1:11" ht="19.5" customHeight="1" x14ac:dyDescent="0.25">
      <c r="A297" s="2" t="s">
        <v>700</v>
      </c>
      <c r="B297" s="2" t="s">
        <v>16</v>
      </c>
      <c r="C297" s="2" t="s">
        <v>768</v>
      </c>
      <c r="D297" s="2" t="s">
        <v>769</v>
      </c>
      <c r="E297" s="2" t="s">
        <v>770</v>
      </c>
      <c r="F297" s="3">
        <v>0</v>
      </c>
      <c r="G297" s="3">
        <v>50000</v>
      </c>
      <c r="H297" s="4">
        <v>50000</v>
      </c>
      <c r="I297" s="4">
        <v>50000</v>
      </c>
      <c r="J297" s="16">
        <f t="shared" si="8"/>
        <v>0</v>
      </c>
      <c r="K297" s="16">
        <f t="shared" si="9"/>
        <v>0</v>
      </c>
    </row>
    <row r="298" spans="1:11" ht="19.5" customHeight="1" x14ac:dyDescent="0.25">
      <c r="A298" s="2" t="s">
        <v>700</v>
      </c>
      <c r="B298" s="2" t="s">
        <v>16</v>
      </c>
      <c r="C298" s="2" t="s">
        <v>771</v>
      </c>
      <c r="D298" s="2" t="s">
        <v>772</v>
      </c>
      <c r="E298" s="2" t="s">
        <v>773</v>
      </c>
      <c r="F298" s="3">
        <v>189462.27</v>
      </c>
      <c r="G298" s="3">
        <v>270478</v>
      </c>
      <c r="H298" s="4">
        <v>331281</v>
      </c>
      <c r="I298" s="4">
        <v>340357</v>
      </c>
      <c r="J298" s="16">
        <f t="shared" si="8"/>
        <v>0.22479832001123934</v>
      </c>
      <c r="K298" s="16">
        <f t="shared" si="9"/>
        <v>2.7396681367177766E-2</v>
      </c>
    </row>
    <row r="299" spans="1:11" ht="19.5" customHeight="1" x14ac:dyDescent="0.25">
      <c r="A299" s="2" t="s">
        <v>700</v>
      </c>
      <c r="B299" s="2" t="s">
        <v>16</v>
      </c>
      <c r="C299" s="2" t="s">
        <v>774</v>
      </c>
      <c r="D299" s="2" t="s">
        <v>775</v>
      </c>
      <c r="E299" s="2" t="s">
        <v>776</v>
      </c>
      <c r="F299" s="3">
        <v>3953129.71</v>
      </c>
      <c r="G299" s="3">
        <v>5121000</v>
      </c>
      <c r="H299" s="4">
        <v>5121000</v>
      </c>
      <c r="I299" s="4">
        <v>5121000</v>
      </c>
      <c r="J299" s="16">
        <f t="shared" si="8"/>
        <v>0</v>
      </c>
      <c r="K299" s="16">
        <f t="shared" si="9"/>
        <v>0</v>
      </c>
    </row>
    <row r="300" spans="1:11" ht="19.5" customHeight="1" x14ac:dyDescent="0.25">
      <c r="A300" s="2" t="s">
        <v>700</v>
      </c>
      <c r="B300" s="2" t="s">
        <v>16</v>
      </c>
      <c r="C300" s="2" t="s">
        <v>777</v>
      </c>
      <c r="D300" s="2" t="s">
        <v>778</v>
      </c>
      <c r="E300" s="2" t="s">
        <v>779</v>
      </c>
      <c r="F300" s="3">
        <v>3423.76</v>
      </c>
      <c r="G300" s="4">
        <v>96320</v>
      </c>
      <c r="H300" s="4">
        <v>96320</v>
      </c>
      <c r="I300" s="4">
        <v>100813</v>
      </c>
      <c r="J300" s="16">
        <f t="shared" si="8"/>
        <v>0</v>
      </c>
      <c r="K300" s="16">
        <f t="shared" si="9"/>
        <v>4.6646594684385478E-2</v>
      </c>
    </row>
    <row r="301" spans="1:11" ht="19.5" customHeight="1" x14ac:dyDescent="0.25">
      <c r="A301" s="2" t="s">
        <v>700</v>
      </c>
      <c r="B301" s="2" t="s">
        <v>16</v>
      </c>
      <c r="C301" s="2" t="s">
        <v>780</v>
      </c>
      <c r="D301" s="2" t="s">
        <v>781</v>
      </c>
      <c r="E301" s="2" t="s">
        <v>782</v>
      </c>
      <c r="F301" s="3">
        <v>0</v>
      </c>
      <c r="G301" s="3">
        <v>10000</v>
      </c>
      <c r="H301" s="4">
        <v>10000</v>
      </c>
      <c r="I301" s="4">
        <v>10000</v>
      </c>
      <c r="J301" s="16">
        <f t="shared" si="8"/>
        <v>0</v>
      </c>
      <c r="K301" s="16">
        <f t="shared" si="9"/>
        <v>0</v>
      </c>
    </row>
    <row r="302" spans="1:11" ht="19.5" customHeight="1" x14ac:dyDescent="0.25">
      <c r="A302" s="2" t="s">
        <v>700</v>
      </c>
      <c r="B302" s="2" t="s">
        <v>16</v>
      </c>
      <c r="C302" s="2" t="s">
        <v>783</v>
      </c>
      <c r="D302" s="2" t="s">
        <v>784</v>
      </c>
      <c r="E302" s="2" t="s">
        <v>785</v>
      </c>
      <c r="F302" s="3">
        <v>351557.22</v>
      </c>
      <c r="G302" s="3">
        <v>412693</v>
      </c>
      <c r="H302" s="4">
        <v>437693</v>
      </c>
      <c r="I302" s="4">
        <v>437693</v>
      </c>
      <c r="J302" s="16">
        <f t="shared" si="8"/>
        <v>6.0577717576988155E-2</v>
      </c>
      <c r="K302" s="16">
        <f t="shared" si="9"/>
        <v>0</v>
      </c>
    </row>
    <row r="303" spans="1:11" ht="19.5" customHeight="1" x14ac:dyDescent="0.25">
      <c r="A303" s="2" t="s">
        <v>700</v>
      </c>
      <c r="B303" s="2" t="s">
        <v>16</v>
      </c>
      <c r="C303" s="2" t="s">
        <v>786</v>
      </c>
      <c r="D303" s="2" t="s">
        <v>787</v>
      </c>
      <c r="E303" s="2" t="s">
        <v>788</v>
      </c>
      <c r="F303" s="3">
        <v>0</v>
      </c>
      <c r="G303" s="3">
        <v>0</v>
      </c>
      <c r="H303" s="4">
        <v>2500000</v>
      </c>
      <c r="I303" s="4">
        <v>2500000</v>
      </c>
      <c r="J303" s="16" t="str">
        <f t="shared" si="8"/>
        <v>--</v>
      </c>
      <c r="K303" s="16">
        <f t="shared" si="9"/>
        <v>0</v>
      </c>
    </row>
    <row r="304" spans="1:11" ht="19.5" customHeight="1" x14ac:dyDescent="0.25">
      <c r="A304" s="2" t="s">
        <v>700</v>
      </c>
      <c r="B304" s="2" t="s">
        <v>16</v>
      </c>
      <c r="C304" s="2" t="s">
        <v>789</v>
      </c>
      <c r="D304" s="2" t="s">
        <v>790</v>
      </c>
      <c r="E304" s="2" t="s">
        <v>791</v>
      </c>
      <c r="F304" s="3">
        <v>2413125.52</v>
      </c>
      <c r="G304" s="3">
        <v>2301714</v>
      </c>
      <c r="H304" s="4">
        <v>2481714</v>
      </c>
      <c r="I304" s="4">
        <v>2501714</v>
      </c>
      <c r="J304" s="16">
        <f t="shared" si="8"/>
        <v>7.8202591633886653E-2</v>
      </c>
      <c r="K304" s="16">
        <f t="shared" si="9"/>
        <v>8.0589463572353637E-3</v>
      </c>
    </row>
    <row r="305" spans="1:11" ht="19.5" customHeight="1" x14ac:dyDescent="0.25">
      <c r="A305" s="2" t="s">
        <v>700</v>
      </c>
      <c r="B305" s="2" t="s">
        <v>16</v>
      </c>
      <c r="C305" s="2" t="s">
        <v>792</v>
      </c>
      <c r="D305" s="2" t="s">
        <v>793</v>
      </c>
      <c r="E305" s="2" t="s">
        <v>794</v>
      </c>
      <c r="F305" s="3">
        <v>672784.03</v>
      </c>
      <c r="G305" s="3">
        <v>1095546</v>
      </c>
      <c r="H305" s="4">
        <v>1095546</v>
      </c>
      <c r="I305" s="4">
        <v>1108310</v>
      </c>
      <c r="J305" s="16">
        <f t="shared" si="8"/>
        <v>0</v>
      </c>
      <c r="K305" s="16">
        <f t="shared" si="9"/>
        <v>1.1650811558802543E-2</v>
      </c>
    </row>
    <row r="306" spans="1:11" ht="19.5" customHeight="1" x14ac:dyDescent="0.25">
      <c r="A306" s="2" t="s">
        <v>700</v>
      </c>
      <c r="B306" s="2" t="s">
        <v>44</v>
      </c>
      <c r="C306" s="2" t="s">
        <v>795</v>
      </c>
      <c r="D306" s="2" t="s">
        <v>796</v>
      </c>
      <c r="E306" s="2" t="s">
        <v>797</v>
      </c>
      <c r="F306" s="3">
        <v>789405.7</v>
      </c>
      <c r="G306" s="3">
        <v>805112</v>
      </c>
      <c r="H306" s="4">
        <v>805112</v>
      </c>
      <c r="I306" s="4">
        <v>805112</v>
      </c>
      <c r="J306" s="16">
        <f t="shared" si="8"/>
        <v>0</v>
      </c>
      <c r="K306" s="16">
        <f t="shared" si="9"/>
        <v>0</v>
      </c>
    </row>
    <row r="307" spans="1:11" ht="19.5" customHeight="1" x14ac:dyDescent="0.25">
      <c r="A307" s="2" t="s">
        <v>700</v>
      </c>
      <c r="B307" s="2" t="s">
        <v>44</v>
      </c>
      <c r="C307" s="2" t="s">
        <v>795</v>
      </c>
      <c r="D307" s="2" t="s">
        <v>798</v>
      </c>
      <c r="E307" s="2" t="s">
        <v>799</v>
      </c>
      <c r="F307" s="3">
        <v>1952978.17</v>
      </c>
      <c r="G307" s="4">
        <v>1949887</v>
      </c>
      <c r="H307" s="4">
        <v>2000000</v>
      </c>
      <c r="I307" s="4">
        <v>2000000</v>
      </c>
      <c r="J307" s="16">
        <f t="shared" si="8"/>
        <v>2.570046366789458E-2</v>
      </c>
      <c r="K307" s="16">
        <f t="shared" si="9"/>
        <v>0</v>
      </c>
    </row>
    <row r="308" spans="1:11" ht="19.5" customHeight="1" x14ac:dyDescent="0.25">
      <c r="A308" s="2" t="s">
        <v>700</v>
      </c>
      <c r="B308" s="2" t="s">
        <v>44</v>
      </c>
      <c r="C308" s="2" t="s">
        <v>800</v>
      </c>
      <c r="D308" s="2" t="s">
        <v>801</v>
      </c>
      <c r="E308" s="2" t="s">
        <v>802</v>
      </c>
      <c r="F308" s="3">
        <v>0</v>
      </c>
      <c r="G308" s="4">
        <v>3302976</v>
      </c>
      <c r="H308" s="4">
        <v>3302976</v>
      </c>
      <c r="I308" s="4">
        <v>0</v>
      </c>
      <c r="J308" s="16">
        <f t="shared" si="8"/>
        <v>0</v>
      </c>
      <c r="K308" s="16">
        <f t="shared" si="9"/>
        <v>-1</v>
      </c>
    </row>
    <row r="309" spans="1:11" ht="19.5" customHeight="1" x14ac:dyDescent="0.25">
      <c r="A309" s="2" t="s">
        <v>700</v>
      </c>
      <c r="B309" s="2" t="s">
        <v>243</v>
      </c>
      <c r="C309" s="2" t="s">
        <v>803</v>
      </c>
      <c r="D309" s="2" t="s">
        <v>804</v>
      </c>
      <c r="E309" s="2" t="s">
        <v>805</v>
      </c>
      <c r="F309" s="3">
        <v>7787230.9900000002</v>
      </c>
      <c r="G309" s="3">
        <v>8364140</v>
      </c>
      <c r="H309" s="4">
        <v>9481409</v>
      </c>
      <c r="I309" s="4">
        <v>9296249</v>
      </c>
      <c r="J309" s="16">
        <f t="shared" si="8"/>
        <v>0.13357846712274069</v>
      </c>
      <c r="K309" s="16">
        <f t="shared" si="9"/>
        <v>-1.9528743038086382E-2</v>
      </c>
    </row>
    <row r="310" spans="1:11" ht="19.5" customHeight="1" x14ac:dyDescent="0.25">
      <c r="A310" s="2" t="s">
        <v>700</v>
      </c>
      <c r="B310" s="2" t="s">
        <v>243</v>
      </c>
      <c r="C310" s="2" t="s">
        <v>803</v>
      </c>
      <c r="D310" s="2" t="s">
        <v>806</v>
      </c>
      <c r="E310" s="2" t="s">
        <v>807</v>
      </c>
      <c r="F310" s="3">
        <v>7576125.5099999998</v>
      </c>
      <c r="G310" s="3">
        <v>10185860</v>
      </c>
      <c r="H310" s="4">
        <v>10990749</v>
      </c>
      <c r="I310" s="4">
        <v>10677029</v>
      </c>
      <c r="J310" s="16">
        <f t="shared" si="8"/>
        <v>7.9020230005124814E-2</v>
      </c>
      <c r="K310" s="16">
        <f t="shared" si="9"/>
        <v>-2.8544005508632786E-2</v>
      </c>
    </row>
    <row r="311" spans="1:11" ht="19.5" customHeight="1" x14ac:dyDescent="0.25">
      <c r="A311" s="2" t="s">
        <v>808</v>
      </c>
      <c r="B311" s="2" t="s">
        <v>16</v>
      </c>
      <c r="C311" s="2" t="s">
        <v>20</v>
      </c>
      <c r="D311" s="2" t="s">
        <v>809</v>
      </c>
      <c r="E311" s="2" t="s">
        <v>22</v>
      </c>
      <c r="F311" s="3">
        <v>4943759.09</v>
      </c>
      <c r="G311" s="3">
        <v>5626944</v>
      </c>
      <c r="H311" s="4">
        <v>5416852</v>
      </c>
      <c r="I311" s="4">
        <v>5716944</v>
      </c>
      <c r="J311" s="16">
        <f t="shared" si="8"/>
        <v>-3.7336785295890684E-2</v>
      </c>
      <c r="K311" s="16">
        <f t="shared" si="9"/>
        <v>5.5399704477803624E-2</v>
      </c>
    </row>
    <row r="312" spans="1:11" ht="19.5" customHeight="1" x14ac:dyDescent="0.25">
      <c r="A312" s="2" t="s">
        <v>810</v>
      </c>
      <c r="B312" s="2" t="s">
        <v>16</v>
      </c>
      <c r="C312" s="2" t="s">
        <v>20</v>
      </c>
      <c r="D312" s="2" t="s">
        <v>811</v>
      </c>
      <c r="E312" s="2" t="s">
        <v>22</v>
      </c>
      <c r="F312" s="3">
        <v>605211.56999999995</v>
      </c>
      <c r="G312" s="3">
        <v>636389</v>
      </c>
      <c r="H312" s="4">
        <v>636389</v>
      </c>
      <c r="I312" s="4">
        <v>636389</v>
      </c>
      <c r="J312" s="16">
        <f t="shared" si="8"/>
        <v>0</v>
      </c>
      <c r="K312" s="16">
        <f t="shared" si="9"/>
        <v>0</v>
      </c>
    </row>
    <row r="313" spans="1:11" ht="19.5" customHeight="1" x14ac:dyDescent="0.25">
      <c r="A313" s="2" t="s">
        <v>812</v>
      </c>
      <c r="B313" s="2" t="s">
        <v>813</v>
      </c>
      <c r="C313" s="2" t="s">
        <v>814</v>
      </c>
      <c r="D313" s="2" t="s">
        <v>815</v>
      </c>
      <c r="E313" s="2" t="s">
        <v>816</v>
      </c>
      <c r="F313" s="3">
        <v>81410672.200000003</v>
      </c>
      <c r="G313" s="3">
        <v>87403000</v>
      </c>
      <c r="H313" s="4">
        <v>69000000</v>
      </c>
      <c r="I313" s="4">
        <v>76000000</v>
      </c>
      <c r="J313" s="16">
        <f t="shared" si="8"/>
        <v>-0.21055341349839252</v>
      </c>
      <c r="K313" s="16">
        <f t="shared" si="9"/>
        <v>0.10144927536231885</v>
      </c>
    </row>
    <row r="314" spans="1:11" ht="19.5" customHeight="1" x14ac:dyDescent="0.25">
      <c r="A314" s="2" t="s">
        <v>812</v>
      </c>
      <c r="B314" s="2" t="s">
        <v>813</v>
      </c>
      <c r="C314" s="2" t="s">
        <v>817</v>
      </c>
      <c r="D314" s="2" t="s">
        <v>818</v>
      </c>
      <c r="E314" s="2" t="s">
        <v>819</v>
      </c>
      <c r="F314" s="3">
        <v>152717637.36000001</v>
      </c>
      <c r="G314" s="3">
        <v>164693700</v>
      </c>
      <c r="H314" s="4">
        <v>164700000</v>
      </c>
      <c r="I314" s="4">
        <v>164700000</v>
      </c>
      <c r="J314" s="16">
        <f t="shared" si="8"/>
        <v>3.8252829343221606E-5</v>
      </c>
      <c r="K314" s="16">
        <f t="shared" si="9"/>
        <v>0</v>
      </c>
    </row>
    <row r="315" spans="1:11" ht="19.5" customHeight="1" x14ac:dyDescent="0.25">
      <c r="A315" s="2" t="s">
        <v>812</v>
      </c>
      <c r="B315" s="2" t="s">
        <v>813</v>
      </c>
      <c r="C315" s="2" t="s">
        <v>820</v>
      </c>
      <c r="D315" s="2" t="s">
        <v>821</v>
      </c>
      <c r="E315" s="2" t="s">
        <v>822</v>
      </c>
      <c r="F315" s="3">
        <v>19606277.960000001</v>
      </c>
      <c r="G315" s="3">
        <v>20420700</v>
      </c>
      <c r="H315" s="4">
        <v>20600000</v>
      </c>
      <c r="I315" s="4">
        <v>23000000</v>
      </c>
      <c r="J315" s="16">
        <f t="shared" si="8"/>
        <v>8.7803062578657443E-3</v>
      </c>
      <c r="K315" s="16">
        <f t="shared" si="9"/>
        <v>0.11650485436893199</v>
      </c>
    </row>
    <row r="316" spans="1:11" ht="19.5" customHeight="1" x14ac:dyDescent="0.25">
      <c r="A316" s="2" t="s">
        <v>812</v>
      </c>
      <c r="B316" s="2" t="s">
        <v>813</v>
      </c>
      <c r="C316" s="2" t="s">
        <v>823</v>
      </c>
      <c r="D316" s="2" t="s">
        <v>824</v>
      </c>
      <c r="E316" s="2" t="s">
        <v>825</v>
      </c>
      <c r="F316" s="3">
        <v>43701923.200000003</v>
      </c>
      <c r="G316" s="3">
        <v>44394800</v>
      </c>
      <c r="H316" s="4">
        <v>50500000</v>
      </c>
      <c r="I316" s="4">
        <v>53500000</v>
      </c>
      <c r="J316" s="16">
        <f t="shared" si="8"/>
        <v>0.13752061052195308</v>
      </c>
      <c r="K316" s="16">
        <f t="shared" si="9"/>
        <v>5.9405940594059459E-2</v>
      </c>
    </row>
    <row r="317" spans="1:11" ht="19.5" customHeight="1" x14ac:dyDescent="0.25">
      <c r="A317" s="2" t="s">
        <v>812</v>
      </c>
      <c r="B317" s="2" t="s">
        <v>813</v>
      </c>
      <c r="C317" s="2" t="s">
        <v>826</v>
      </c>
      <c r="D317" s="2" t="s">
        <v>827</v>
      </c>
      <c r="E317" s="2" t="s">
        <v>828</v>
      </c>
      <c r="F317" s="3">
        <v>7819605</v>
      </c>
      <c r="G317" s="3">
        <v>7682600</v>
      </c>
      <c r="H317" s="4">
        <v>7300000</v>
      </c>
      <c r="I317" s="4">
        <v>8500000</v>
      </c>
      <c r="J317" s="16">
        <f t="shared" si="8"/>
        <v>-4.9800848671022857E-2</v>
      </c>
      <c r="K317" s="16">
        <f t="shared" si="9"/>
        <v>0.16438356164383561</v>
      </c>
    </row>
    <row r="318" spans="1:11" ht="19.5" customHeight="1" x14ac:dyDescent="0.25">
      <c r="A318" s="2" t="s">
        <v>812</v>
      </c>
      <c r="B318" s="2" t="s">
        <v>813</v>
      </c>
      <c r="C318" s="2" t="s">
        <v>829</v>
      </c>
      <c r="D318" s="2" t="s">
        <v>830</v>
      </c>
      <c r="E318" s="2" t="s">
        <v>831</v>
      </c>
      <c r="F318" s="3">
        <v>226801901.88999999</v>
      </c>
      <c r="G318" s="3">
        <v>231754500</v>
      </c>
      <c r="H318" s="4">
        <v>246500000</v>
      </c>
      <c r="I318" s="4">
        <v>237000000</v>
      </c>
      <c r="J318" s="16">
        <f t="shared" si="8"/>
        <v>6.3625517519616759E-2</v>
      </c>
      <c r="K318" s="16">
        <f t="shared" si="9"/>
        <v>-3.8539553752535483E-2</v>
      </c>
    </row>
    <row r="319" spans="1:11" ht="19.5" customHeight="1" x14ac:dyDescent="0.25">
      <c r="A319" s="2" t="s">
        <v>812</v>
      </c>
      <c r="B319" s="2" t="s">
        <v>813</v>
      </c>
      <c r="C319" s="2" t="s">
        <v>832</v>
      </c>
      <c r="D319" s="2" t="s">
        <v>833</v>
      </c>
      <c r="E319" s="2" t="s">
        <v>834</v>
      </c>
      <c r="F319" s="3">
        <v>412203709.74000001</v>
      </c>
      <c r="G319" s="3">
        <v>424825900</v>
      </c>
      <c r="H319" s="4">
        <v>427000000</v>
      </c>
      <c r="I319" s="4">
        <v>390000000</v>
      </c>
      <c r="J319" s="16">
        <f t="shared" si="8"/>
        <v>5.1176258321350421E-3</v>
      </c>
      <c r="K319" s="16">
        <f t="shared" si="9"/>
        <v>-8.6651053864168603E-2</v>
      </c>
    </row>
    <row r="320" spans="1:11" ht="19.5" customHeight="1" x14ac:dyDescent="0.25">
      <c r="A320" s="2" t="s">
        <v>812</v>
      </c>
      <c r="B320" s="2" t="s">
        <v>813</v>
      </c>
      <c r="C320" s="2" t="s">
        <v>835</v>
      </c>
      <c r="D320" s="2" t="s">
        <v>836</v>
      </c>
      <c r="E320" s="2" t="s">
        <v>837</v>
      </c>
      <c r="F320" s="3">
        <v>323935906.45999998</v>
      </c>
      <c r="G320" s="3">
        <v>348550200</v>
      </c>
      <c r="H320" s="4">
        <v>331000000</v>
      </c>
      <c r="I320" s="4">
        <v>301000000</v>
      </c>
      <c r="J320" s="16">
        <f t="shared" si="8"/>
        <v>-5.0352000945631414E-2</v>
      </c>
      <c r="K320" s="16">
        <f t="shared" si="9"/>
        <v>-9.0634441087613316E-2</v>
      </c>
    </row>
    <row r="321" spans="1:11" ht="19.5" customHeight="1" x14ac:dyDescent="0.25">
      <c r="A321" s="2" t="s">
        <v>812</v>
      </c>
      <c r="B321" s="2" t="s">
        <v>813</v>
      </c>
      <c r="C321" s="2" t="s">
        <v>838</v>
      </c>
      <c r="D321" s="2" t="s">
        <v>839</v>
      </c>
      <c r="E321" s="2" t="s">
        <v>840</v>
      </c>
      <c r="F321" s="3">
        <v>4973458.76</v>
      </c>
      <c r="G321" s="3">
        <v>5586600</v>
      </c>
      <c r="H321" s="4">
        <v>5375000</v>
      </c>
      <c r="I321" s="4">
        <v>5000000</v>
      </c>
      <c r="J321" s="16">
        <f t="shared" si="8"/>
        <v>-3.7876346973114261E-2</v>
      </c>
      <c r="K321" s="16">
        <f t="shared" si="9"/>
        <v>-6.9767441860465129E-2</v>
      </c>
    </row>
    <row r="322" spans="1:11" ht="19.5" customHeight="1" x14ac:dyDescent="0.25">
      <c r="A322" s="2" t="s">
        <v>812</v>
      </c>
      <c r="B322" s="2" t="s">
        <v>813</v>
      </c>
      <c r="C322" s="2" t="s">
        <v>841</v>
      </c>
      <c r="D322" s="2" t="s">
        <v>842</v>
      </c>
      <c r="E322" s="2" t="s">
        <v>843</v>
      </c>
      <c r="F322" s="3">
        <v>15514246.75</v>
      </c>
      <c r="G322" s="3">
        <v>9879900</v>
      </c>
      <c r="H322" s="4">
        <v>4605000</v>
      </c>
      <c r="I322" s="4">
        <v>4605000</v>
      </c>
      <c r="J322" s="16">
        <f t="shared" si="8"/>
        <v>-0.53390216500166998</v>
      </c>
      <c r="K322" s="16">
        <f t="shared" si="9"/>
        <v>0</v>
      </c>
    </row>
    <row r="323" spans="1:11" ht="19.5" customHeight="1" x14ac:dyDescent="0.25">
      <c r="A323" s="2" t="s">
        <v>844</v>
      </c>
      <c r="B323" s="2" t="s">
        <v>16</v>
      </c>
      <c r="C323" s="2" t="s">
        <v>845</v>
      </c>
      <c r="D323" s="2" t="s">
        <v>846</v>
      </c>
      <c r="E323" s="2" t="s">
        <v>847</v>
      </c>
      <c r="F323" s="3">
        <v>1205712.05</v>
      </c>
      <c r="G323" s="3">
        <v>4245906</v>
      </c>
      <c r="H323" s="4">
        <v>4245906</v>
      </c>
      <c r="I323" s="4">
        <v>4245906</v>
      </c>
      <c r="J323" s="16">
        <f t="shared" ref="J323:J386" si="10">IFERROR(H323/G323-1,"--")</f>
        <v>0</v>
      </c>
      <c r="K323" s="16">
        <f t="shared" ref="K323:K386" si="11">IFERROR(I323/H323-1,"--")</f>
        <v>0</v>
      </c>
    </row>
    <row r="324" spans="1:11" ht="19.5" customHeight="1" x14ac:dyDescent="0.25">
      <c r="A324" s="2" t="s">
        <v>844</v>
      </c>
      <c r="B324" s="2" t="s">
        <v>16</v>
      </c>
      <c r="C324" s="2" t="s">
        <v>848</v>
      </c>
      <c r="D324" s="2" t="s">
        <v>849</v>
      </c>
      <c r="E324" s="2" t="s">
        <v>850</v>
      </c>
      <c r="F324" s="3">
        <v>0</v>
      </c>
      <c r="G324" s="3">
        <v>6000</v>
      </c>
      <c r="H324" s="4">
        <v>6000</v>
      </c>
      <c r="I324" s="4">
        <v>6000</v>
      </c>
      <c r="J324" s="16">
        <f t="shared" si="10"/>
        <v>0</v>
      </c>
      <c r="K324" s="16">
        <f t="shared" si="11"/>
        <v>0</v>
      </c>
    </row>
    <row r="325" spans="1:11" ht="19.5" customHeight="1" x14ac:dyDescent="0.25">
      <c r="A325" s="2" t="s">
        <v>844</v>
      </c>
      <c r="B325" s="2" t="s">
        <v>54</v>
      </c>
      <c r="C325" s="2" t="s">
        <v>54</v>
      </c>
      <c r="D325" s="2" t="s">
        <v>851</v>
      </c>
      <c r="E325" s="2" t="s">
        <v>852</v>
      </c>
      <c r="F325" s="3">
        <v>3517891.62</v>
      </c>
      <c r="G325" s="3">
        <v>4069830.22</v>
      </c>
      <c r="H325" s="4">
        <v>4069830</v>
      </c>
      <c r="I325" s="4">
        <v>4069830</v>
      </c>
      <c r="J325" s="16">
        <f t="shared" si="10"/>
        <v>-5.4056309095606991E-8</v>
      </c>
      <c r="K325" s="16">
        <f t="shared" si="11"/>
        <v>0</v>
      </c>
    </row>
    <row r="326" spans="1:11" ht="19.5" customHeight="1" x14ac:dyDescent="0.25">
      <c r="A326" s="2" t="s">
        <v>844</v>
      </c>
      <c r="B326" s="2" t="s">
        <v>54</v>
      </c>
      <c r="C326" s="2" t="s">
        <v>54</v>
      </c>
      <c r="D326" s="2" t="s">
        <v>853</v>
      </c>
      <c r="E326" s="2" t="s">
        <v>854</v>
      </c>
      <c r="F326" s="3">
        <v>1369297.35</v>
      </c>
      <c r="G326" s="3">
        <v>1402832.89</v>
      </c>
      <c r="H326" s="4">
        <v>1552833</v>
      </c>
      <c r="I326" s="4">
        <v>1402833</v>
      </c>
      <c r="J326" s="16">
        <f t="shared" si="10"/>
        <v>0.10692657056251376</v>
      </c>
      <c r="K326" s="16">
        <f t="shared" si="11"/>
        <v>-9.6597637994555785E-2</v>
      </c>
    </row>
    <row r="327" spans="1:11" ht="19.5" customHeight="1" x14ac:dyDescent="0.25">
      <c r="A327" s="2" t="s">
        <v>844</v>
      </c>
      <c r="B327" s="2" t="s">
        <v>243</v>
      </c>
      <c r="C327" s="2" t="s">
        <v>855</v>
      </c>
      <c r="D327" s="2" t="s">
        <v>856</v>
      </c>
      <c r="E327" s="2" t="s">
        <v>857</v>
      </c>
      <c r="F327" s="3">
        <v>714801.06</v>
      </c>
      <c r="G327" s="3">
        <v>800000</v>
      </c>
      <c r="H327" s="4">
        <v>800000</v>
      </c>
      <c r="I327" s="4">
        <v>800000</v>
      </c>
      <c r="J327" s="16">
        <f t="shared" si="10"/>
        <v>0</v>
      </c>
      <c r="K327" s="16">
        <f t="shared" si="11"/>
        <v>0</v>
      </c>
    </row>
    <row r="328" spans="1:11" ht="19.5" customHeight="1" x14ac:dyDescent="0.25">
      <c r="A328" s="2" t="s">
        <v>858</v>
      </c>
      <c r="B328" s="2" t="s">
        <v>16</v>
      </c>
      <c r="C328" s="2" t="s">
        <v>859</v>
      </c>
      <c r="D328" s="2" t="s">
        <v>860</v>
      </c>
      <c r="E328" s="2" t="s">
        <v>861</v>
      </c>
      <c r="F328" s="3">
        <v>11547.37</v>
      </c>
      <c r="G328" s="3">
        <v>30000</v>
      </c>
      <c r="H328" s="4">
        <v>30000</v>
      </c>
      <c r="I328" s="4">
        <v>30000</v>
      </c>
      <c r="J328" s="16">
        <f t="shared" si="10"/>
        <v>0</v>
      </c>
      <c r="K328" s="16">
        <f t="shared" si="11"/>
        <v>0</v>
      </c>
    </row>
    <row r="329" spans="1:11" ht="19.5" customHeight="1" x14ac:dyDescent="0.25">
      <c r="A329" s="2" t="s">
        <v>858</v>
      </c>
      <c r="B329" s="2" t="s">
        <v>44</v>
      </c>
      <c r="C329" s="2" t="s">
        <v>862</v>
      </c>
      <c r="D329" s="2" t="s">
        <v>863</v>
      </c>
      <c r="E329" s="2" t="s">
        <v>864</v>
      </c>
      <c r="F329" s="3">
        <v>7916338.9800000004</v>
      </c>
      <c r="G329" s="3">
        <v>9671749</v>
      </c>
      <c r="H329" s="4">
        <v>10121612</v>
      </c>
      <c r="I329" s="4">
        <v>10144716</v>
      </c>
      <c r="J329" s="16">
        <f t="shared" si="10"/>
        <v>4.651309706238238E-2</v>
      </c>
      <c r="K329" s="16">
        <f t="shared" si="11"/>
        <v>2.2826403541253981E-3</v>
      </c>
    </row>
    <row r="330" spans="1:11" ht="19.5" customHeight="1" x14ac:dyDescent="0.25">
      <c r="A330" s="2" t="s">
        <v>858</v>
      </c>
      <c r="B330" s="2" t="s">
        <v>54</v>
      </c>
      <c r="C330" s="2" t="s">
        <v>54</v>
      </c>
      <c r="D330" s="2" t="s">
        <v>865</v>
      </c>
      <c r="E330" s="2" t="s">
        <v>866</v>
      </c>
      <c r="F330" s="3">
        <v>304550.89</v>
      </c>
      <c r="G330" s="3">
        <v>284553</v>
      </c>
      <c r="H330" s="4">
        <v>529252</v>
      </c>
      <c r="I330" s="4">
        <v>529252</v>
      </c>
      <c r="J330" s="16">
        <f t="shared" si="10"/>
        <v>0.85994173317448763</v>
      </c>
      <c r="K330" s="16">
        <f t="shared" si="11"/>
        <v>0</v>
      </c>
    </row>
    <row r="331" spans="1:11" ht="19.5" customHeight="1" x14ac:dyDescent="0.25">
      <c r="A331" s="2" t="s">
        <v>867</v>
      </c>
      <c r="B331" s="2" t="s">
        <v>16</v>
      </c>
      <c r="C331" s="2" t="s">
        <v>20</v>
      </c>
      <c r="D331" s="2" t="s">
        <v>868</v>
      </c>
      <c r="E331" s="2" t="s">
        <v>22</v>
      </c>
      <c r="F331" s="3">
        <v>1644417.65</v>
      </c>
      <c r="G331" s="4">
        <v>1854848</v>
      </c>
      <c r="H331" s="4">
        <v>1845658</v>
      </c>
      <c r="I331" s="4">
        <v>1907553</v>
      </c>
      <c r="J331" s="16">
        <f t="shared" si="10"/>
        <v>-4.9545838796494213E-3</v>
      </c>
      <c r="K331" s="16">
        <f t="shared" si="11"/>
        <v>3.353546540041541E-2</v>
      </c>
    </row>
    <row r="332" spans="1:11" ht="19.5" customHeight="1" x14ac:dyDescent="0.25">
      <c r="A332" s="2" t="s">
        <v>869</v>
      </c>
      <c r="B332" s="2" t="s">
        <v>16</v>
      </c>
      <c r="C332" s="2" t="s">
        <v>35</v>
      </c>
      <c r="D332" s="2" t="s">
        <v>870</v>
      </c>
      <c r="E332" s="2" t="s">
        <v>871</v>
      </c>
      <c r="F332" s="3">
        <v>3484196.61</v>
      </c>
      <c r="G332" s="4">
        <v>66369459</v>
      </c>
      <c r="H332" s="4">
        <v>1800000</v>
      </c>
      <c r="I332" s="4">
        <v>0</v>
      </c>
      <c r="J332" s="16">
        <f t="shared" si="10"/>
        <v>-0.97287909187266386</v>
      </c>
      <c r="K332" s="16">
        <f t="shared" si="11"/>
        <v>-1</v>
      </c>
    </row>
    <row r="333" spans="1:11" ht="19.5" customHeight="1" x14ac:dyDescent="0.25">
      <c r="A333" s="2" t="s">
        <v>869</v>
      </c>
      <c r="B333" s="2" t="s">
        <v>16</v>
      </c>
      <c r="C333" s="2" t="s">
        <v>872</v>
      </c>
      <c r="D333" s="2" t="s">
        <v>873</v>
      </c>
      <c r="E333" s="2" t="s">
        <v>874</v>
      </c>
      <c r="F333" s="3">
        <v>1530206.48</v>
      </c>
      <c r="G333" s="3">
        <v>1650000</v>
      </c>
      <c r="H333" s="4">
        <v>1650000</v>
      </c>
      <c r="I333" s="4">
        <v>1650000</v>
      </c>
      <c r="J333" s="16">
        <f t="shared" si="10"/>
        <v>0</v>
      </c>
      <c r="K333" s="16">
        <f t="shared" si="11"/>
        <v>0</v>
      </c>
    </row>
    <row r="334" spans="1:11" ht="19.5" customHeight="1" x14ac:dyDescent="0.25">
      <c r="A334" s="2" t="s">
        <v>869</v>
      </c>
      <c r="B334" s="2" t="s">
        <v>16</v>
      </c>
      <c r="C334" s="2" t="s">
        <v>875</v>
      </c>
      <c r="D334" s="2" t="s">
        <v>876</v>
      </c>
      <c r="E334" s="2" t="s">
        <v>877</v>
      </c>
      <c r="F334" s="3">
        <v>0</v>
      </c>
      <c r="G334" s="3">
        <v>50000</v>
      </c>
      <c r="H334" s="4">
        <v>50000</v>
      </c>
      <c r="I334" s="4">
        <v>50000</v>
      </c>
      <c r="J334" s="16">
        <f t="shared" si="10"/>
        <v>0</v>
      </c>
      <c r="K334" s="16">
        <f t="shared" si="11"/>
        <v>0</v>
      </c>
    </row>
    <row r="335" spans="1:11" ht="19.5" customHeight="1" x14ac:dyDescent="0.25">
      <c r="A335" s="2" t="s">
        <v>869</v>
      </c>
      <c r="B335" s="2" t="s">
        <v>16</v>
      </c>
      <c r="C335" s="2" t="s">
        <v>878</v>
      </c>
      <c r="D335" s="2" t="s">
        <v>879</v>
      </c>
      <c r="E335" s="2" t="s">
        <v>880</v>
      </c>
      <c r="F335" s="3">
        <v>568731.57999999996</v>
      </c>
      <c r="G335" s="3">
        <v>715522</v>
      </c>
      <c r="H335" s="4">
        <v>586070</v>
      </c>
      <c r="I335" s="4">
        <v>599969</v>
      </c>
      <c r="J335" s="16">
        <f t="shared" si="10"/>
        <v>-0.18091966424512451</v>
      </c>
      <c r="K335" s="16">
        <f t="shared" si="11"/>
        <v>2.3715597112972775E-2</v>
      </c>
    </row>
    <row r="336" spans="1:11" ht="19.5" customHeight="1" x14ac:dyDescent="0.25">
      <c r="A336" s="2" t="s">
        <v>869</v>
      </c>
      <c r="B336" s="2" t="s">
        <v>16</v>
      </c>
      <c r="C336" s="2" t="s">
        <v>881</v>
      </c>
      <c r="D336" s="2" t="s">
        <v>882</v>
      </c>
      <c r="E336" s="2" t="s">
        <v>883</v>
      </c>
      <c r="F336" s="3">
        <v>1300058.67</v>
      </c>
      <c r="G336" s="3">
        <v>1245000</v>
      </c>
      <c r="H336" s="4">
        <v>1500000</v>
      </c>
      <c r="I336" s="4">
        <v>1600000</v>
      </c>
      <c r="J336" s="16">
        <f t="shared" si="10"/>
        <v>0.20481927710843384</v>
      </c>
      <c r="K336" s="16">
        <f t="shared" si="11"/>
        <v>6.6666666666666652E-2</v>
      </c>
    </row>
    <row r="337" spans="1:11" ht="19.5" customHeight="1" x14ac:dyDescent="0.25">
      <c r="A337" s="2" t="s">
        <v>869</v>
      </c>
      <c r="B337" s="2" t="s">
        <v>44</v>
      </c>
      <c r="C337" s="2" t="s">
        <v>884</v>
      </c>
      <c r="D337" s="2" t="s">
        <v>885</v>
      </c>
      <c r="E337" s="2" t="s">
        <v>886</v>
      </c>
      <c r="F337" s="4">
        <v>100000</v>
      </c>
      <c r="G337" s="3">
        <v>10000</v>
      </c>
      <c r="H337" s="4">
        <v>10000</v>
      </c>
      <c r="I337" s="4">
        <v>10000</v>
      </c>
      <c r="J337" s="16">
        <f t="shared" si="10"/>
        <v>0</v>
      </c>
      <c r="K337" s="16">
        <f t="shared" si="11"/>
        <v>0</v>
      </c>
    </row>
    <row r="338" spans="1:11" ht="19.5" customHeight="1" x14ac:dyDescent="0.25">
      <c r="A338" s="2" t="s">
        <v>869</v>
      </c>
      <c r="B338" s="2" t="s">
        <v>887</v>
      </c>
      <c r="C338" s="2" t="s">
        <v>888</v>
      </c>
      <c r="D338" s="2" t="s">
        <v>889</v>
      </c>
      <c r="E338" s="2" t="s">
        <v>890</v>
      </c>
      <c r="F338" s="3">
        <v>1089700.46</v>
      </c>
      <c r="G338" s="3">
        <v>1150000</v>
      </c>
      <c r="H338" s="4">
        <v>1150000</v>
      </c>
      <c r="I338" s="4">
        <v>1150000</v>
      </c>
      <c r="J338" s="16">
        <f t="shared" si="10"/>
        <v>0</v>
      </c>
      <c r="K338" s="16">
        <f t="shared" si="11"/>
        <v>0</v>
      </c>
    </row>
    <row r="339" spans="1:11" ht="19.5" customHeight="1" x14ac:dyDescent="0.25">
      <c r="A339" s="2" t="s">
        <v>869</v>
      </c>
      <c r="B339" s="2" t="s">
        <v>54</v>
      </c>
      <c r="C339" s="2" t="s">
        <v>54</v>
      </c>
      <c r="D339" s="2" t="s">
        <v>891</v>
      </c>
      <c r="E339" s="2" t="s">
        <v>892</v>
      </c>
      <c r="F339" s="3">
        <v>0</v>
      </c>
      <c r="G339" s="3">
        <v>1546403</v>
      </c>
      <c r="H339" s="4">
        <v>1550000</v>
      </c>
      <c r="I339" s="4">
        <v>1560000</v>
      </c>
      <c r="J339" s="16">
        <f t="shared" si="10"/>
        <v>2.3260430819134204E-3</v>
      </c>
      <c r="K339" s="16">
        <f t="shared" si="11"/>
        <v>6.4516129032257119E-3</v>
      </c>
    </row>
    <row r="340" spans="1:11" ht="19.5" customHeight="1" x14ac:dyDescent="0.25">
      <c r="A340" s="2" t="s">
        <v>869</v>
      </c>
      <c r="B340" s="2" t="s">
        <v>54</v>
      </c>
      <c r="C340" s="2" t="s">
        <v>54</v>
      </c>
      <c r="D340" s="2" t="s">
        <v>893</v>
      </c>
      <c r="E340" s="2" t="s">
        <v>894</v>
      </c>
      <c r="F340" s="3">
        <v>11299385.460000001</v>
      </c>
      <c r="G340" s="3">
        <v>13276557</v>
      </c>
      <c r="H340" s="4">
        <v>13280000</v>
      </c>
      <c r="I340" s="4">
        <v>13275000</v>
      </c>
      <c r="J340" s="16">
        <f t="shared" si="10"/>
        <v>2.593292824337734E-4</v>
      </c>
      <c r="K340" s="16">
        <f t="shared" si="11"/>
        <v>-3.7650602409633471E-4</v>
      </c>
    </row>
    <row r="341" spans="1:11" ht="19.5" customHeight="1" x14ac:dyDescent="0.25">
      <c r="A341" s="2" t="s">
        <v>869</v>
      </c>
      <c r="B341" s="2" t="s">
        <v>54</v>
      </c>
      <c r="C341" s="2" t="s">
        <v>54</v>
      </c>
      <c r="D341" s="2" t="s">
        <v>895</v>
      </c>
      <c r="E341" s="2" t="s">
        <v>896</v>
      </c>
      <c r="F341" s="3">
        <v>6767999.1799999997</v>
      </c>
      <c r="G341" s="3">
        <v>6769600</v>
      </c>
      <c r="H341" s="4">
        <v>6770000</v>
      </c>
      <c r="I341" s="4">
        <v>6770000</v>
      </c>
      <c r="J341" s="16">
        <f t="shared" si="10"/>
        <v>5.9087686126169103E-5</v>
      </c>
      <c r="K341" s="16">
        <f t="shared" si="11"/>
        <v>0</v>
      </c>
    </row>
    <row r="342" spans="1:11" ht="19.5" customHeight="1" x14ac:dyDescent="0.25">
      <c r="A342" s="2" t="s">
        <v>869</v>
      </c>
      <c r="B342" s="2" t="s">
        <v>54</v>
      </c>
      <c r="C342" s="2" t="s">
        <v>54</v>
      </c>
      <c r="D342" s="2" t="s">
        <v>897</v>
      </c>
      <c r="E342" s="2" t="s">
        <v>898</v>
      </c>
      <c r="F342" s="3">
        <v>2434704.86</v>
      </c>
      <c r="G342" s="3">
        <v>2434500</v>
      </c>
      <c r="H342" s="4">
        <v>2450000</v>
      </c>
      <c r="I342" s="4">
        <v>2450000</v>
      </c>
      <c r="J342" s="16">
        <f t="shared" si="10"/>
        <v>6.3668104333538533E-3</v>
      </c>
      <c r="K342" s="16">
        <f t="shared" si="11"/>
        <v>0</v>
      </c>
    </row>
    <row r="343" spans="1:11" ht="19.5" customHeight="1" x14ac:dyDescent="0.25">
      <c r="A343" s="2" t="s">
        <v>869</v>
      </c>
      <c r="B343" s="2" t="s">
        <v>54</v>
      </c>
      <c r="C343" s="2" t="s">
        <v>54</v>
      </c>
      <c r="D343" s="2" t="s">
        <v>899</v>
      </c>
      <c r="E343" s="2" t="s">
        <v>900</v>
      </c>
      <c r="F343" s="3">
        <v>3545731.76</v>
      </c>
      <c r="G343" s="4">
        <v>3540750</v>
      </c>
      <c r="H343" s="4">
        <v>5000000</v>
      </c>
      <c r="I343" s="4">
        <v>5000000</v>
      </c>
      <c r="J343" s="16">
        <f t="shared" si="10"/>
        <v>0.41213019840429288</v>
      </c>
      <c r="K343" s="16">
        <f t="shared" si="11"/>
        <v>0</v>
      </c>
    </row>
    <row r="344" spans="1:11" ht="19.5" customHeight="1" x14ac:dyDescent="0.25">
      <c r="A344" s="2" t="s">
        <v>869</v>
      </c>
      <c r="B344" s="2" t="s">
        <v>54</v>
      </c>
      <c r="C344" s="2" t="s">
        <v>54</v>
      </c>
      <c r="D344" s="2" t="s">
        <v>901</v>
      </c>
      <c r="E344" s="2" t="s">
        <v>902</v>
      </c>
      <c r="F344" s="3">
        <v>83390288.700000003</v>
      </c>
      <c r="G344" s="3">
        <v>87432526</v>
      </c>
      <c r="H344" s="4">
        <v>88000000</v>
      </c>
      <c r="I344" s="4">
        <v>85000000</v>
      </c>
      <c r="J344" s="16">
        <f t="shared" si="10"/>
        <v>6.4904221113319949E-3</v>
      </c>
      <c r="K344" s="16">
        <f t="shared" si="11"/>
        <v>-3.4090909090909061E-2</v>
      </c>
    </row>
    <row r="345" spans="1:11" ht="19.5" customHeight="1" x14ac:dyDescent="0.25">
      <c r="A345" s="2" t="s">
        <v>869</v>
      </c>
      <c r="B345" s="2" t="s">
        <v>54</v>
      </c>
      <c r="C345" s="2" t="s">
        <v>54</v>
      </c>
      <c r="D345" s="2" t="s">
        <v>903</v>
      </c>
      <c r="E345" s="2" t="s">
        <v>904</v>
      </c>
      <c r="F345" s="3">
        <v>807216.13899999997</v>
      </c>
      <c r="G345" s="3">
        <v>1333637</v>
      </c>
      <c r="H345" s="4">
        <v>1413165</v>
      </c>
      <c r="I345" s="4">
        <v>1424551</v>
      </c>
      <c r="J345" s="16">
        <f t="shared" si="10"/>
        <v>5.963241871663727E-2</v>
      </c>
      <c r="K345" s="16">
        <f t="shared" si="11"/>
        <v>8.057091705497843E-3</v>
      </c>
    </row>
    <row r="346" spans="1:11" ht="19.5" customHeight="1" x14ac:dyDescent="0.25">
      <c r="A346" s="2" t="s">
        <v>869</v>
      </c>
      <c r="B346" s="2" t="s">
        <v>54</v>
      </c>
      <c r="C346" s="2" t="s">
        <v>54</v>
      </c>
      <c r="D346" s="2" t="s">
        <v>905</v>
      </c>
      <c r="E346" s="2" t="s">
        <v>906</v>
      </c>
      <c r="F346" s="4">
        <v>1901288.96</v>
      </c>
      <c r="G346" s="3">
        <v>2178704</v>
      </c>
      <c r="H346" s="4">
        <v>0</v>
      </c>
      <c r="I346" s="4">
        <v>0</v>
      </c>
      <c r="J346" s="16">
        <f t="shared" si="10"/>
        <v>-1</v>
      </c>
      <c r="K346" s="16" t="str">
        <f t="shared" si="11"/>
        <v>--</v>
      </c>
    </row>
    <row r="347" spans="1:11" ht="19.5" customHeight="1" x14ac:dyDescent="0.25">
      <c r="A347" s="2" t="s">
        <v>869</v>
      </c>
      <c r="B347" s="2" t="s">
        <v>54</v>
      </c>
      <c r="C347" s="2" t="s">
        <v>54</v>
      </c>
      <c r="D347" s="2" t="s">
        <v>907</v>
      </c>
      <c r="E347" s="2" t="s">
        <v>908</v>
      </c>
      <c r="F347" s="3">
        <v>11166026.76</v>
      </c>
      <c r="G347" s="3">
        <v>11727621</v>
      </c>
      <c r="H347" s="4">
        <v>13527621</v>
      </c>
      <c r="I347" s="4">
        <v>13527621</v>
      </c>
      <c r="J347" s="16">
        <f t="shared" si="10"/>
        <v>0.15348381398068711</v>
      </c>
      <c r="K347" s="16">
        <f t="shared" si="11"/>
        <v>0</v>
      </c>
    </row>
    <row r="348" spans="1:11" ht="19.5" customHeight="1" x14ac:dyDescent="0.25">
      <c r="A348" s="2" t="s">
        <v>869</v>
      </c>
      <c r="B348" s="2" t="s">
        <v>54</v>
      </c>
      <c r="C348" s="2" t="s">
        <v>54</v>
      </c>
      <c r="D348" s="2" t="s">
        <v>909</v>
      </c>
      <c r="E348" s="2" t="s">
        <v>910</v>
      </c>
      <c r="F348" s="4">
        <v>240676.07</v>
      </c>
      <c r="G348" s="3">
        <v>222121</v>
      </c>
      <c r="H348" s="4">
        <v>222121</v>
      </c>
      <c r="I348" s="4">
        <v>222121</v>
      </c>
      <c r="J348" s="16">
        <f t="shared" si="10"/>
        <v>0</v>
      </c>
      <c r="K348" s="16">
        <f t="shared" si="11"/>
        <v>0</v>
      </c>
    </row>
    <row r="349" spans="1:11" ht="19.5" customHeight="1" x14ac:dyDescent="0.25">
      <c r="A349" s="2" t="s">
        <v>869</v>
      </c>
      <c r="B349" s="2" t="s">
        <v>54</v>
      </c>
      <c r="C349" s="2" t="s">
        <v>54</v>
      </c>
      <c r="D349" s="2" t="s">
        <v>911</v>
      </c>
      <c r="E349" s="2" t="s">
        <v>912</v>
      </c>
      <c r="F349" s="3">
        <v>2000000</v>
      </c>
      <c r="G349" s="3">
        <v>2000000</v>
      </c>
      <c r="H349" s="4">
        <v>2500000</v>
      </c>
      <c r="I349" s="4">
        <v>2500000</v>
      </c>
      <c r="J349" s="16">
        <f t="shared" si="10"/>
        <v>0.25</v>
      </c>
      <c r="K349" s="16">
        <f t="shared" si="11"/>
        <v>0</v>
      </c>
    </row>
    <row r="350" spans="1:11" ht="19.5" customHeight="1" x14ac:dyDescent="0.25">
      <c r="A350" s="2" t="s">
        <v>869</v>
      </c>
      <c r="B350" s="2" t="s">
        <v>54</v>
      </c>
      <c r="C350" s="2" t="s">
        <v>54</v>
      </c>
      <c r="D350" s="2" t="s">
        <v>913</v>
      </c>
      <c r="E350" s="2" t="s">
        <v>914</v>
      </c>
      <c r="F350" s="3">
        <v>0</v>
      </c>
      <c r="G350" s="3">
        <v>0</v>
      </c>
      <c r="H350" s="4">
        <v>0</v>
      </c>
      <c r="I350" s="4">
        <v>0</v>
      </c>
      <c r="J350" s="16" t="str">
        <f t="shared" si="10"/>
        <v>--</v>
      </c>
      <c r="K350" s="16" t="str">
        <f t="shared" si="11"/>
        <v>--</v>
      </c>
    </row>
    <row r="351" spans="1:11" ht="19.5" customHeight="1" x14ac:dyDescent="0.25">
      <c r="A351" s="2" t="s">
        <v>869</v>
      </c>
      <c r="B351" s="2" t="s">
        <v>54</v>
      </c>
      <c r="C351" s="2" t="s">
        <v>54</v>
      </c>
      <c r="D351" s="2" t="s">
        <v>915</v>
      </c>
      <c r="E351" s="2" t="s">
        <v>916</v>
      </c>
      <c r="F351" s="3">
        <v>18200867.359999999</v>
      </c>
      <c r="G351" s="3">
        <v>18513941</v>
      </c>
      <c r="H351" s="4">
        <v>24623264</v>
      </c>
      <c r="I351" s="4">
        <v>25349994</v>
      </c>
      <c r="J351" s="16">
        <f t="shared" si="10"/>
        <v>0.32998500967460132</v>
      </c>
      <c r="K351" s="16">
        <f t="shared" si="11"/>
        <v>2.9513958831777876E-2</v>
      </c>
    </row>
    <row r="352" spans="1:11" ht="19.5" customHeight="1" x14ac:dyDescent="0.25">
      <c r="A352" s="2" t="s">
        <v>869</v>
      </c>
      <c r="B352" s="2" t="s">
        <v>243</v>
      </c>
      <c r="C352" s="2" t="s">
        <v>917</v>
      </c>
      <c r="D352" s="2" t="s">
        <v>918</v>
      </c>
      <c r="E352" s="2" t="s">
        <v>919</v>
      </c>
      <c r="F352" s="3">
        <v>11306537.460000001</v>
      </c>
      <c r="G352" s="3">
        <v>13100541</v>
      </c>
      <c r="H352" s="4">
        <v>13253998</v>
      </c>
      <c r="I352" s="4">
        <v>13700502</v>
      </c>
      <c r="J352" s="16">
        <f t="shared" si="10"/>
        <v>1.1713791056415124E-2</v>
      </c>
      <c r="K352" s="16">
        <f t="shared" si="11"/>
        <v>3.3688250141579834E-2</v>
      </c>
    </row>
    <row r="353" spans="1:11" ht="19.5" customHeight="1" x14ac:dyDescent="0.25">
      <c r="A353" s="2" t="s">
        <v>869</v>
      </c>
      <c r="B353" s="2" t="s">
        <v>243</v>
      </c>
      <c r="C353" s="2" t="s">
        <v>920</v>
      </c>
      <c r="D353" s="2" t="s">
        <v>921</v>
      </c>
      <c r="E353" s="2" t="s">
        <v>922</v>
      </c>
      <c r="F353" s="3">
        <v>635244.91</v>
      </c>
      <c r="G353" s="3">
        <v>975025</v>
      </c>
      <c r="H353" s="4">
        <v>989973</v>
      </c>
      <c r="I353" s="4">
        <v>1013812</v>
      </c>
      <c r="J353" s="16">
        <f t="shared" si="10"/>
        <v>1.5330888951565314E-2</v>
      </c>
      <c r="K353" s="16">
        <f t="shared" si="11"/>
        <v>2.4080454719472177E-2</v>
      </c>
    </row>
    <row r="354" spans="1:11" ht="19.5" customHeight="1" x14ac:dyDescent="0.25">
      <c r="A354" s="2" t="s">
        <v>869</v>
      </c>
      <c r="B354" s="2" t="s">
        <v>243</v>
      </c>
      <c r="C354" s="2" t="s">
        <v>923</v>
      </c>
      <c r="D354" s="2" t="s">
        <v>924</v>
      </c>
      <c r="E354" s="2" t="s">
        <v>925</v>
      </c>
      <c r="F354" s="3">
        <v>16709394.890000001</v>
      </c>
      <c r="G354" s="3">
        <v>21460060</v>
      </c>
      <c r="H354" s="4">
        <v>25686811</v>
      </c>
      <c r="I354" s="4">
        <v>25866307</v>
      </c>
      <c r="J354" s="16">
        <f t="shared" si="10"/>
        <v>0.19695895538036701</v>
      </c>
      <c r="K354" s="16">
        <f t="shared" si="11"/>
        <v>6.9878662633520161E-3</v>
      </c>
    </row>
    <row r="355" spans="1:11" ht="19.5" customHeight="1" x14ac:dyDescent="0.25">
      <c r="A355" s="2" t="s">
        <v>869</v>
      </c>
      <c r="B355" s="2" t="s">
        <v>243</v>
      </c>
      <c r="C355" s="2" t="s">
        <v>926</v>
      </c>
      <c r="D355" s="2" t="s">
        <v>927</v>
      </c>
      <c r="E355" s="2" t="s">
        <v>928</v>
      </c>
      <c r="F355" s="3">
        <v>14989676.93</v>
      </c>
      <c r="G355" s="3">
        <v>23315522</v>
      </c>
      <c r="H355" s="4">
        <v>26492047</v>
      </c>
      <c r="I355" s="4">
        <v>28792538</v>
      </c>
      <c r="J355" s="16">
        <f t="shared" si="10"/>
        <v>0.13624078414371343</v>
      </c>
      <c r="K355" s="16">
        <f t="shared" si="11"/>
        <v>8.6837042075306625E-2</v>
      </c>
    </row>
    <row r="356" spans="1:11" ht="19.5" customHeight="1" x14ac:dyDescent="0.25">
      <c r="A356" s="2" t="s">
        <v>869</v>
      </c>
      <c r="B356" s="2" t="s">
        <v>243</v>
      </c>
      <c r="C356" s="2" t="s">
        <v>929</v>
      </c>
      <c r="D356" s="2" t="s">
        <v>930</v>
      </c>
      <c r="E356" s="2" t="s">
        <v>931</v>
      </c>
      <c r="F356" s="3">
        <v>15404697.720000001</v>
      </c>
      <c r="G356" s="3">
        <v>18718045</v>
      </c>
      <c r="H356" s="4">
        <v>18718045</v>
      </c>
      <c r="I356" s="4">
        <v>19178890</v>
      </c>
      <c r="J356" s="16">
        <f t="shared" si="10"/>
        <v>0</v>
      </c>
      <c r="K356" s="16">
        <f t="shared" si="11"/>
        <v>2.4620359658287017E-2</v>
      </c>
    </row>
    <row r="357" spans="1:11" ht="19.5" customHeight="1" x14ac:dyDescent="0.25">
      <c r="A357" s="2" t="s">
        <v>869</v>
      </c>
      <c r="B357" s="2" t="s">
        <v>243</v>
      </c>
      <c r="C357" s="2" t="s">
        <v>929</v>
      </c>
      <c r="D357" s="2" t="s">
        <v>932</v>
      </c>
      <c r="E357" s="2" t="s">
        <v>933</v>
      </c>
      <c r="F357" s="3">
        <v>417883.33</v>
      </c>
      <c r="G357" s="3">
        <v>615521</v>
      </c>
      <c r="H357" s="4">
        <v>615521</v>
      </c>
      <c r="I357" s="4">
        <v>615521</v>
      </c>
      <c r="J357" s="16">
        <f t="shared" si="10"/>
        <v>0</v>
      </c>
      <c r="K357" s="16">
        <f t="shared" si="11"/>
        <v>0</v>
      </c>
    </row>
    <row r="358" spans="1:11" ht="19.5" customHeight="1" x14ac:dyDescent="0.25">
      <c r="A358" s="2" t="s">
        <v>869</v>
      </c>
      <c r="B358" s="2" t="s">
        <v>243</v>
      </c>
      <c r="C358" s="2" t="s">
        <v>934</v>
      </c>
      <c r="D358" s="2" t="s">
        <v>935</v>
      </c>
      <c r="E358" s="2" t="s">
        <v>936</v>
      </c>
      <c r="F358" s="3">
        <v>2932535.14</v>
      </c>
      <c r="G358" s="3">
        <v>4385893</v>
      </c>
      <c r="H358" s="4">
        <v>4385893</v>
      </c>
      <c r="I358" s="4">
        <v>4385893</v>
      </c>
      <c r="J358" s="16">
        <f t="shared" si="10"/>
        <v>0</v>
      </c>
      <c r="K358" s="16">
        <f t="shared" si="11"/>
        <v>0</v>
      </c>
    </row>
    <row r="359" spans="1:11" ht="19.5" customHeight="1" x14ac:dyDescent="0.25">
      <c r="A359" s="2" t="s">
        <v>869</v>
      </c>
      <c r="B359" s="2" t="s">
        <v>243</v>
      </c>
      <c r="C359" s="2" t="s">
        <v>937</v>
      </c>
      <c r="D359" s="2" t="s">
        <v>938</v>
      </c>
      <c r="E359" s="2" t="s">
        <v>939</v>
      </c>
      <c r="F359" s="3">
        <v>9815729.2100000009</v>
      </c>
      <c r="G359" s="3">
        <v>15389803</v>
      </c>
      <c r="H359" s="4">
        <v>17904121</v>
      </c>
      <c r="I359" s="4">
        <v>19381381</v>
      </c>
      <c r="J359" s="16">
        <f t="shared" si="10"/>
        <v>0.16337558057110924</v>
      </c>
      <c r="K359" s="16">
        <f t="shared" si="11"/>
        <v>8.2509495998156046E-2</v>
      </c>
    </row>
    <row r="360" spans="1:11" ht="19.5" customHeight="1" x14ac:dyDescent="0.25">
      <c r="A360" s="2" t="s">
        <v>869</v>
      </c>
      <c r="B360" s="2" t="s">
        <v>243</v>
      </c>
      <c r="C360" s="2" t="s">
        <v>940</v>
      </c>
      <c r="D360" s="2" t="s">
        <v>941</v>
      </c>
      <c r="E360" s="2" t="s">
        <v>942</v>
      </c>
      <c r="F360" s="3">
        <v>40512017.810000002</v>
      </c>
      <c r="G360" s="3">
        <v>49384799</v>
      </c>
      <c r="H360" s="4">
        <v>53043664</v>
      </c>
      <c r="I360" s="4">
        <v>53323205</v>
      </c>
      <c r="J360" s="16">
        <f t="shared" si="10"/>
        <v>7.4088891199091345E-2</v>
      </c>
      <c r="K360" s="16">
        <f t="shared" si="11"/>
        <v>5.2700167922035135E-3</v>
      </c>
    </row>
    <row r="361" spans="1:11" ht="19.5" customHeight="1" x14ac:dyDescent="0.25">
      <c r="A361" s="2" t="s">
        <v>869</v>
      </c>
      <c r="B361" s="2" t="s">
        <v>243</v>
      </c>
      <c r="C361" s="2" t="s">
        <v>943</v>
      </c>
      <c r="D361" s="2" t="s">
        <v>944</v>
      </c>
      <c r="E361" s="2" t="s">
        <v>945</v>
      </c>
      <c r="F361" s="3">
        <v>138722336.47999999</v>
      </c>
      <c r="G361" s="3">
        <v>162665094</v>
      </c>
      <c r="H361" s="4">
        <v>168044912</v>
      </c>
      <c r="I361" s="4">
        <v>173182510</v>
      </c>
      <c r="J361" s="16">
        <f t="shared" si="10"/>
        <v>3.307297138991605E-2</v>
      </c>
      <c r="K361" s="16">
        <f t="shared" si="11"/>
        <v>3.0572767356383812E-2</v>
      </c>
    </row>
    <row r="362" spans="1:11" ht="19.5" customHeight="1" x14ac:dyDescent="0.25">
      <c r="A362" s="2" t="s">
        <v>869</v>
      </c>
      <c r="B362" s="2" t="s">
        <v>243</v>
      </c>
      <c r="C362" s="2" t="s">
        <v>946</v>
      </c>
      <c r="D362" s="2" t="s">
        <v>947</v>
      </c>
      <c r="E362" s="2" t="s">
        <v>948</v>
      </c>
      <c r="F362" s="3">
        <v>1099785.42</v>
      </c>
      <c r="G362" s="3">
        <v>1264515</v>
      </c>
      <c r="H362" s="4">
        <v>0</v>
      </c>
      <c r="I362" s="4">
        <v>0</v>
      </c>
      <c r="J362" s="16">
        <f t="shared" si="10"/>
        <v>-1</v>
      </c>
      <c r="K362" s="16" t="str">
        <f t="shared" si="11"/>
        <v>--</v>
      </c>
    </row>
    <row r="363" spans="1:11" ht="19.5" customHeight="1" x14ac:dyDescent="0.25">
      <c r="A363" s="2" t="s">
        <v>869</v>
      </c>
      <c r="B363" s="2" t="s">
        <v>243</v>
      </c>
      <c r="C363" s="2" t="s">
        <v>949</v>
      </c>
      <c r="D363" s="2" t="s">
        <v>950</v>
      </c>
      <c r="E363" s="2" t="s">
        <v>951</v>
      </c>
      <c r="F363" s="3">
        <v>25539824.510000002</v>
      </c>
      <c r="G363" s="3">
        <v>28295851</v>
      </c>
      <c r="H363" s="4">
        <v>29507055</v>
      </c>
      <c r="I363" s="4">
        <v>28719641</v>
      </c>
      <c r="J363" s="16">
        <f t="shared" si="10"/>
        <v>4.2805003461461544E-2</v>
      </c>
      <c r="K363" s="16">
        <f t="shared" si="11"/>
        <v>-2.668561806659453E-2</v>
      </c>
    </row>
    <row r="364" spans="1:11" ht="19.5" customHeight="1" x14ac:dyDescent="0.25">
      <c r="A364" s="2" t="s">
        <v>869</v>
      </c>
      <c r="B364" s="2" t="s">
        <v>243</v>
      </c>
      <c r="C364" s="2" t="s">
        <v>952</v>
      </c>
      <c r="D364" s="2" t="s">
        <v>953</v>
      </c>
      <c r="E364" s="2" t="s">
        <v>954</v>
      </c>
      <c r="F364" s="3">
        <v>20163796.460000001</v>
      </c>
      <c r="G364" s="3">
        <v>32602191</v>
      </c>
      <c r="H364" s="4">
        <v>30073302</v>
      </c>
      <c r="I364" s="4">
        <v>32179505</v>
      </c>
      <c r="J364" s="16">
        <f t="shared" si="10"/>
        <v>-7.7568068968125514E-2</v>
      </c>
      <c r="K364" s="16">
        <f t="shared" si="11"/>
        <v>7.0035641580030061E-2</v>
      </c>
    </row>
    <row r="365" spans="1:11" ht="19.5" customHeight="1" x14ac:dyDescent="0.25">
      <c r="A365" s="2" t="s">
        <v>869</v>
      </c>
      <c r="B365" s="2" t="s">
        <v>243</v>
      </c>
      <c r="C365" s="2" t="s">
        <v>952</v>
      </c>
      <c r="D365" s="2" t="s">
        <v>955</v>
      </c>
      <c r="E365" s="2" t="s">
        <v>956</v>
      </c>
      <c r="F365" s="3">
        <v>22393113.68</v>
      </c>
      <c r="G365" s="4">
        <v>15351924</v>
      </c>
      <c r="H365" s="4">
        <v>15351924</v>
      </c>
      <c r="I365" s="4">
        <v>15351924</v>
      </c>
      <c r="J365" s="16">
        <f t="shared" si="10"/>
        <v>0</v>
      </c>
      <c r="K365" s="16">
        <f t="shared" si="11"/>
        <v>0</v>
      </c>
    </row>
    <row r="366" spans="1:11" ht="19.5" customHeight="1" x14ac:dyDescent="0.25">
      <c r="A366" s="2" t="s">
        <v>869</v>
      </c>
      <c r="B366" s="2" t="s">
        <v>243</v>
      </c>
      <c r="C366" s="2" t="s">
        <v>957</v>
      </c>
      <c r="D366" s="2" t="s">
        <v>958</v>
      </c>
      <c r="E366" s="2" t="s">
        <v>959</v>
      </c>
      <c r="F366" s="3">
        <v>1433851.03</v>
      </c>
      <c r="G366" s="3">
        <v>1662341</v>
      </c>
      <c r="H366" s="4">
        <v>1664257</v>
      </c>
      <c r="I366" s="4">
        <v>1679401</v>
      </c>
      <c r="J366" s="16">
        <f t="shared" si="10"/>
        <v>1.1525914358125888E-3</v>
      </c>
      <c r="K366" s="16">
        <f t="shared" si="11"/>
        <v>9.0995561382647416E-3</v>
      </c>
    </row>
    <row r="367" spans="1:11" ht="19.5" customHeight="1" x14ac:dyDescent="0.25">
      <c r="A367" s="2" t="s">
        <v>869</v>
      </c>
      <c r="B367" s="2" t="s">
        <v>243</v>
      </c>
      <c r="C367" s="2" t="s">
        <v>960</v>
      </c>
      <c r="D367" s="2" t="s">
        <v>961</v>
      </c>
      <c r="E367" s="2" t="s">
        <v>962</v>
      </c>
      <c r="F367" s="3">
        <v>13702501.17</v>
      </c>
      <c r="G367" s="3">
        <v>5736219</v>
      </c>
      <c r="H367" s="4">
        <v>2800000</v>
      </c>
      <c r="I367" s="4">
        <v>2800000</v>
      </c>
      <c r="J367" s="16">
        <f t="shared" si="10"/>
        <v>-0.51187358781106507</v>
      </c>
      <c r="K367" s="16">
        <f t="shared" si="11"/>
        <v>0</v>
      </c>
    </row>
    <row r="368" spans="1:11" ht="19.5" customHeight="1" x14ac:dyDescent="0.25">
      <c r="A368" s="2" t="s">
        <v>869</v>
      </c>
      <c r="B368" s="2" t="s">
        <v>243</v>
      </c>
      <c r="C368" s="2" t="s">
        <v>963</v>
      </c>
      <c r="D368" s="2" t="s">
        <v>964</v>
      </c>
      <c r="E368" s="2" t="s">
        <v>965</v>
      </c>
      <c r="F368" s="3">
        <v>23950212.379999999</v>
      </c>
      <c r="G368" s="3">
        <v>26484493</v>
      </c>
      <c r="H368" s="4">
        <v>29045797</v>
      </c>
      <c r="I368" s="4">
        <v>30882138</v>
      </c>
      <c r="J368" s="16">
        <f t="shared" si="10"/>
        <v>9.6709572654458675E-2</v>
      </c>
      <c r="K368" s="16">
        <f t="shared" si="11"/>
        <v>6.3222262415453701E-2</v>
      </c>
    </row>
    <row r="369" spans="1:11" ht="19.5" customHeight="1" x14ac:dyDescent="0.25">
      <c r="A369" s="2" t="s">
        <v>869</v>
      </c>
      <c r="B369" s="2" t="s">
        <v>243</v>
      </c>
      <c r="C369" s="2" t="s">
        <v>966</v>
      </c>
      <c r="D369" s="2" t="s">
        <v>967</v>
      </c>
      <c r="E369" s="2" t="s">
        <v>968</v>
      </c>
      <c r="F369" s="3">
        <v>42374664.520999998</v>
      </c>
      <c r="G369" s="3">
        <v>58807701</v>
      </c>
      <c r="H369" s="4">
        <v>58738136</v>
      </c>
      <c r="I369" s="4">
        <v>58434886</v>
      </c>
      <c r="J369" s="16">
        <f t="shared" si="10"/>
        <v>-1.1829233045516085E-3</v>
      </c>
      <c r="K369" s="16">
        <f t="shared" si="11"/>
        <v>-5.1627446945200495E-3</v>
      </c>
    </row>
    <row r="370" spans="1:11" ht="19.5" customHeight="1" x14ac:dyDescent="0.25">
      <c r="A370" s="2" t="s">
        <v>869</v>
      </c>
      <c r="B370" s="2" t="s">
        <v>243</v>
      </c>
      <c r="C370" s="2" t="s">
        <v>966</v>
      </c>
      <c r="D370" s="2" t="s">
        <v>969</v>
      </c>
      <c r="E370" s="2" t="s">
        <v>970</v>
      </c>
      <c r="F370" s="3">
        <v>6342273.0999999996</v>
      </c>
      <c r="G370" s="3">
        <v>6359539</v>
      </c>
      <c r="H370" s="4">
        <v>6064809</v>
      </c>
      <c r="I370" s="4">
        <v>6146812</v>
      </c>
      <c r="J370" s="16">
        <f t="shared" si="10"/>
        <v>-4.6344554220046463E-2</v>
      </c>
      <c r="K370" s="16">
        <f t="shared" si="11"/>
        <v>1.3521118307270763E-2</v>
      </c>
    </row>
    <row r="371" spans="1:11" ht="19.5" customHeight="1" x14ac:dyDescent="0.25">
      <c r="A371" s="2" t="s">
        <v>869</v>
      </c>
      <c r="B371" s="2" t="s">
        <v>243</v>
      </c>
      <c r="C371" s="2" t="s">
        <v>971</v>
      </c>
      <c r="D371" s="2" t="s">
        <v>972</v>
      </c>
      <c r="E371" s="2" t="s">
        <v>973</v>
      </c>
      <c r="F371" s="3">
        <v>3144834.19</v>
      </c>
      <c r="G371" s="3">
        <v>8723135</v>
      </c>
      <c r="H371" s="4">
        <v>4989466</v>
      </c>
      <c r="I371" s="4">
        <v>5111024</v>
      </c>
      <c r="J371" s="16">
        <f t="shared" si="10"/>
        <v>-0.42801916971364085</v>
      </c>
      <c r="K371" s="16">
        <f t="shared" si="11"/>
        <v>2.4362927816323321E-2</v>
      </c>
    </row>
    <row r="372" spans="1:11" ht="19.5" customHeight="1" x14ac:dyDescent="0.25">
      <c r="A372" s="2" t="s">
        <v>869</v>
      </c>
      <c r="B372" s="2" t="s">
        <v>243</v>
      </c>
      <c r="C372" s="2" t="s">
        <v>974</v>
      </c>
      <c r="D372" s="2" t="s">
        <v>975</v>
      </c>
      <c r="E372" s="2" t="s">
        <v>976</v>
      </c>
      <c r="F372" s="3">
        <v>2241766.64</v>
      </c>
      <c r="G372" s="3">
        <v>2862000</v>
      </c>
      <c r="H372" s="4">
        <v>1675000</v>
      </c>
      <c r="I372" s="4">
        <v>2160000</v>
      </c>
      <c r="J372" s="16">
        <f t="shared" si="10"/>
        <v>-0.41474493361285814</v>
      </c>
      <c r="K372" s="16">
        <f t="shared" si="11"/>
        <v>0.28955223880597014</v>
      </c>
    </row>
    <row r="373" spans="1:11" ht="19.5" customHeight="1" x14ac:dyDescent="0.25">
      <c r="A373" s="2" t="s">
        <v>869</v>
      </c>
      <c r="B373" s="2" t="s">
        <v>243</v>
      </c>
      <c r="C373" s="2" t="s">
        <v>977</v>
      </c>
      <c r="D373" s="2" t="s">
        <v>978</v>
      </c>
      <c r="E373" s="2" t="s">
        <v>979</v>
      </c>
      <c r="F373" s="3">
        <v>7535242.5700000003</v>
      </c>
      <c r="G373" s="3">
        <v>21500000</v>
      </c>
      <c r="H373" s="4">
        <v>19000000</v>
      </c>
      <c r="I373" s="4">
        <v>16500000</v>
      </c>
      <c r="J373" s="16">
        <f t="shared" si="10"/>
        <v>-0.11627906976744184</v>
      </c>
      <c r="K373" s="16">
        <f t="shared" si="11"/>
        <v>-0.13157894736842102</v>
      </c>
    </row>
    <row r="374" spans="1:11" ht="19.5" customHeight="1" x14ac:dyDescent="0.25">
      <c r="A374" s="2" t="s">
        <v>869</v>
      </c>
      <c r="B374" s="2" t="s">
        <v>243</v>
      </c>
      <c r="C374" s="2" t="s">
        <v>980</v>
      </c>
      <c r="D374" s="2" t="s">
        <v>981</v>
      </c>
      <c r="E374" s="2" t="s">
        <v>982</v>
      </c>
      <c r="F374" s="3">
        <v>92771165.739999995</v>
      </c>
      <c r="G374" s="3">
        <v>10948545</v>
      </c>
      <c r="H374" s="4">
        <v>10038838</v>
      </c>
      <c r="I374" s="4">
        <v>10601983</v>
      </c>
      <c r="J374" s="16">
        <f t="shared" si="10"/>
        <v>-8.308930547392368E-2</v>
      </c>
      <c r="K374" s="16">
        <f t="shared" si="11"/>
        <v>5.6096631901022764E-2</v>
      </c>
    </row>
    <row r="375" spans="1:11" ht="19.5" customHeight="1" x14ac:dyDescent="0.25">
      <c r="A375" s="2" t="s">
        <v>869</v>
      </c>
      <c r="B375" s="2" t="s">
        <v>243</v>
      </c>
      <c r="C375" s="2" t="s">
        <v>983</v>
      </c>
      <c r="D375" s="2" t="s">
        <v>984</v>
      </c>
      <c r="E375" s="2" t="s">
        <v>985</v>
      </c>
      <c r="F375" s="3">
        <v>0</v>
      </c>
      <c r="G375" s="4">
        <v>159311452</v>
      </c>
      <c r="H375" s="4">
        <v>154119471</v>
      </c>
      <c r="I375" s="4">
        <v>154276578</v>
      </c>
      <c r="J375" s="16">
        <f t="shared" si="10"/>
        <v>-3.2590130432054609E-2</v>
      </c>
      <c r="K375" s="16">
        <f t="shared" si="11"/>
        <v>1.0193845007422375E-3</v>
      </c>
    </row>
    <row r="376" spans="1:11" ht="19.5" customHeight="1" x14ac:dyDescent="0.25">
      <c r="A376" s="2" t="s">
        <v>986</v>
      </c>
      <c r="B376" s="2" t="s">
        <v>16</v>
      </c>
      <c r="C376" s="2" t="s">
        <v>987</v>
      </c>
      <c r="D376" s="2" t="s">
        <v>988</v>
      </c>
      <c r="E376" s="2" t="s">
        <v>989</v>
      </c>
      <c r="F376" s="3">
        <v>20893.57</v>
      </c>
      <c r="G376" s="3">
        <v>34477</v>
      </c>
      <c r="H376" s="4">
        <v>500000</v>
      </c>
      <c r="I376" s="4">
        <v>500000</v>
      </c>
      <c r="J376" s="16">
        <f t="shared" si="10"/>
        <v>13.502421904458044</v>
      </c>
      <c r="K376" s="16">
        <f t="shared" si="11"/>
        <v>0</v>
      </c>
    </row>
    <row r="377" spans="1:11" ht="19.5" customHeight="1" x14ac:dyDescent="0.25">
      <c r="A377" s="2" t="s">
        <v>986</v>
      </c>
      <c r="B377" s="2" t="s">
        <v>16</v>
      </c>
      <c r="C377" s="2" t="s">
        <v>990</v>
      </c>
      <c r="D377" s="2" t="s">
        <v>991</v>
      </c>
      <c r="E377" s="2" t="s">
        <v>992</v>
      </c>
      <c r="F377" s="3">
        <v>5323014.8899999997</v>
      </c>
      <c r="G377" s="3">
        <v>3500000</v>
      </c>
      <c r="H377" s="4">
        <v>7000000</v>
      </c>
      <c r="I377" s="4">
        <v>7000000</v>
      </c>
      <c r="J377" s="16">
        <f t="shared" si="10"/>
        <v>1</v>
      </c>
      <c r="K377" s="16">
        <f t="shared" si="11"/>
        <v>0</v>
      </c>
    </row>
    <row r="378" spans="1:11" ht="19.5" customHeight="1" x14ac:dyDescent="0.25">
      <c r="A378" s="2" t="s">
        <v>986</v>
      </c>
      <c r="B378" s="2" t="s">
        <v>16</v>
      </c>
      <c r="C378" s="2" t="s">
        <v>993</v>
      </c>
      <c r="D378" s="2" t="s">
        <v>994</v>
      </c>
      <c r="E378" s="2" t="s">
        <v>995</v>
      </c>
      <c r="F378" s="3">
        <v>399576</v>
      </c>
      <c r="G378" s="3">
        <v>750000</v>
      </c>
      <c r="H378" s="4">
        <v>750000</v>
      </c>
      <c r="I378" s="4">
        <v>750000</v>
      </c>
      <c r="J378" s="16">
        <f t="shared" si="10"/>
        <v>0</v>
      </c>
      <c r="K378" s="16">
        <f t="shared" si="11"/>
        <v>0</v>
      </c>
    </row>
    <row r="379" spans="1:11" ht="19.5" customHeight="1" x14ac:dyDescent="0.25">
      <c r="A379" s="2" t="s">
        <v>986</v>
      </c>
      <c r="B379" s="2" t="s">
        <v>16</v>
      </c>
      <c r="C379" s="2" t="s">
        <v>996</v>
      </c>
      <c r="D379" s="2" t="s">
        <v>997</v>
      </c>
      <c r="E379" s="2" t="s">
        <v>998</v>
      </c>
      <c r="F379" s="3">
        <v>1539638.85</v>
      </c>
      <c r="G379" s="3">
        <v>1750000</v>
      </c>
      <c r="H379" s="4">
        <v>2500000</v>
      </c>
      <c r="I379" s="4">
        <v>2500000</v>
      </c>
      <c r="J379" s="16">
        <f t="shared" si="10"/>
        <v>0.4285714285714286</v>
      </c>
      <c r="K379" s="16">
        <f t="shared" si="11"/>
        <v>0</v>
      </c>
    </row>
    <row r="380" spans="1:11" ht="19.5" customHeight="1" x14ac:dyDescent="0.25">
      <c r="A380" s="2" t="s">
        <v>986</v>
      </c>
      <c r="B380" s="2" t="s">
        <v>16</v>
      </c>
      <c r="C380" s="2" t="s">
        <v>999</v>
      </c>
      <c r="D380" s="2" t="s">
        <v>1000</v>
      </c>
      <c r="E380" s="2" t="s">
        <v>1001</v>
      </c>
      <c r="F380" s="3">
        <v>13332294.02</v>
      </c>
      <c r="G380" s="3">
        <v>17664160</v>
      </c>
      <c r="H380" s="4">
        <v>20500000</v>
      </c>
      <c r="I380" s="4">
        <v>20500000</v>
      </c>
      <c r="J380" s="16">
        <f t="shared" si="10"/>
        <v>0.16054202407586882</v>
      </c>
      <c r="K380" s="16">
        <f t="shared" si="11"/>
        <v>0</v>
      </c>
    </row>
    <row r="381" spans="1:11" ht="19.5" customHeight="1" x14ac:dyDescent="0.25">
      <c r="A381" s="2" t="s">
        <v>986</v>
      </c>
      <c r="B381" s="2" t="s">
        <v>16</v>
      </c>
      <c r="C381" s="2" t="s">
        <v>999</v>
      </c>
      <c r="D381" s="2" t="s">
        <v>1002</v>
      </c>
      <c r="E381" s="2" t="s">
        <v>1003</v>
      </c>
      <c r="F381" s="3">
        <v>31188873.120000001</v>
      </c>
      <c r="G381" s="3">
        <v>36000000</v>
      </c>
      <c r="H381" s="4">
        <v>60100000</v>
      </c>
      <c r="I381" s="4">
        <v>60100000</v>
      </c>
      <c r="J381" s="16">
        <f t="shared" si="10"/>
        <v>0.66944444444444451</v>
      </c>
      <c r="K381" s="16">
        <f t="shared" si="11"/>
        <v>0</v>
      </c>
    </row>
    <row r="382" spans="1:11" ht="19.5" customHeight="1" x14ac:dyDescent="0.25">
      <c r="A382" s="2" t="s">
        <v>986</v>
      </c>
      <c r="B382" s="2" t="s">
        <v>16</v>
      </c>
      <c r="C382" s="2" t="s">
        <v>1004</v>
      </c>
      <c r="D382" s="2" t="s">
        <v>1005</v>
      </c>
      <c r="E382" s="2" t="s">
        <v>1006</v>
      </c>
      <c r="F382" s="3">
        <v>146314.46</v>
      </c>
      <c r="G382" s="3">
        <v>138134</v>
      </c>
      <c r="H382" s="4">
        <v>900000</v>
      </c>
      <c r="I382" s="4">
        <v>900000</v>
      </c>
      <c r="J382" s="16">
        <f t="shared" si="10"/>
        <v>5.5154125704026526</v>
      </c>
      <c r="K382" s="16">
        <f t="shared" si="11"/>
        <v>0</v>
      </c>
    </row>
    <row r="383" spans="1:11" ht="19.5" customHeight="1" x14ac:dyDescent="0.25">
      <c r="A383" s="2" t="s">
        <v>986</v>
      </c>
      <c r="B383" s="2" t="s">
        <v>16</v>
      </c>
      <c r="C383" s="2" t="s">
        <v>1007</v>
      </c>
      <c r="D383" s="2" t="s">
        <v>1008</v>
      </c>
      <c r="E383" s="2" t="s">
        <v>1009</v>
      </c>
      <c r="F383" s="3">
        <v>77583.960000000006</v>
      </c>
      <c r="G383" s="3">
        <v>100000</v>
      </c>
      <c r="H383" s="4">
        <v>0</v>
      </c>
      <c r="I383" s="4">
        <v>0</v>
      </c>
      <c r="J383" s="16">
        <f t="shared" si="10"/>
        <v>-1</v>
      </c>
      <c r="K383" s="16" t="str">
        <f t="shared" si="11"/>
        <v>--</v>
      </c>
    </row>
    <row r="384" spans="1:11" ht="19.5" customHeight="1" x14ac:dyDescent="0.25">
      <c r="A384" s="2" t="s">
        <v>986</v>
      </c>
      <c r="B384" s="2" t="s">
        <v>16</v>
      </c>
      <c r="C384" s="2" t="s">
        <v>1010</v>
      </c>
      <c r="D384" s="2" t="s">
        <v>1011</v>
      </c>
      <c r="E384" s="2" t="s">
        <v>1012</v>
      </c>
      <c r="F384" s="3">
        <v>21980647.699999999</v>
      </c>
      <c r="G384" s="3">
        <v>23800000</v>
      </c>
      <c r="H384" s="4">
        <v>29000000</v>
      </c>
      <c r="I384" s="4">
        <v>30000000</v>
      </c>
      <c r="J384" s="16">
        <f t="shared" si="10"/>
        <v>0.21848739495798308</v>
      </c>
      <c r="K384" s="16">
        <f t="shared" si="11"/>
        <v>3.4482758620689724E-2</v>
      </c>
    </row>
    <row r="385" spans="1:11" ht="19.5" customHeight="1" x14ac:dyDescent="0.25">
      <c r="A385" s="2" t="s">
        <v>986</v>
      </c>
      <c r="B385" s="2" t="s">
        <v>16</v>
      </c>
      <c r="C385" s="2" t="s">
        <v>1013</v>
      </c>
      <c r="D385" s="2" t="s">
        <v>1014</v>
      </c>
      <c r="E385" s="2" t="s">
        <v>1015</v>
      </c>
      <c r="F385" s="3">
        <v>336853828.97000003</v>
      </c>
      <c r="G385" s="3">
        <v>350000000</v>
      </c>
      <c r="H385" s="4">
        <v>420000000</v>
      </c>
      <c r="I385" s="4">
        <v>482000000</v>
      </c>
      <c r="J385" s="16">
        <f t="shared" si="10"/>
        <v>0.19999999999999996</v>
      </c>
      <c r="K385" s="16">
        <f t="shared" si="11"/>
        <v>0.14761904761904754</v>
      </c>
    </row>
    <row r="386" spans="1:11" ht="19.5" customHeight="1" x14ac:dyDescent="0.25">
      <c r="A386" s="2" t="s">
        <v>986</v>
      </c>
      <c r="B386" s="2" t="s">
        <v>44</v>
      </c>
      <c r="C386" s="2" t="s">
        <v>1016</v>
      </c>
      <c r="D386" s="2" t="s">
        <v>1017</v>
      </c>
      <c r="E386" s="2" t="s">
        <v>1018</v>
      </c>
      <c r="F386" s="4">
        <v>21562623.440000001</v>
      </c>
      <c r="G386" s="3">
        <v>26997635</v>
      </c>
      <c r="H386" s="4">
        <v>26997635</v>
      </c>
      <c r="I386" s="4">
        <v>26997635</v>
      </c>
      <c r="J386" s="16">
        <f t="shared" si="10"/>
        <v>0</v>
      </c>
      <c r="K386" s="16">
        <f t="shared" si="11"/>
        <v>0</v>
      </c>
    </row>
    <row r="387" spans="1:11" ht="19.5" customHeight="1" x14ac:dyDescent="0.25">
      <c r="A387" s="2" t="s">
        <v>986</v>
      </c>
      <c r="B387" s="2" t="s">
        <v>44</v>
      </c>
      <c r="C387" s="2" t="s">
        <v>1019</v>
      </c>
      <c r="D387" s="2" t="s">
        <v>1020</v>
      </c>
      <c r="E387" s="2" t="s">
        <v>1021</v>
      </c>
      <c r="F387" s="3">
        <v>1972620261.9400001</v>
      </c>
      <c r="G387" s="3">
        <v>2216179373</v>
      </c>
      <c r="H387" s="4">
        <v>2235086668</v>
      </c>
      <c r="I387" s="4">
        <v>2269126558</v>
      </c>
      <c r="J387" s="16">
        <f t="shared" ref="J387:J450" si="12">IFERROR(H387/G387-1,"--")</f>
        <v>8.5314822574156235E-3</v>
      </c>
      <c r="K387" s="16">
        <f t="shared" ref="K387:K450" si="13">IFERROR(I387/H387-1,"--")</f>
        <v>1.522978526396912E-2</v>
      </c>
    </row>
    <row r="388" spans="1:11" ht="19.5" customHeight="1" x14ac:dyDescent="0.25">
      <c r="A388" s="2" t="s">
        <v>986</v>
      </c>
      <c r="B388" s="2" t="s">
        <v>44</v>
      </c>
      <c r="C388" s="2" t="s">
        <v>1019</v>
      </c>
      <c r="D388" s="2" t="s">
        <v>1022</v>
      </c>
      <c r="E388" s="2" t="s">
        <v>1023</v>
      </c>
      <c r="F388" s="3">
        <v>59304483.600000001</v>
      </c>
      <c r="G388" s="3">
        <v>64550000</v>
      </c>
      <c r="H388" s="4">
        <v>73000000</v>
      </c>
      <c r="I388" s="4">
        <v>76000000</v>
      </c>
      <c r="J388" s="16">
        <f t="shared" si="12"/>
        <v>0.13090627420604184</v>
      </c>
      <c r="K388" s="16">
        <f t="shared" si="13"/>
        <v>4.1095890410958846E-2</v>
      </c>
    </row>
    <row r="389" spans="1:11" ht="19.5" customHeight="1" x14ac:dyDescent="0.25">
      <c r="A389" s="2" t="s">
        <v>986</v>
      </c>
      <c r="B389" s="2" t="s">
        <v>44</v>
      </c>
      <c r="C389" s="2" t="s">
        <v>1024</v>
      </c>
      <c r="D389" s="2" t="s">
        <v>1025</v>
      </c>
      <c r="E389" s="2" t="s">
        <v>1026</v>
      </c>
      <c r="F389" s="3">
        <v>2851028.81</v>
      </c>
      <c r="G389" s="3">
        <v>3200000</v>
      </c>
      <c r="H389" s="4">
        <v>3200000</v>
      </c>
      <c r="I389" s="4">
        <v>3200000</v>
      </c>
      <c r="J389" s="16">
        <f t="shared" si="12"/>
        <v>0</v>
      </c>
      <c r="K389" s="16">
        <f t="shared" si="13"/>
        <v>0</v>
      </c>
    </row>
    <row r="390" spans="1:11" ht="19.5" customHeight="1" x14ac:dyDescent="0.25">
      <c r="A390" s="2" t="s">
        <v>986</v>
      </c>
      <c r="B390" s="2" t="s">
        <v>44</v>
      </c>
      <c r="C390" s="2" t="s">
        <v>550</v>
      </c>
      <c r="D390" s="2" t="s">
        <v>1027</v>
      </c>
      <c r="E390" s="2" t="s">
        <v>1028</v>
      </c>
      <c r="F390" s="3">
        <v>0</v>
      </c>
      <c r="G390" s="3">
        <v>2700000</v>
      </c>
      <c r="H390" s="4">
        <v>0</v>
      </c>
      <c r="I390" s="4">
        <v>0</v>
      </c>
      <c r="J390" s="16">
        <f t="shared" si="12"/>
        <v>-1</v>
      </c>
      <c r="K390" s="16" t="str">
        <f t="shared" si="13"/>
        <v>--</v>
      </c>
    </row>
    <row r="391" spans="1:11" ht="19.5" customHeight="1" x14ac:dyDescent="0.25">
      <c r="A391" s="2" t="s">
        <v>986</v>
      </c>
      <c r="B391" s="2" t="s">
        <v>54</v>
      </c>
      <c r="C391" s="2" t="s">
        <v>54</v>
      </c>
      <c r="D391" s="2" t="s">
        <v>1029</v>
      </c>
      <c r="E391" s="2" t="s">
        <v>1030</v>
      </c>
      <c r="F391" s="3">
        <v>100000</v>
      </c>
      <c r="G391" s="3">
        <v>100000</v>
      </c>
      <c r="H391" s="4">
        <v>100000</v>
      </c>
      <c r="I391" s="4">
        <v>100000</v>
      </c>
      <c r="J391" s="16">
        <f t="shared" si="12"/>
        <v>0</v>
      </c>
      <c r="K391" s="16">
        <f t="shared" si="13"/>
        <v>0</v>
      </c>
    </row>
    <row r="392" spans="1:11" ht="19.5" customHeight="1" x14ac:dyDescent="0.25">
      <c r="A392" s="2" t="s">
        <v>986</v>
      </c>
      <c r="B392" s="2" t="s">
        <v>54</v>
      </c>
      <c r="C392" s="2" t="s">
        <v>54</v>
      </c>
      <c r="D392" s="2" t="s">
        <v>1031</v>
      </c>
      <c r="E392" s="2" t="s">
        <v>1032</v>
      </c>
      <c r="F392" s="3">
        <v>2381923</v>
      </c>
      <c r="G392" s="3">
        <v>2381923</v>
      </c>
      <c r="H392" s="4">
        <v>2450000</v>
      </c>
      <c r="I392" s="4">
        <v>2600000</v>
      </c>
      <c r="J392" s="16">
        <f t="shared" si="12"/>
        <v>2.8580688796405296E-2</v>
      </c>
      <c r="K392" s="16">
        <f t="shared" si="13"/>
        <v>6.1224489795918435E-2</v>
      </c>
    </row>
    <row r="393" spans="1:11" ht="19.5" customHeight="1" x14ac:dyDescent="0.25">
      <c r="A393" s="2" t="s">
        <v>986</v>
      </c>
      <c r="B393" s="2" t="s">
        <v>54</v>
      </c>
      <c r="C393" s="2" t="s">
        <v>54</v>
      </c>
      <c r="D393" s="2" t="s">
        <v>1033</v>
      </c>
      <c r="E393" s="2" t="s">
        <v>1034</v>
      </c>
      <c r="F393" s="3">
        <v>18353361.800000001</v>
      </c>
      <c r="G393" s="3">
        <v>17851755</v>
      </c>
      <c r="H393" s="4">
        <v>27000000</v>
      </c>
      <c r="I393" s="4">
        <v>27000000</v>
      </c>
      <c r="J393" s="16">
        <f t="shared" si="12"/>
        <v>0.51245633832639981</v>
      </c>
      <c r="K393" s="16">
        <f t="shared" si="13"/>
        <v>0</v>
      </c>
    </row>
    <row r="394" spans="1:11" ht="19.5" customHeight="1" x14ac:dyDescent="0.25">
      <c r="A394" s="2" t="s">
        <v>986</v>
      </c>
      <c r="B394" s="2" t="s">
        <v>54</v>
      </c>
      <c r="C394" s="2" t="s">
        <v>54</v>
      </c>
      <c r="D394" s="2" t="s">
        <v>1035</v>
      </c>
      <c r="E394" s="2" t="s">
        <v>1036</v>
      </c>
      <c r="F394" s="3">
        <v>298847.38</v>
      </c>
      <c r="G394" s="3">
        <v>250000</v>
      </c>
      <c r="H394" s="4">
        <v>0</v>
      </c>
      <c r="I394" s="4">
        <v>0</v>
      </c>
      <c r="J394" s="16">
        <f t="shared" si="12"/>
        <v>-1</v>
      </c>
      <c r="K394" s="16" t="str">
        <f t="shared" si="13"/>
        <v>--</v>
      </c>
    </row>
    <row r="395" spans="1:11" ht="19.5" customHeight="1" x14ac:dyDescent="0.25">
      <c r="A395" s="2" t="s">
        <v>986</v>
      </c>
      <c r="B395" s="2" t="s">
        <v>54</v>
      </c>
      <c r="C395" s="2" t="s">
        <v>54</v>
      </c>
      <c r="D395" s="2" t="s">
        <v>1037</v>
      </c>
      <c r="E395" s="2" t="s">
        <v>1038</v>
      </c>
      <c r="F395" s="3">
        <v>20083474.260000002</v>
      </c>
      <c r="G395" s="3">
        <v>22076431</v>
      </c>
      <c r="H395" s="4">
        <v>23326431</v>
      </c>
      <c r="I395" s="4">
        <v>23326431</v>
      </c>
      <c r="J395" s="16">
        <f t="shared" si="12"/>
        <v>5.6621471106448329E-2</v>
      </c>
      <c r="K395" s="16">
        <f t="shared" si="13"/>
        <v>0</v>
      </c>
    </row>
    <row r="396" spans="1:11" ht="19.5" customHeight="1" x14ac:dyDescent="0.25">
      <c r="A396" s="2" t="s">
        <v>986</v>
      </c>
      <c r="B396" s="2" t="s">
        <v>54</v>
      </c>
      <c r="C396" s="2" t="s">
        <v>54</v>
      </c>
      <c r="D396" s="2" t="s">
        <v>1039</v>
      </c>
      <c r="E396" s="2" t="s">
        <v>1040</v>
      </c>
      <c r="F396" s="3">
        <v>300000</v>
      </c>
      <c r="G396" s="3">
        <v>1000000</v>
      </c>
      <c r="H396" s="4">
        <v>2500000</v>
      </c>
      <c r="I396" s="4">
        <v>4000000</v>
      </c>
      <c r="J396" s="16">
        <f t="shared" si="12"/>
        <v>1.5</v>
      </c>
      <c r="K396" s="16">
        <f t="shared" si="13"/>
        <v>0.60000000000000009</v>
      </c>
    </row>
    <row r="397" spans="1:11" ht="19.5" customHeight="1" x14ac:dyDescent="0.25">
      <c r="A397" s="2" t="s">
        <v>986</v>
      </c>
      <c r="B397" s="2" t="s">
        <v>54</v>
      </c>
      <c r="C397" s="2" t="s">
        <v>54</v>
      </c>
      <c r="D397" s="2" t="s">
        <v>1041</v>
      </c>
      <c r="E397" s="2" t="s">
        <v>1042</v>
      </c>
      <c r="F397" s="3">
        <v>5843767</v>
      </c>
      <c r="G397" s="3">
        <v>0</v>
      </c>
      <c r="H397" s="4">
        <v>0</v>
      </c>
      <c r="I397" s="4">
        <v>0</v>
      </c>
      <c r="J397" s="16" t="str">
        <f t="shared" si="12"/>
        <v>--</v>
      </c>
      <c r="K397" s="16" t="str">
        <f t="shared" si="13"/>
        <v>--</v>
      </c>
    </row>
    <row r="398" spans="1:11" ht="19.5" customHeight="1" x14ac:dyDescent="0.25">
      <c r="A398" s="2" t="s">
        <v>986</v>
      </c>
      <c r="B398" s="2" t="s">
        <v>54</v>
      </c>
      <c r="C398" s="2" t="s">
        <v>54</v>
      </c>
      <c r="D398" s="2" t="s">
        <v>1043</v>
      </c>
      <c r="E398" s="2" t="s">
        <v>1044</v>
      </c>
      <c r="F398" s="3">
        <v>25000</v>
      </c>
      <c r="G398" s="3">
        <v>20000</v>
      </c>
      <c r="H398" s="4">
        <v>0</v>
      </c>
      <c r="I398" s="4">
        <v>0</v>
      </c>
      <c r="J398" s="16">
        <f t="shared" si="12"/>
        <v>-1</v>
      </c>
      <c r="K398" s="16" t="str">
        <f t="shared" si="13"/>
        <v>--</v>
      </c>
    </row>
    <row r="399" spans="1:11" ht="19.5" customHeight="1" x14ac:dyDescent="0.25">
      <c r="A399" s="2" t="s">
        <v>986</v>
      </c>
      <c r="B399" s="2" t="s">
        <v>54</v>
      </c>
      <c r="C399" s="2" t="s">
        <v>54</v>
      </c>
      <c r="D399" s="2" t="s">
        <v>1045</v>
      </c>
      <c r="E399" s="2" t="s">
        <v>1046</v>
      </c>
      <c r="F399" s="3">
        <v>2877686.54</v>
      </c>
      <c r="G399" s="3">
        <v>2300000</v>
      </c>
      <c r="H399" s="4">
        <v>2700000</v>
      </c>
      <c r="I399" s="4">
        <v>2700000</v>
      </c>
      <c r="J399" s="16">
        <f t="shared" si="12"/>
        <v>0.17391304347826098</v>
      </c>
      <c r="K399" s="16">
        <f t="shared" si="13"/>
        <v>0</v>
      </c>
    </row>
    <row r="400" spans="1:11" ht="19.5" customHeight="1" x14ac:dyDescent="0.25">
      <c r="A400" s="2" t="s">
        <v>986</v>
      </c>
      <c r="B400" s="2" t="s">
        <v>54</v>
      </c>
      <c r="C400" s="2" t="s">
        <v>54</v>
      </c>
      <c r="D400" s="2" t="s">
        <v>1047</v>
      </c>
      <c r="E400" s="2" t="s">
        <v>1048</v>
      </c>
      <c r="F400" s="4">
        <v>687990</v>
      </c>
      <c r="G400" s="3">
        <v>700000</v>
      </c>
      <c r="H400" s="4">
        <v>2300000</v>
      </c>
      <c r="I400" s="4">
        <v>700000</v>
      </c>
      <c r="J400" s="16">
        <f t="shared" si="12"/>
        <v>2.2857142857142856</v>
      </c>
      <c r="K400" s="16">
        <f t="shared" si="13"/>
        <v>-0.69565217391304346</v>
      </c>
    </row>
    <row r="401" spans="1:11" ht="19.5" customHeight="1" x14ac:dyDescent="0.25">
      <c r="A401" s="2" t="s">
        <v>986</v>
      </c>
      <c r="B401" s="2" t="s">
        <v>54</v>
      </c>
      <c r="C401" s="2" t="s">
        <v>54</v>
      </c>
      <c r="D401" s="2" t="s">
        <v>1049</v>
      </c>
      <c r="E401" s="2" t="s">
        <v>1050</v>
      </c>
      <c r="F401" s="3">
        <v>125000</v>
      </c>
      <c r="G401" s="3">
        <v>100000</v>
      </c>
      <c r="H401" s="4">
        <v>100000</v>
      </c>
      <c r="I401" s="4">
        <v>100000</v>
      </c>
      <c r="J401" s="16">
        <f t="shared" si="12"/>
        <v>0</v>
      </c>
      <c r="K401" s="16">
        <f t="shared" si="13"/>
        <v>0</v>
      </c>
    </row>
    <row r="402" spans="1:11" ht="19.5" customHeight="1" x14ac:dyDescent="0.25">
      <c r="A402" s="2" t="s">
        <v>986</v>
      </c>
      <c r="B402" s="2" t="s">
        <v>54</v>
      </c>
      <c r="C402" s="2" t="s">
        <v>54</v>
      </c>
      <c r="D402" s="2" t="s">
        <v>1051</v>
      </c>
      <c r="E402" s="2" t="s">
        <v>1052</v>
      </c>
      <c r="F402" s="3">
        <v>7077304.0499999998</v>
      </c>
      <c r="G402" s="3">
        <v>7000000</v>
      </c>
      <c r="H402" s="4">
        <v>7000000</v>
      </c>
      <c r="I402" s="4">
        <v>7000000</v>
      </c>
      <c r="J402" s="16">
        <f t="shared" si="12"/>
        <v>0</v>
      </c>
      <c r="K402" s="16">
        <f t="shared" si="13"/>
        <v>0</v>
      </c>
    </row>
    <row r="403" spans="1:11" ht="19.5" customHeight="1" x14ac:dyDescent="0.25">
      <c r="A403" s="2" t="s">
        <v>986</v>
      </c>
      <c r="B403" s="2" t="s">
        <v>54</v>
      </c>
      <c r="C403" s="2" t="s">
        <v>54</v>
      </c>
      <c r="D403" s="2" t="s">
        <v>1053</v>
      </c>
      <c r="E403" s="2" t="s">
        <v>1021</v>
      </c>
      <c r="F403" s="3">
        <v>617554417.74000001</v>
      </c>
      <c r="G403" s="3">
        <v>571177944</v>
      </c>
      <c r="H403" s="4">
        <v>655397881</v>
      </c>
      <c r="I403" s="4">
        <v>745826590</v>
      </c>
      <c r="J403" s="16">
        <f t="shared" si="12"/>
        <v>0.14744956083248195</v>
      </c>
      <c r="K403" s="16">
        <f t="shared" si="13"/>
        <v>0.1379752843601274</v>
      </c>
    </row>
    <row r="404" spans="1:11" ht="19.5" customHeight="1" x14ac:dyDescent="0.25">
      <c r="A404" s="2" t="s">
        <v>986</v>
      </c>
      <c r="B404" s="2" t="s">
        <v>243</v>
      </c>
      <c r="C404" s="2" t="s">
        <v>1054</v>
      </c>
      <c r="D404" s="2" t="s">
        <v>1055</v>
      </c>
      <c r="E404" s="2" t="s">
        <v>1056</v>
      </c>
      <c r="F404" s="3">
        <v>8518834.0199999996</v>
      </c>
      <c r="G404" s="3">
        <v>9000000</v>
      </c>
      <c r="H404" s="4">
        <v>11000000</v>
      </c>
      <c r="I404" s="4">
        <v>12000000</v>
      </c>
      <c r="J404" s="16">
        <f t="shared" si="12"/>
        <v>0.22222222222222232</v>
      </c>
      <c r="K404" s="16">
        <f t="shared" si="13"/>
        <v>9.0909090909090828E-2</v>
      </c>
    </row>
    <row r="405" spans="1:11" ht="19.5" customHeight="1" x14ac:dyDescent="0.25">
      <c r="A405" s="2" t="s">
        <v>1057</v>
      </c>
      <c r="B405" s="2" t="s">
        <v>16</v>
      </c>
      <c r="C405" s="2" t="s">
        <v>20</v>
      </c>
      <c r="D405" s="2" t="s">
        <v>1058</v>
      </c>
      <c r="E405" s="2" t="s">
        <v>22</v>
      </c>
      <c r="F405" s="3">
        <v>1530351.79</v>
      </c>
      <c r="G405" s="3">
        <v>2124251</v>
      </c>
      <c r="H405" s="4">
        <v>1700000</v>
      </c>
      <c r="I405" s="4">
        <v>1750000</v>
      </c>
      <c r="J405" s="16">
        <f t="shared" si="12"/>
        <v>-0.19971792410595546</v>
      </c>
      <c r="K405" s="16">
        <f t="shared" si="13"/>
        <v>2.9411764705882248E-2</v>
      </c>
    </row>
    <row r="406" spans="1:11" ht="19.5" customHeight="1" x14ac:dyDescent="0.25">
      <c r="A406" s="2" t="s">
        <v>1059</v>
      </c>
      <c r="B406" s="2" t="s">
        <v>477</v>
      </c>
      <c r="C406" s="2" t="s">
        <v>478</v>
      </c>
      <c r="D406" s="2" t="s">
        <v>1060</v>
      </c>
      <c r="E406" s="2" t="s">
        <v>1061</v>
      </c>
      <c r="F406" s="3">
        <v>786805.41</v>
      </c>
      <c r="G406" s="3">
        <v>0</v>
      </c>
      <c r="H406" s="4">
        <v>0</v>
      </c>
      <c r="I406" s="4">
        <v>0</v>
      </c>
      <c r="J406" s="16" t="str">
        <f t="shared" si="12"/>
        <v>--</v>
      </c>
      <c r="K406" s="16" t="str">
        <f t="shared" si="13"/>
        <v>--</v>
      </c>
    </row>
    <row r="407" spans="1:11" ht="19.5" customHeight="1" x14ac:dyDescent="0.25">
      <c r="A407" s="2" t="s">
        <v>1059</v>
      </c>
      <c r="B407" s="2" t="s">
        <v>477</v>
      </c>
      <c r="C407" s="2" t="s">
        <v>478</v>
      </c>
      <c r="D407" s="2" t="s">
        <v>1062</v>
      </c>
      <c r="E407" s="2" t="s">
        <v>1063</v>
      </c>
      <c r="F407" s="3">
        <v>0</v>
      </c>
      <c r="G407" s="3">
        <v>750000</v>
      </c>
      <c r="H407" s="4">
        <v>750000</v>
      </c>
      <c r="I407" s="4">
        <v>750000</v>
      </c>
      <c r="J407" s="16">
        <f t="shared" si="12"/>
        <v>0</v>
      </c>
      <c r="K407" s="16">
        <f t="shared" si="13"/>
        <v>0</v>
      </c>
    </row>
    <row r="408" spans="1:11" ht="19.5" customHeight="1" x14ac:dyDescent="0.25">
      <c r="A408" s="2" t="s">
        <v>1059</v>
      </c>
      <c r="B408" s="2" t="s">
        <v>477</v>
      </c>
      <c r="C408" s="2" t="s">
        <v>478</v>
      </c>
      <c r="D408" s="2" t="s">
        <v>1064</v>
      </c>
      <c r="E408" s="2" t="s">
        <v>1065</v>
      </c>
      <c r="F408" s="3">
        <v>4371719.68</v>
      </c>
      <c r="G408" s="3">
        <v>21000000</v>
      </c>
      <c r="H408" s="4">
        <v>10000000</v>
      </c>
      <c r="I408" s="4">
        <v>10000000</v>
      </c>
      <c r="J408" s="16">
        <f t="shared" si="12"/>
        <v>-0.52380952380952384</v>
      </c>
      <c r="K408" s="16">
        <f t="shared" si="13"/>
        <v>0</v>
      </c>
    </row>
    <row r="409" spans="1:11" ht="19.5" customHeight="1" x14ac:dyDescent="0.25">
      <c r="A409" s="2" t="s">
        <v>1059</v>
      </c>
      <c r="B409" s="2" t="s">
        <v>477</v>
      </c>
      <c r="C409" s="2" t="s">
        <v>481</v>
      </c>
      <c r="D409" s="2" t="s">
        <v>1066</v>
      </c>
      <c r="E409" s="2" t="s">
        <v>1067</v>
      </c>
      <c r="F409" s="4">
        <v>508828.15999999997</v>
      </c>
      <c r="G409" s="3">
        <v>1710000</v>
      </c>
      <c r="H409" s="4">
        <v>1710000</v>
      </c>
      <c r="I409" s="4">
        <v>1710000</v>
      </c>
      <c r="J409" s="16">
        <f t="shared" si="12"/>
        <v>0</v>
      </c>
      <c r="K409" s="16">
        <f t="shared" si="13"/>
        <v>0</v>
      </c>
    </row>
    <row r="410" spans="1:11" ht="19.5" customHeight="1" x14ac:dyDescent="0.25">
      <c r="A410" s="2" t="s">
        <v>1059</v>
      </c>
      <c r="B410" s="2" t="s">
        <v>477</v>
      </c>
      <c r="C410" s="2" t="s">
        <v>481</v>
      </c>
      <c r="D410" s="2" t="s">
        <v>1068</v>
      </c>
      <c r="E410" s="2" t="s">
        <v>1069</v>
      </c>
      <c r="F410" s="3">
        <v>45893033.68</v>
      </c>
      <c r="G410" s="3">
        <v>90850250</v>
      </c>
      <c r="H410" s="4">
        <v>50000000</v>
      </c>
      <c r="I410" s="4">
        <v>50000000</v>
      </c>
      <c r="J410" s="16">
        <f t="shared" si="12"/>
        <v>-0.44964378193785925</v>
      </c>
      <c r="K410" s="16">
        <f t="shared" si="13"/>
        <v>0</v>
      </c>
    </row>
    <row r="411" spans="1:11" ht="19.5" customHeight="1" x14ac:dyDescent="0.25">
      <c r="A411" s="2" t="s">
        <v>1059</v>
      </c>
      <c r="B411" s="2" t="s">
        <v>16</v>
      </c>
      <c r="C411" s="2" t="s">
        <v>1070</v>
      </c>
      <c r="D411" s="2" t="s">
        <v>1071</v>
      </c>
      <c r="E411" s="2" t="s">
        <v>1072</v>
      </c>
      <c r="F411" s="3">
        <v>49468.18</v>
      </c>
      <c r="G411" s="3">
        <v>74905</v>
      </c>
      <c r="H411" s="4">
        <v>74905</v>
      </c>
      <c r="I411" s="4">
        <v>74905</v>
      </c>
      <c r="J411" s="16">
        <f t="shared" si="12"/>
        <v>0</v>
      </c>
      <c r="K411" s="16">
        <f t="shared" si="13"/>
        <v>0</v>
      </c>
    </row>
    <row r="412" spans="1:11" ht="19.5" customHeight="1" x14ac:dyDescent="0.25">
      <c r="A412" s="2" t="s">
        <v>1059</v>
      </c>
      <c r="B412" s="2" t="s">
        <v>16</v>
      </c>
      <c r="C412" s="2" t="s">
        <v>1073</v>
      </c>
      <c r="D412" s="2" t="s">
        <v>1074</v>
      </c>
      <c r="E412" s="2" t="s">
        <v>1075</v>
      </c>
      <c r="F412" s="3">
        <v>1761701.31</v>
      </c>
      <c r="G412" s="3">
        <v>4000000</v>
      </c>
      <c r="H412" s="4">
        <v>3000000</v>
      </c>
      <c r="I412" s="4">
        <v>3000000</v>
      </c>
      <c r="J412" s="16">
        <f t="shared" si="12"/>
        <v>-0.25</v>
      </c>
      <c r="K412" s="16">
        <f t="shared" si="13"/>
        <v>0</v>
      </c>
    </row>
    <row r="413" spans="1:11" ht="19.5" customHeight="1" x14ac:dyDescent="0.25">
      <c r="A413" s="2" t="s">
        <v>1059</v>
      </c>
      <c r="B413" s="2" t="s">
        <v>16</v>
      </c>
      <c r="C413" s="2" t="s">
        <v>1076</v>
      </c>
      <c r="D413" s="2" t="s">
        <v>1077</v>
      </c>
      <c r="E413" s="2" t="s">
        <v>1078</v>
      </c>
      <c r="F413" s="3">
        <v>93250.33</v>
      </c>
      <c r="G413" s="3">
        <v>102104</v>
      </c>
      <c r="H413" s="4">
        <v>1000000</v>
      </c>
      <c r="I413" s="4">
        <v>1000000</v>
      </c>
      <c r="J413" s="16">
        <f t="shared" si="12"/>
        <v>8.7939355950795264</v>
      </c>
      <c r="K413" s="16">
        <f t="shared" si="13"/>
        <v>0</v>
      </c>
    </row>
    <row r="414" spans="1:11" ht="19.5" customHeight="1" x14ac:dyDescent="0.25">
      <c r="A414" s="2" t="s">
        <v>1059</v>
      </c>
      <c r="B414" s="2" t="s">
        <v>16</v>
      </c>
      <c r="C414" s="2" t="s">
        <v>1076</v>
      </c>
      <c r="D414" s="2" t="s">
        <v>1079</v>
      </c>
      <c r="E414" s="2" t="s">
        <v>1080</v>
      </c>
      <c r="F414" s="3">
        <v>0</v>
      </c>
      <c r="G414" s="3">
        <v>175000</v>
      </c>
      <c r="H414" s="4">
        <v>0</v>
      </c>
      <c r="I414" s="4">
        <v>0</v>
      </c>
      <c r="J414" s="16">
        <f t="shared" si="12"/>
        <v>-1</v>
      </c>
      <c r="K414" s="16" t="str">
        <f t="shared" si="13"/>
        <v>--</v>
      </c>
    </row>
    <row r="415" spans="1:11" ht="19.5" customHeight="1" x14ac:dyDescent="0.25">
      <c r="A415" s="2" t="s">
        <v>1059</v>
      </c>
      <c r="B415" s="2" t="s">
        <v>16</v>
      </c>
      <c r="C415" s="2" t="s">
        <v>1076</v>
      </c>
      <c r="D415" s="2" t="s">
        <v>1081</v>
      </c>
      <c r="E415" s="2" t="s">
        <v>1082</v>
      </c>
      <c r="F415" s="3">
        <v>219498.49</v>
      </c>
      <c r="G415" s="3">
        <v>500000</v>
      </c>
      <c r="H415" s="4">
        <v>750000</v>
      </c>
      <c r="I415" s="4">
        <v>750000</v>
      </c>
      <c r="J415" s="16">
        <f t="shared" si="12"/>
        <v>0.5</v>
      </c>
      <c r="K415" s="16">
        <f t="shared" si="13"/>
        <v>0</v>
      </c>
    </row>
    <row r="416" spans="1:11" ht="19.5" customHeight="1" x14ac:dyDescent="0.25">
      <c r="A416" s="2" t="s">
        <v>1059</v>
      </c>
      <c r="B416" s="2" t="s">
        <v>16</v>
      </c>
      <c r="C416" s="2" t="s">
        <v>1083</v>
      </c>
      <c r="D416" s="2" t="s">
        <v>1084</v>
      </c>
      <c r="E416" s="2" t="s">
        <v>1085</v>
      </c>
      <c r="F416" s="3">
        <v>725319.87</v>
      </c>
      <c r="G416" s="3">
        <v>4000000</v>
      </c>
      <c r="H416" s="4">
        <v>5000000</v>
      </c>
      <c r="I416" s="4">
        <v>5000000</v>
      </c>
      <c r="J416" s="16">
        <f t="shared" si="12"/>
        <v>0.25</v>
      </c>
      <c r="K416" s="16">
        <f t="shared" si="13"/>
        <v>0</v>
      </c>
    </row>
    <row r="417" spans="1:11" ht="19.5" customHeight="1" x14ac:dyDescent="0.25">
      <c r="A417" s="2" t="s">
        <v>1059</v>
      </c>
      <c r="B417" s="2" t="s">
        <v>16</v>
      </c>
      <c r="C417" s="2" t="s">
        <v>35</v>
      </c>
      <c r="D417" s="8" t="s">
        <v>1088</v>
      </c>
      <c r="E417" s="2" t="s">
        <v>1089</v>
      </c>
      <c r="F417" s="3">
        <v>0</v>
      </c>
      <c r="G417" s="3">
        <v>0</v>
      </c>
      <c r="H417" s="4">
        <v>25000000</v>
      </c>
      <c r="I417" s="4">
        <v>0</v>
      </c>
      <c r="J417" s="16" t="str">
        <f t="shared" si="12"/>
        <v>--</v>
      </c>
      <c r="K417" s="16">
        <f t="shared" si="13"/>
        <v>-1</v>
      </c>
    </row>
    <row r="418" spans="1:11" ht="19.5" customHeight="1" x14ac:dyDescent="0.25">
      <c r="A418" s="2" t="s">
        <v>1059</v>
      </c>
      <c r="B418" s="2" t="s">
        <v>16</v>
      </c>
      <c r="C418" s="2" t="s">
        <v>35</v>
      </c>
      <c r="D418" s="2" t="s">
        <v>1086</v>
      </c>
      <c r="E418" s="2" t="s">
        <v>1087</v>
      </c>
      <c r="F418" s="3">
        <v>0</v>
      </c>
      <c r="G418" s="3">
        <v>5000000</v>
      </c>
      <c r="H418" s="4">
        <v>0</v>
      </c>
      <c r="I418" s="4">
        <v>0</v>
      </c>
      <c r="J418" s="16">
        <f t="shared" si="12"/>
        <v>-1</v>
      </c>
      <c r="K418" s="16" t="str">
        <f t="shared" si="13"/>
        <v>--</v>
      </c>
    </row>
    <row r="419" spans="1:11" ht="19.5" customHeight="1" x14ac:dyDescent="0.25">
      <c r="A419" s="2" t="s">
        <v>1059</v>
      </c>
      <c r="B419" s="2" t="s">
        <v>16</v>
      </c>
      <c r="C419" s="2" t="s">
        <v>35</v>
      </c>
      <c r="D419" s="2" t="s">
        <v>1090</v>
      </c>
      <c r="E419" s="2" t="s">
        <v>1091</v>
      </c>
      <c r="F419" s="3">
        <v>0</v>
      </c>
      <c r="G419" s="3">
        <v>20000000</v>
      </c>
      <c r="H419" s="4">
        <v>20000000</v>
      </c>
      <c r="I419" s="4">
        <v>0</v>
      </c>
      <c r="J419" s="16">
        <f t="shared" si="12"/>
        <v>0</v>
      </c>
      <c r="K419" s="16">
        <f t="shared" si="13"/>
        <v>-1</v>
      </c>
    </row>
    <row r="420" spans="1:11" ht="19.5" customHeight="1" x14ac:dyDescent="0.25">
      <c r="A420" s="2" t="s">
        <v>1059</v>
      </c>
      <c r="B420" s="2" t="s">
        <v>16</v>
      </c>
      <c r="C420" s="2" t="s">
        <v>35</v>
      </c>
      <c r="D420" s="2" t="s">
        <v>1092</v>
      </c>
      <c r="E420" s="2" t="s">
        <v>1093</v>
      </c>
      <c r="F420" s="3">
        <v>0</v>
      </c>
      <c r="G420" s="3">
        <v>20000000</v>
      </c>
      <c r="H420" s="4">
        <v>0</v>
      </c>
      <c r="I420" s="4">
        <v>0</v>
      </c>
      <c r="J420" s="16">
        <f t="shared" si="12"/>
        <v>-1</v>
      </c>
      <c r="K420" s="16" t="str">
        <f t="shared" si="13"/>
        <v>--</v>
      </c>
    </row>
    <row r="421" spans="1:11" ht="19.5" customHeight="1" x14ac:dyDescent="0.25">
      <c r="A421" s="2" t="s">
        <v>1059</v>
      </c>
      <c r="B421" s="2" t="s">
        <v>16</v>
      </c>
      <c r="C421" s="2" t="s">
        <v>35</v>
      </c>
      <c r="D421" s="2" t="s">
        <v>1094</v>
      </c>
      <c r="E421" s="2" t="s">
        <v>1095</v>
      </c>
      <c r="F421" s="3">
        <v>0</v>
      </c>
      <c r="G421" s="3">
        <v>10000000</v>
      </c>
      <c r="H421" s="4">
        <v>10000000</v>
      </c>
      <c r="I421" s="4">
        <v>0</v>
      </c>
      <c r="J421" s="16">
        <f t="shared" si="12"/>
        <v>0</v>
      </c>
      <c r="K421" s="16">
        <f t="shared" si="13"/>
        <v>-1</v>
      </c>
    </row>
    <row r="422" spans="1:11" ht="19.5" customHeight="1" x14ac:dyDescent="0.25">
      <c r="A422" s="2" t="s">
        <v>1059</v>
      </c>
      <c r="B422" s="2" t="s">
        <v>16</v>
      </c>
      <c r="C422" s="2" t="s">
        <v>35</v>
      </c>
      <c r="D422" s="2" t="s">
        <v>1096</v>
      </c>
      <c r="E422" s="2" t="s">
        <v>1097</v>
      </c>
      <c r="F422" s="3">
        <v>0</v>
      </c>
      <c r="G422" s="3">
        <v>313702500</v>
      </c>
      <c r="H422" s="4">
        <v>0</v>
      </c>
      <c r="I422" s="4">
        <v>0</v>
      </c>
      <c r="J422" s="16">
        <f t="shared" si="12"/>
        <v>-1</v>
      </c>
      <c r="K422" s="16" t="str">
        <f t="shared" si="13"/>
        <v>--</v>
      </c>
    </row>
    <row r="423" spans="1:11" ht="19.5" customHeight="1" x14ac:dyDescent="0.25">
      <c r="A423" s="2" t="s">
        <v>1059</v>
      </c>
      <c r="B423" s="2" t="s">
        <v>16</v>
      </c>
      <c r="C423" s="2" t="s">
        <v>35</v>
      </c>
      <c r="D423" s="2" t="s">
        <v>1098</v>
      </c>
      <c r="E423" s="2" t="s">
        <v>1099</v>
      </c>
      <c r="F423" s="4">
        <v>0</v>
      </c>
      <c r="G423" s="3">
        <v>55200000</v>
      </c>
      <c r="H423" s="4">
        <v>0</v>
      </c>
      <c r="I423" s="4">
        <v>0</v>
      </c>
      <c r="J423" s="16">
        <f t="shared" si="12"/>
        <v>-1</v>
      </c>
      <c r="K423" s="16" t="str">
        <f t="shared" si="13"/>
        <v>--</v>
      </c>
    </row>
    <row r="424" spans="1:11" ht="19.5" customHeight="1" x14ac:dyDescent="0.25">
      <c r="A424" s="2" t="s">
        <v>1059</v>
      </c>
      <c r="B424" s="2" t="s">
        <v>16</v>
      </c>
      <c r="C424" s="2" t="s">
        <v>1100</v>
      </c>
      <c r="D424" s="2" t="s">
        <v>1101</v>
      </c>
      <c r="E424" s="2" t="s">
        <v>1102</v>
      </c>
      <c r="F424" s="3">
        <v>0</v>
      </c>
      <c r="G424" s="3">
        <v>565000000</v>
      </c>
      <c r="H424" s="4">
        <v>0</v>
      </c>
      <c r="I424" s="4">
        <v>0</v>
      </c>
      <c r="J424" s="16">
        <f t="shared" si="12"/>
        <v>-1</v>
      </c>
      <c r="K424" s="16" t="str">
        <f t="shared" si="13"/>
        <v>--</v>
      </c>
    </row>
    <row r="425" spans="1:11" ht="19.5" customHeight="1" x14ac:dyDescent="0.25">
      <c r="A425" s="2" t="s">
        <v>1059</v>
      </c>
      <c r="B425" s="2" t="s">
        <v>16</v>
      </c>
      <c r="C425" s="2" t="s">
        <v>1118</v>
      </c>
      <c r="D425" s="8" t="s">
        <v>1119</v>
      </c>
      <c r="E425" s="2" t="s">
        <v>1061</v>
      </c>
      <c r="F425" s="3">
        <v>0</v>
      </c>
      <c r="G425" s="3">
        <v>0</v>
      </c>
      <c r="H425" s="4">
        <v>230000000</v>
      </c>
      <c r="I425" s="4">
        <v>20000000</v>
      </c>
      <c r="J425" s="16" t="str">
        <f t="shared" si="12"/>
        <v>--</v>
      </c>
      <c r="K425" s="16">
        <f t="shared" si="13"/>
        <v>-0.91304347826086962</v>
      </c>
    </row>
    <row r="426" spans="1:11" ht="19.5" customHeight="1" x14ac:dyDescent="0.25">
      <c r="A426" s="2" t="s">
        <v>1059</v>
      </c>
      <c r="B426" s="2" t="s">
        <v>16</v>
      </c>
      <c r="C426" s="2" t="s">
        <v>1103</v>
      </c>
      <c r="D426" s="2" t="s">
        <v>1104</v>
      </c>
      <c r="E426" s="2" t="s">
        <v>1105</v>
      </c>
      <c r="F426" s="3">
        <v>2711237.28</v>
      </c>
      <c r="G426" s="3">
        <v>0</v>
      </c>
      <c r="H426" s="4">
        <v>0</v>
      </c>
      <c r="I426" s="4">
        <v>0</v>
      </c>
      <c r="J426" s="16" t="str">
        <f t="shared" si="12"/>
        <v>--</v>
      </c>
      <c r="K426" s="16" t="str">
        <f t="shared" si="13"/>
        <v>--</v>
      </c>
    </row>
    <row r="427" spans="1:11" ht="19.5" customHeight="1" x14ac:dyDescent="0.25">
      <c r="A427" s="2" t="s">
        <v>1059</v>
      </c>
      <c r="B427" s="2" t="s">
        <v>16</v>
      </c>
      <c r="C427" s="2" t="s">
        <v>1103</v>
      </c>
      <c r="D427" s="2" t="s">
        <v>1106</v>
      </c>
      <c r="E427" s="2" t="s">
        <v>1107</v>
      </c>
      <c r="F427" s="3">
        <v>0</v>
      </c>
      <c r="G427" s="4">
        <v>4812188</v>
      </c>
      <c r="H427" s="4">
        <v>33300000</v>
      </c>
      <c r="I427" s="4">
        <v>25000000</v>
      </c>
      <c r="J427" s="16">
        <f t="shared" si="12"/>
        <v>5.9199291465753205</v>
      </c>
      <c r="K427" s="16">
        <f t="shared" si="13"/>
        <v>-0.24924924924924929</v>
      </c>
    </row>
    <row r="428" spans="1:11" ht="19.5" customHeight="1" x14ac:dyDescent="0.25">
      <c r="A428" s="2" t="s">
        <v>1059</v>
      </c>
      <c r="B428" s="2" t="s">
        <v>16</v>
      </c>
      <c r="C428" s="2" t="s">
        <v>1103</v>
      </c>
      <c r="D428" s="2" t="s">
        <v>1108</v>
      </c>
      <c r="E428" s="2" t="s">
        <v>1109</v>
      </c>
      <c r="F428" s="3">
        <v>950114.31</v>
      </c>
      <c r="G428" s="3">
        <v>1000000</v>
      </c>
      <c r="H428" s="4">
        <v>0</v>
      </c>
      <c r="I428" s="4">
        <v>0</v>
      </c>
      <c r="J428" s="16">
        <f t="shared" si="12"/>
        <v>-1</v>
      </c>
      <c r="K428" s="16" t="str">
        <f t="shared" si="13"/>
        <v>--</v>
      </c>
    </row>
    <row r="429" spans="1:11" ht="19.5" customHeight="1" x14ac:dyDescent="0.25">
      <c r="A429" s="2" t="s">
        <v>1059</v>
      </c>
      <c r="B429" s="2" t="s">
        <v>16</v>
      </c>
      <c r="C429" s="2" t="s">
        <v>1103</v>
      </c>
      <c r="D429" s="2" t="s">
        <v>1110</v>
      </c>
      <c r="E429" s="2" t="s">
        <v>1111</v>
      </c>
      <c r="F429" s="3">
        <v>854816.98</v>
      </c>
      <c r="G429" s="3">
        <v>0</v>
      </c>
      <c r="H429" s="4">
        <v>0</v>
      </c>
      <c r="I429" s="4">
        <v>0</v>
      </c>
      <c r="J429" s="16" t="str">
        <f t="shared" si="12"/>
        <v>--</v>
      </c>
      <c r="K429" s="16" t="str">
        <f t="shared" si="13"/>
        <v>--</v>
      </c>
    </row>
    <row r="430" spans="1:11" ht="19.5" customHeight="1" x14ac:dyDescent="0.25">
      <c r="A430" s="2" t="s">
        <v>1059</v>
      </c>
      <c r="B430" s="2" t="s">
        <v>16</v>
      </c>
      <c r="C430" s="2" t="s">
        <v>1112</v>
      </c>
      <c r="D430" s="2" t="s">
        <v>1113</v>
      </c>
      <c r="E430" s="2" t="s">
        <v>1114</v>
      </c>
      <c r="F430" s="3">
        <v>698356.08</v>
      </c>
      <c r="G430" s="3">
        <v>800000</v>
      </c>
      <c r="H430" s="4">
        <v>800000</v>
      </c>
      <c r="I430" s="4">
        <v>800000</v>
      </c>
      <c r="J430" s="16">
        <f t="shared" si="12"/>
        <v>0</v>
      </c>
      <c r="K430" s="16">
        <f t="shared" si="13"/>
        <v>0</v>
      </c>
    </row>
    <row r="431" spans="1:11" ht="19.5" customHeight="1" x14ac:dyDescent="0.25">
      <c r="A431" s="2" t="s">
        <v>1059</v>
      </c>
      <c r="B431" s="2" t="s">
        <v>16</v>
      </c>
      <c r="C431" s="2" t="s">
        <v>1115</v>
      </c>
      <c r="D431" s="8" t="s">
        <v>1120</v>
      </c>
      <c r="E431" s="2" t="s">
        <v>1121</v>
      </c>
      <c r="F431" s="3">
        <v>0</v>
      </c>
      <c r="G431" s="3">
        <v>0</v>
      </c>
      <c r="H431" s="4">
        <v>1000000</v>
      </c>
      <c r="I431" s="4">
        <v>0</v>
      </c>
      <c r="J431" s="16" t="str">
        <f t="shared" si="12"/>
        <v>--</v>
      </c>
      <c r="K431" s="16">
        <f t="shared" si="13"/>
        <v>-1</v>
      </c>
    </row>
    <row r="432" spans="1:11" ht="19.5" customHeight="1" x14ac:dyDescent="0.25">
      <c r="A432" s="2" t="s">
        <v>1059</v>
      </c>
      <c r="B432" s="2" t="s">
        <v>16</v>
      </c>
      <c r="C432" s="2" t="s">
        <v>1115</v>
      </c>
      <c r="D432" s="2" t="s">
        <v>1116</v>
      </c>
      <c r="E432" s="2" t="s">
        <v>1117</v>
      </c>
      <c r="F432" s="3">
        <v>560679.06999999995</v>
      </c>
      <c r="G432" s="4">
        <v>0</v>
      </c>
      <c r="H432" s="4">
        <v>0</v>
      </c>
      <c r="I432" s="4">
        <v>0</v>
      </c>
      <c r="J432" s="16" t="str">
        <f t="shared" si="12"/>
        <v>--</v>
      </c>
      <c r="K432" s="16" t="str">
        <f t="shared" si="13"/>
        <v>--</v>
      </c>
    </row>
    <row r="433" spans="1:11" ht="19.5" customHeight="1" x14ac:dyDescent="0.25">
      <c r="A433" s="2" t="s">
        <v>1059</v>
      </c>
      <c r="B433" s="2" t="s">
        <v>16</v>
      </c>
      <c r="C433" s="2" t="s">
        <v>1128</v>
      </c>
      <c r="D433" s="2" t="s">
        <v>1129</v>
      </c>
      <c r="E433" s="2" t="s">
        <v>1130</v>
      </c>
      <c r="F433" s="3">
        <v>898890.96</v>
      </c>
      <c r="G433" s="3">
        <v>1000000</v>
      </c>
      <c r="H433" s="4">
        <v>1000000</v>
      </c>
      <c r="I433" s="4">
        <v>1000000</v>
      </c>
      <c r="J433" s="16">
        <f t="shared" si="12"/>
        <v>0</v>
      </c>
      <c r="K433" s="16">
        <f t="shared" si="13"/>
        <v>0</v>
      </c>
    </row>
    <row r="434" spans="1:11" ht="19.5" customHeight="1" x14ac:dyDescent="0.25">
      <c r="A434" s="2" t="s">
        <v>1059</v>
      </c>
      <c r="B434" s="2" t="s">
        <v>16</v>
      </c>
      <c r="C434" s="2" t="s">
        <v>1131</v>
      </c>
      <c r="D434" s="2" t="s">
        <v>1132</v>
      </c>
      <c r="E434" s="2" t="s">
        <v>1133</v>
      </c>
      <c r="F434" s="3">
        <v>892488.96</v>
      </c>
      <c r="G434" s="3">
        <v>321134.53000000003</v>
      </c>
      <c r="H434" s="4">
        <v>0</v>
      </c>
      <c r="I434" s="4">
        <v>0</v>
      </c>
      <c r="J434" s="16">
        <f t="shared" si="12"/>
        <v>-1</v>
      </c>
      <c r="K434" s="16" t="str">
        <f t="shared" si="13"/>
        <v>--</v>
      </c>
    </row>
    <row r="435" spans="1:11" ht="19.5" customHeight="1" x14ac:dyDescent="0.25">
      <c r="A435" s="2" t="s">
        <v>1059</v>
      </c>
      <c r="B435" s="2" t="s">
        <v>16</v>
      </c>
      <c r="C435" s="2" t="s">
        <v>1134</v>
      </c>
      <c r="D435" s="2" t="s">
        <v>1135</v>
      </c>
      <c r="E435" s="2" t="s">
        <v>1136</v>
      </c>
      <c r="F435" s="3">
        <v>214782971.83000001</v>
      </c>
      <c r="G435" s="3">
        <v>350000000</v>
      </c>
      <c r="H435" s="4">
        <v>325000000</v>
      </c>
      <c r="I435" s="4">
        <v>325000000</v>
      </c>
      <c r="J435" s="16">
        <f t="shared" si="12"/>
        <v>-7.1428571428571397E-2</v>
      </c>
      <c r="K435" s="16">
        <f t="shared" si="13"/>
        <v>0</v>
      </c>
    </row>
    <row r="436" spans="1:11" ht="19.5" customHeight="1" x14ac:dyDescent="0.25">
      <c r="A436" s="2" t="s">
        <v>1059</v>
      </c>
      <c r="B436" s="2" t="s">
        <v>16</v>
      </c>
      <c r="C436" s="2" t="s">
        <v>1137</v>
      </c>
      <c r="D436" s="2" t="s">
        <v>1138</v>
      </c>
      <c r="E436" s="2" t="s">
        <v>1139</v>
      </c>
      <c r="F436" s="3">
        <v>1525025.48</v>
      </c>
      <c r="G436" s="3">
        <v>10000000</v>
      </c>
      <c r="H436" s="4">
        <v>8500000</v>
      </c>
      <c r="I436" s="4">
        <v>8500000</v>
      </c>
      <c r="J436" s="16">
        <f t="shared" si="12"/>
        <v>-0.15000000000000002</v>
      </c>
      <c r="K436" s="16">
        <f t="shared" si="13"/>
        <v>0</v>
      </c>
    </row>
    <row r="437" spans="1:11" ht="19.5" customHeight="1" x14ac:dyDescent="0.25">
      <c r="A437" s="2" t="s">
        <v>1059</v>
      </c>
      <c r="B437" s="2" t="s">
        <v>16</v>
      </c>
      <c r="C437" s="2" t="s">
        <v>1140</v>
      </c>
      <c r="D437" s="2" t="s">
        <v>1141</v>
      </c>
      <c r="E437" s="2" t="s">
        <v>1142</v>
      </c>
      <c r="F437" s="3">
        <v>0</v>
      </c>
      <c r="G437" s="3">
        <v>2500</v>
      </c>
      <c r="H437" s="4">
        <v>2500</v>
      </c>
      <c r="I437" s="4">
        <v>2500</v>
      </c>
      <c r="J437" s="16">
        <f t="shared" si="12"/>
        <v>0</v>
      </c>
      <c r="K437" s="16">
        <f t="shared" si="13"/>
        <v>0</v>
      </c>
    </row>
    <row r="438" spans="1:11" ht="19.5" customHeight="1" x14ac:dyDescent="0.25">
      <c r="A438" s="2" t="s">
        <v>1059</v>
      </c>
      <c r="B438" s="2" t="s">
        <v>16</v>
      </c>
      <c r="C438" s="2" t="s">
        <v>1143</v>
      </c>
      <c r="D438" s="2" t="s">
        <v>1144</v>
      </c>
      <c r="E438" s="2" t="s">
        <v>1145</v>
      </c>
      <c r="F438" s="3">
        <v>11872265.48</v>
      </c>
      <c r="G438" s="3">
        <v>10000000</v>
      </c>
      <c r="H438" s="4">
        <v>10000000</v>
      </c>
      <c r="I438" s="4">
        <v>10000000</v>
      </c>
      <c r="J438" s="16">
        <f t="shared" si="12"/>
        <v>0</v>
      </c>
      <c r="K438" s="16">
        <f t="shared" si="13"/>
        <v>0</v>
      </c>
    </row>
    <row r="439" spans="1:11" ht="19.5" customHeight="1" x14ac:dyDescent="0.25">
      <c r="A439" s="2" t="s">
        <v>1059</v>
      </c>
      <c r="B439" s="2" t="s">
        <v>16</v>
      </c>
      <c r="C439" s="2" t="s">
        <v>1146</v>
      </c>
      <c r="D439" s="2" t="s">
        <v>1147</v>
      </c>
      <c r="E439" s="2" t="s">
        <v>1148</v>
      </c>
      <c r="F439" s="4">
        <v>67.31</v>
      </c>
      <c r="G439" s="3">
        <v>2500000</v>
      </c>
      <c r="H439" s="4">
        <v>2500000</v>
      </c>
      <c r="I439" s="4">
        <v>2500000</v>
      </c>
      <c r="J439" s="16">
        <f t="shared" si="12"/>
        <v>0</v>
      </c>
      <c r="K439" s="16">
        <f t="shared" si="13"/>
        <v>0</v>
      </c>
    </row>
    <row r="440" spans="1:11" ht="19.5" customHeight="1" x14ac:dyDescent="0.25">
      <c r="A440" s="2" t="s">
        <v>1059</v>
      </c>
      <c r="B440" s="2" t="s">
        <v>16</v>
      </c>
      <c r="C440" s="2" t="s">
        <v>1149</v>
      </c>
      <c r="D440" s="2" t="s">
        <v>1150</v>
      </c>
      <c r="E440" s="2" t="s">
        <v>1151</v>
      </c>
      <c r="F440" s="3">
        <v>2028290.84</v>
      </c>
      <c r="G440" s="3">
        <v>2000000</v>
      </c>
      <c r="H440" s="4">
        <v>10000000</v>
      </c>
      <c r="I440" s="4">
        <v>0</v>
      </c>
      <c r="J440" s="16">
        <f t="shared" si="12"/>
        <v>4</v>
      </c>
      <c r="K440" s="16">
        <f t="shared" si="13"/>
        <v>-1</v>
      </c>
    </row>
    <row r="441" spans="1:11" ht="19.5" customHeight="1" x14ac:dyDescent="0.25">
      <c r="A441" s="2" t="s">
        <v>1059</v>
      </c>
      <c r="B441" s="2" t="s">
        <v>16</v>
      </c>
      <c r="C441" s="2" t="s">
        <v>1152</v>
      </c>
      <c r="D441" s="2" t="s">
        <v>1153</v>
      </c>
      <c r="E441" s="2" t="s">
        <v>1154</v>
      </c>
      <c r="F441" s="3">
        <v>1072.42</v>
      </c>
      <c r="G441" s="3">
        <v>0</v>
      </c>
      <c r="H441" s="4">
        <v>50000</v>
      </c>
      <c r="I441" s="4">
        <v>50000</v>
      </c>
      <c r="J441" s="16" t="str">
        <f t="shared" si="12"/>
        <v>--</v>
      </c>
      <c r="K441" s="16">
        <f t="shared" si="13"/>
        <v>0</v>
      </c>
    </row>
    <row r="442" spans="1:11" ht="19.5" customHeight="1" x14ac:dyDescent="0.25">
      <c r="A442" s="2" t="s">
        <v>1059</v>
      </c>
      <c r="B442" s="2" t="s">
        <v>16</v>
      </c>
      <c r="C442" s="2" t="s">
        <v>1155</v>
      </c>
      <c r="D442" s="2" t="s">
        <v>1156</v>
      </c>
      <c r="E442" s="2" t="s">
        <v>1157</v>
      </c>
      <c r="F442" s="3">
        <v>0</v>
      </c>
      <c r="G442" s="3">
        <v>0</v>
      </c>
      <c r="H442" s="4">
        <v>5000000</v>
      </c>
      <c r="I442" s="4">
        <v>5000000</v>
      </c>
      <c r="J442" s="16" t="str">
        <f t="shared" si="12"/>
        <v>--</v>
      </c>
      <c r="K442" s="16">
        <f t="shared" si="13"/>
        <v>0</v>
      </c>
    </row>
    <row r="443" spans="1:11" ht="19.5" customHeight="1" x14ac:dyDescent="0.25">
      <c r="A443" s="2" t="s">
        <v>1059</v>
      </c>
      <c r="B443" s="2" t="s">
        <v>16</v>
      </c>
      <c r="C443" s="2" t="s">
        <v>1155</v>
      </c>
      <c r="D443" s="2" t="s">
        <v>1158</v>
      </c>
      <c r="E443" s="2" t="s">
        <v>1159</v>
      </c>
      <c r="F443" s="3">
        <v>0</v>
      </c>
      <c r="G443" s="3">
        <v>0</v>
      </c>
      <c r="H443" s="4">
        <v>5000000</v>
      </c>
      <c r="I443" s="4">
        <v>5000000</v>
      </c>
      <c r="J443" s="16" t="str">
        <f t="shared" si="12"/>
        <v>--</v>
      </c>
      <c r="K443" s="16">
        <f t="shared" si="13"/>
        <v>0</v>
      </c>
    </row>
    <row r="444" spans="1:11" ht="19.5" customHeight="1" x14ac:dyDescent="0.25">
      <c r="A444" s="6" t="s">
        <v>1059</v>
      </c>
      <c r="B444" s="6" t="s">
        <v>16</v>
      </c>
      <c r="C444" s="6" t="s">
        <v>1160</v>
      </c>
      <c r="D444" s="7" t="s">
        <v>1161</v>
      </c>
      <c r="E444" s="6" t="s">
        <v>1162</v>
      </c>
      <c r="F444" s="4">
        <v>0</v>
      </c>
      <c r="G444" s="4">
        <v>0</v>
      </c>
      <c r="H444" s="4">
        <v>0</v>
      </c>
      <c r="I444" s="4">
        <v>0</v>
      </c>
      <c r="J444" s="16" t="str">
        <f t="shared" si="12"/>
        <v>--</v>
      </c>
      <c r="K444" s="16" t="str">
        <f t="shared" si="13"/>
        <v>--</v>
      </c>
    </row>
    <row r="445" spans="1:11" ht="19.5" customHeight="1" x14ac:dyDescent="0.25">
      <c r="A445" s="2" t="s">
        <v>1059</v>
      </c>
      <c r="B445" s="2" t="s">
        <v>16</v>
      </c>
      <c r="C445" s="2" t="s">
        <v>1160</v>
      </c>
      <c r="D445" s="2" t="s">
        <v>1163</v>
      </c>
      <c r="E445" s="2" t="s">
        <v>1107</v>
      </c>
      <c r="F445" s="3">
        <v>0</v>
      </c>
      <c r="G445" s="3">
        <v>5000000</v>
      </c>
      <c r="H445" s="4">
        <v>0</v>
      </c>
      <c r="I445" s="4">
        <v>0</v>
      </c>
      <c r="J445" s="16">
        <f t="shared" si="12"/>
        <v>-1</v>
      </c>
      <c r="K445" s="16" t="str">
        <f t="shared" si="13"/>
        <v>--</v>
      </c>
    </row>
    <row r="446" spans="1:11" ht="19.5" customHeight="1" x14ac:dyDescent="0.25">
      <c r="A446" s="2" t="s">
        <v>1059</v>
      </c>
      <c r="B446" s="2" t="s">
        <v>16</v>
      </c>
      <c r="C446" s="2" t="s">
        <v>1160</v>
      </c>
      <c r="D446" s="2" t="s">
        <v>1164</v>
      </c>
      <c r="E446" s="2" t="s">
        <v>1165</v>
      </c>
      <c r="F446" s="3">
        <v>0</v>
      </c>
      <c r="G446" s="3">
        <v>100000000</v>
      </c>
      <c r="H446" s="4">
        <v>100000000</v>
      </c>
      <c r="I446" s="4">
        <v>0</v>
      </c>
      <c r="J446" s="16">
        <f t="shared" si="12"/>
        <v>0</v>
      </c>
      <c r="K446" s="16">
        <f t="shared" si="13"/>
        <v>-1</v>
      </c>
    </row>
    <row r="447" spans="1:11" ht="19.5" customHeight="1" x14ac:dyDescent="0.25">
      <c r="A447" s="2" t="s">
        <v>1059</v>
      </c>
      <c r="B447" s="2" t="s">
        <v>16</v>
      </c>
      <c r="C447" s="2" t="s">
        <v>1160</v>
      </c>
      <c r="D447" s="2" t="s">
        <v>1166</v>
      </c>
      <c r="E447" s="2" t="s">
        <v>1089</v>
      </c>
      <c r="F447" s="3">
        <v>0</v>
      </c>
      <c r="G447" s="3">
        <v>25000000</v>
      </c>
      <c r="H447" s="4">
        <v>0</v>
      </c>
      <c r="I447" s="4">
        <v>0</v>
      </c>
      <c r="J447" s="16">
        <f t="shared" si="12"/>
        <v>-1</v>
      </c>
      <c r="K447" s="16" t="str">
        <f t="shared" si="13"/>
        <v>--</v>
      </c>
    </row>
    <row r="448" spans="1:11" ht="19.5" customHeight="1" x14ac:dyDescent="0.25">
      <c r="A448" s="6" t="s">
        <v>1059</v>
      </c>
      <c r="B448" s="6" t="s">
        <v>16</v>
      </c>
      <c r="C448" s="6" t="s">
        <v>1160</v>
      </c>
      <c r="D448" s="7" t="s">
        <v>1167</v>
      </c>
      <c r="E448" s="6" t="s">
        <v>1168</v>
      </c>
      <c r="F448" s="4">
        <v>0</v>
      </c>
      <c r="G448" s="4">
        <v>0</v>
      </c>
      <c r="H448" s="4">
        <v>0</v>
      </c>
      <c r="I448" s="4">
        <v>0</v>
      </c>
      <c r="J448" s="16" t="str">
        <f t="shared" si="12"/>
        <v>--</v>
      </c>
      <c r="K448" s="16" t="str">
        <f t="shared" si="13"/>
        <v>--</v>
      </c>
    </row>
    <row r="449" spans="1:11" ht="19.5" customHeight="1" x14ac:dyDescent="0.25">
      <c r="A449" s="6" t="s">
        <v>1059</v>
      </c>
      <c r="B449" s="6" t="s">
        <v>16</v>
      </c>
      <c r="C449" s="6" t="s">
        <v>1169</v>
      </c>
      <c r="D449" s="7" t="s">
        <v>1170</v>
      </c>
      <c r="E449" s="6" t="s">
        <v>1171</v>
      </c>
      <c r="F449" s="4">
        <v>0</v>
      </c>
      <c r="G449" s="4">
        <v>0</v>
      </c>
      <c r="H449" s="4">
        <v>0</v>
      </c>
      <c r="I449" s="4">
        <v>0</v>
      </c>
      <c r="J449" s="16" t="str">
        <f t="shared" si="12"/>
        <v>--</v>
      </c>
      <c r="K449" s="16" t="str">
        <f t="shared" si="13"/>
        <v>--</v>
      </c>
    </row>
    <row r="450" spans="1:11" ht="19.5" customHeight="1" x14ac:dyDescent="0.25">
      <c r="A450" s="2" t="s">
        <v>1059</v>
      </c>
      <c r="B450" s="2" t="s">
        <v>16</v>
      </c>
      <c r="C450" s="2" t="s">
        <v>1172</v>
      </c>
      <c r="D450" s="8" t="s">
        <v>1173</v>
      </c>
      <c r="E450" s="2" t="s">
        <v>333</v>
      </c>
      <c r="F450" s="3">
        <v>0</v>
      </c>
      <c r="G450" s="3">
        <v>0</v>
      </c>
      <c r="H450" s="4">
        <v>10000000</v>
      </c>
      <c r="I450" s="4">
        <v>0</v>
      </c>
      <c r="J450" s="16" t="str">
        <f t="shared" si="12"/>
        <v>--</v>
      </c>
      <c r="K450" s="16">
        <f t="shared" si="13"/>
        <v>-1</v>
      </c>
    </row>
    <row r="451" spans="1:11" ht="19.5" customHeight="1" x14ac:dyDescent="0.25">
      <c r="A451" s="6" t="s">
        <v>1059</v>
      </c>
      <c r="B451" s="6" t="s">
        <v>16</v>
      </c>
      <c r="C451" s="6" t="s">
        <v>1174</v>
      </c>
      <c r="D451" s="7" t="s">
        <v>1175</v>
      </c>
      <c r="E451" s="6" t="s">
        <v>1176</v>
      </c>
      <c r="F451" s="9">
        <v>0</v>
      </c>
      <c r="G451" s="9">
        <v>0</v>
      </c>
      <c r="H451" s="4">
        <v>1000000</v>
      </c>
      <c r="I451" s="4">
        <v>0</v>
      </c>
      <c r="J451" s="16" t="str">
        <f t="shared" ref="J451:J514" si="14">IFERROR(H451/G451-1,"--")</f>
        <v>--</v>
      </c>
      <c r="K451" s="16">
        <f t="shared" ref="K451:K514" si="15">IFERROR(I451/H451-1,"--")</f>
        <v>-1</v>
      </c>
    </row>
    <row r="452" spans="1:11" ht="19.5" customHeight="1" x14ac:dyDescent="0.25">
      <c r="A452" s="2" t="s">
        <v>1059</v>
      </c>
      <c r="B452" s="2" t="s">
        <v>16</v>
      </c>
      <c r="C452" s="2" t="s">
        <v>1122</v>
      </c>
      <c r="D452" s="8" t="s">
        <v>1123</v>
      </c>
      <c r="E452" s="2" t="s">
        <v>1124</v>
      </c>
      <c r="F452" s="3">
        <v>0</v>
      </c>
      <c r="G452" s="3">
        <v>0</v>
      </c>
      <c r="H452" s="4">
        <v>350000000</v>
      </c>
      <c r="I452" s="4">
        <v>0</v>
      </c>
      <c r="J452" s="16" t="str">
        <f t="shared" si="14"/>
        <v>--</v>
      </c>
      <c r="K452" s="16">
        <f t="shared" si="15"/>
        <v>-1</v>
      </c>
    </row>
    <row r="453" spans="1:11" ht="19.5" customHeight="1" x14ac:dyDescent="0.25">
      <c r="A453" s="2" t="s">
        <v>1059</v>
      </c>
      <c r="B453" s="2" t="s">
        <v>16</v>
      </c>
      <c r="C453" s="2" t="s">
        <v>1125</v>
      </c>
      <c r="D453" s="8" t="s">
        <v>1126</v>
      </c>
      <c r="E453" s="2" t="s">
        <v>1127</v>
      </c>
      <c r="F453" s="3">
        <v>0</v>
      </c>
      <c r="G453" s="3">
        <v>0</v>
      </c>
      <c r="H453" s="4">
        <v>150000000</v>
      </c>
      <c r="I453" s="4">
        <v>0</v>
      </c>
      <c r="J453" s="16" t="str">
        <f t="shared" si="14"/>
        <v>--</v>
      </c>
      <c r="K453" s="16">
        <f t="shared" si="15"/>
        <v>-1</v>
      </c>
    </row>
    <row r="454" spans="1:11" ht="19.5" customHeight="1" x14ac:dyDescent="0.25">
      <c r="A454" s="2" t="s">
        <v>1059</v>
      </c>
      <c r="B454" s="2" t="s">
        <v>16</v>
      </c>
      <c r="C454" s="2" t="s">
        <v>1177</v>
      </c>
      <c r="D454" s="2" t="s">
        <v>1178</v>
      </c>
      <c r="E454" s="2" t="s">
        <v>1179</v>
      </c>
      <c r="F454" s="3">
        <v>25414.69</v>
      </c>
      <c r="G454" s="3">
        <v>32562</v>
      </c>
      <c r="H454" s="4">
        <v>32562</v>
      </c>
      <c r="I454" s="4">
        <v>32562</v>
      </c>
      <c r="J454" s="16">
        <f t="shared" si="14"/>
        <v>0</v>
      </c>
      <c r="K454" s="16">
        <f t="shared" si="15"/>
        <v>0</v>
      </c>
    </row>
    <row r="455" spans="1:11" ht="19.5" customHeight="1" x14ac:dyDescent="0.25">
      <c r="A455" s="2" t="s">
        <v>1059</v>
      </c>
      <c r="B455" s="2" t="s">
        <v>16</v>
      </c>
      <c r="C455" s="2" t="s">
        <v>1180</v>
      </c>
      <c r="D455" s="2" t="s">
        <v>1181</v>
      </c>
      <c r="E455" s="2" t="s">
        <v>1182</v>
      </c>
      <c r="F455" s="3">
        <v>47080170.530000001</v>
      </c>
      <c r="G455" s="3">
        <v>55250000</v>
      </c>
      <c r="H455" s="4">
        <v>55250000</v>
      </c>
      <c r="I455" s="4">
        <v>55250000</v>
      </c>
      <c r="J455" s="16">
        <f t="shared" si="14"/>
        <v>0</v>
      </c>
      <c r="K455" s="16">
        <f t="shared" si="15"/>
        <v>0</v>
      </c>
    </row>
    <row r="456" spans="1:11" ht="19.5" customHeight="1" x14ac:dyDescent="0.25">
      <c r="A456" s="2" t="s">
        <v>1059</v>
      </c>
      <c r="B456" s="2" t="s">
        <v>16</v>
      </c>
      <c r="C456" s="2" t="s">
        <v>1183</v>
      </c>
      <c r="D456" s="2" t="s">
        <v>1184</v>
      </c>
      <c r="E456" s="2" t="s">
        <v>1185</v>
      </c>
      <c r="F456" s="3">
        <v>1252778.57</v>
      </c>
      <c r="G456" s="3">
        <v>100000</v>
      </c>
      <c r="H456" s="4">
        <v>0</v>
      </c>
      <c r="I456" s="4">
        <v>0</v>
      </c>
      <c r="J456" s="16">
        <f t="shared" si="14"/>
        <v>-1</v>
      </c>
      <c r="K456" s="16" t="str">
        <f t="shared" si="15"/>
        <v>--</v>
      </c>
    </row>
    <row r="457" spans="1:11" ht="19.5" customHeight="1" x14ac:dyDescent="0.25">
      <c r="A457" s="2" t="s">
        <v>1059</v>
      </c>
      <c r="B457" s="2" t="s">
        <v>1186</v>
      </c>
      <c r="C457" s="2" t="s">
        <v>1187</v>
      </c>
      <c r="D457" s="2" t="s">
        <v>1188</v>
      </c>
      <c r="E457" s="2" t="s">
        <v>1189</v>
      </c>
      <c r="F457" s="3">
        <v>0</v>
      </c>
      <c r="G457" s="3">
        <v>18240419</v>
      </c>
      <c r="H457" s="4">
        <v>15000000</v>
      </c>
      <c r="I457" s="4">
        <v>15000000</v>
      </c>
      <c r="J457" s="16">
        <f t="shared" si="14"/>
        <v>-0.17765046954239372</v>
      </c>
      <c r="K457" s="16">
        <f t="shared" si="15"/>
        <v>0</v>
      </c>
    </row>
    <row r="458" spans="1:11" ht="19.5" customHeight="1" x14ac:dyDescent="0.25">
      <c r="A458" s="2" t="s">
        <v>1059</v>
      </c>
      <c r="B458" s="2" t="s">
        <v>1186</v>
      </c>
      <c r="C458" s="2" t="s">
        <v>1190</v>
      </c>
      <c r="D458" s="2" t="s">
        <v>1191</v>
      </c>
      <c r="E458" s="2" t="s">
        <v>1192</v>
      </c>
      <c r="F458" s="3">
        <v>614976.30000000005</v>
      </c>
      <c r="G458" s="3">
        <v>2500000</v>
      </c>
      <c r="H458" s="4">
        <v>2500000</v>
      </c>
      <c r="I458" s="4">
        <v>2500000</v>
      </c>
      <c r="J458" s="16">
        <f t="shared" si="14"/>
        <v>0</v>
      </c>
      <c r="K458" s="16">
        <f t="shared" si="15"/>
        <v>0</v>
      </c>
    </row>
    <row r="459" spans="1:11" ht="19.5" customHeight="1" x14ac:dyDescent="0.25">
      <c r="A459" s="2" t="s">
        <v>1059</v>
      </c>
      <c r="B459" s="2" t="s">
        <v>1186</v>
      </c>
      <c r="C459" s="2" t="s">
        <v>1193</v>
      </c>
      <c r="D459" s="2" t="s">
        <v>1194</v>
      </c>
      <c r="E459" s="2" t="s">
        <v>1195</v>
      </c>
      <c r="F459" s="3">
        <v>0</v>
      </c>
      <c r="G459" s="3">
        <v>10000000</v>
      </c>
      <c r="H459" s="4">
        <v>4800000</v>
      </c>
      <c r="I459" s="4">
        <v>4800000</v>
      </c>
      <c r="J459" s="16">
        <f t="shared" si="14"/>
        <v>-0.52</v>
      </c>
      <c r="K459" s="16">
        <f t="shared" si="15"/>
        <v>0</v>
      </c>
    </row>
    <row r="460" spans="1:11" ht="19.5" customHeight="1" x14ac:dyDescent="0.25">
      <c r="A460" s="2" t="s">
        <v>1059</v>
      </c>
      <c r="B460" s="2" t="s">
        <v>1186</v>
      </c>
      <c r="C460" s="2" t="s">
        <v>1196</v>
      </c>
      <c r="D460" s="2" t="s">
        <v>1197</v>
      </c>
      <c r="E460" s="2" t="s">
        <v>1198</v>
      </c>
      <c r="F460" s="3">
        <v>0</v>
      </c>
      <c r="G460" s="3">
        <v>35000000</v>
      </c>
      <c r="H460" s="4">
        <v>5000000</v>
      </c>
      <c r="I460" s="4">
        <v>5000000</v>
      </c>
      <c r="J460" s="16">
        <f t="shared" si="14"/>
        <v>-0.85714285714285721</v>
      </c>
      <c r="K460" s="16">
        <f t="shared" si="15"/>
        <v>0</v>
      </c>
    </row>
    <row r="461" spans="1:11" ht="19.5" customHeight="1" x14ac:dyDescent="0.25">
      <c r="A461" s="2" t="s">
        <v>1059</v>
      </c>
      <c r="B461" s="2" t="s">
        <v>1186</v>
      </c>
      <c r="C461" s="2" t="s">
        <v>1199</v>
      </c>
      <c r="D461" s="2" t="s">
        <v>1200</v>
      </c>
      <c r="E461" s="2" t="s">
        <v>1201</v>
      </c>
      <c r="F461" s="3">
        <v>0</v>
      </c>
      <c r="G461" s="3">
        <v>99000000</v>
      </c>
      <c r="H461" s="4">
        <v>152000000</v>
      </c>
      <c r="I461" s="4">
        <v>50000000</v>
      </c>
      <c r="J461" s="16">
        <f t="shared" si="14"/>
        <v>0.53535353535353525</v>
      </c>
      <c r="K461" s="16">
        <f t="shared" si="15"/>
        <v>-0.67105263157894735</v>
      </c>
    </row>
    <row r="462" spans="1:11" ht="19.5" customHeight="1" x14ac:dyDescent="0.25">
      <c r="A462" s="2" t="s">
        <v>1059</v>
      </c>
      <c r="B462" s="2" t="s">
        <v>44</v>
      </c>
      <c r="C462" s="2" t="s">
        <v>1202</v>
      </c>
      <c r="D462" s="2" t="s">
        <v>1203</v>
      </c>
      <c r="E462" s="2" t="s">
        <v>1204</v>
      </c>
      <c r="F462" s="3">
        <v>40761.339999999997</v>
      </c>
      <c r="G462" s="3">
        <v>3500000</v>
      </c>
      <c r="H462" s="4">
        <v>5500000</v>
      </c>
      <c r="I462" s="4">
        <v>5500000</v>
      </c>
      <c r="J462" s="16">
        <f t="shared" si="14"/>
        <v>0.5714285714285714</v>
      </c>
      <c r="K462" s="16">
        <f t="shared" si="15"/>
        <v>0</v>
      </c>
    </row>
    <row r="463" spans="1:11" ht="19.5" customHeight="1" x14ac:dyDescent="0.25">
      <c r="A463" s="2" t="s">
        <v>1059</v>
      </c>
      <c r="B463" s="2" t="s">
        <v>44</v>
      </c>
      <c r="C463" s="2" t="s">
        <v>1202</v>
      </c>
      <c r="D463" s="2" t="s">
        <v>1205</v>
      </c>
      <c r="E463" s="2" t="s">
        <v>1206</v>
      </c>
      <c r="F463" s="4">
        <v>7808508.2300000004</v>
      </c>
      <c r="G463" s="3">
        <v>73400000</v>
      </c>
      <c r="H463" s="4">
        <v>12000000</v>
      </c>
      <c r="I463" s="4">
        <v>12000000</v>
      </c>
      <c r="J463" s="16">
        <f t="shared" si="14"/>
        <v>-0.8365122615803815</v>
      </c>
      <c r="K463" s="16">
        <f t="shared" si="15"/>
        <v>0</v>
      </c>
    </row>
    <row r="464" spans="1:11" ht="19.5" customHeight="1" x14ac:dyDescent="0.25">
      <c r="A464" s="2" t="s">
        <v>1059</v>
      </c>
      <c r="B464" s="2" t="s">
        <v>44</v>
      </c>
      <c r="C464" s="2" t="s">
        <v>1202</v>
      </c>
      <c r="D464" s="2" t="s">
        <v>1207</v>
      </c>
      <c r="E464" s="2" t="s">
        <v>1208</v>
      </c>
      <c r="F464" s="3">
        <v>4559217.01</v>
      </c>
      <c r="G464" s="3">
        <v>5271381</v>
      </c>
      <c r="H464" s="4">
        <v>5271381</v>
      </c>
      <c r="I464" s="4">
        <v>5271381</v>
      </c>
      <c r="J464" s="16">
        <f t="shared" si="14"/>
        <v>0</v>
      </c>
      <c r="K464" s="16">
        <f t="shared" si="15"/>
        <v>0</v>
      </c>
    </row>
    <row r="465" spans="1:11" ht="19.5" customHeight="1" x14ac:dyDescent="0.25">
      <c r="A465" s="2" t="s">
        <v>1059</v>
      </c>
      <c r="B465" s="2" t="s">
        <v>44</v>
      </c>
      <c r="C465" s="2" t="s">
        <v>1202</v>
      </c>
      <c r="D465" s="2" t="s">
        <v>1209</v>
      </c>
      <c r="E465" s="2" t="s">
        <v>1210</v>
      </c>
      <c r="F465" s="3">
        <v>2126665.75</v>
      </c>
      <c r="G465" s="3">
        <v>4000000</v>
      </c>
      <c r="H465" s="4">
        <v>4000000</v>
      </c>
      <c r="I465" s="4">
        <v>4000000</v>
      </c>
      <c r="J465" s="16">
        <f t="shared" si="14"/>
        <v>0</v>
      </c>
      <c r="K465" s="16">
        <f t="shared" si="15"/>
        <v>0</v>
      </c>
    </row>
    <row r="466" spans="1:11" ht="19.5" customHeight="1" x14ac:dyDescent="0.25">
      <c r="A466" s="2" t="s">
        <v>1059</v>
      </c>
      <c r="B466" s="2" t="s">
        <v>44</v>
      </c>
      <c r="C466" s="2" t="s">
        <v>1202</v>
      </c>
      <c r="D466" s="2" t="s">
        <v>1211</v>
      </c>
      <c r="E466" s="2" t="s">
        <v>1212</v>
      </c>
      <c r="F466" s="3">
        <v>15683299.199999999</v>
      </c>
      <c r="G466" s="3">
        <v>20000000</v>
      </c>
      <c r="H466" s="4">
        <v>20000000</v>
      </c>
      <c r="I466" s="4">
        <v>20000000</v>
      </c>
      <c r="J466" s="16">
        <f t="shared" si="14"/>
        <v>0</v>
      </c>
      <c r="K466" s="16">
        <f t="shared" si="15"/>
        <v>0</v>
      </c>
    </row>
    <row r="467" spans="1:11" ht="19.5" customHeight="1" x14ac:dyDescent="0.25">
      <c r="A467" s="2" t="s">
        <v>1059</v>
      </c>
      <c r="B467" s="2" t="s">
        <v>44</v>
      </c>
      <c r="C467" s="2" t="s">
        <v>1202</v>
      </c>
      <c r="D467" s="2" t="s">
        <v>1213</v>
      </c>
      <c r="E467" s="2" t="s">
        <v>1214</v>
      </c>
      <c r="F467" s="3">
        <v>5566042.6699999999</v>
      </c>
      <c r="G467" s="3">
        <v>11720000</v>
      </c>
      <c r="H467" s="4">
        <v>6300000</v>
      </c>
      <c r="I467" s="4">
        <v>6300000</v>
      </c>
      <c r="J467" s="16">
        <f t="shared" si="14"/>
        <v>-0.46245733788395904</v>
      </c>
      <c r="K467" s="16">
        <f t="shared" si="15"/>
        <v>0</v>
      </c>
    </row>
    <row r="468" spans="1:11" ht="19.5" customHeight="1" x14ac:dyDescent="0.25">
      <c r="A468" s="2" t="s">
        <v>1059</v>
      </c>
      <c r="B468" s="2" t="s">
        <v>44</v>
      </c>
      <c r="C468" s="2" t="s">
        <v>1202</v>
      </c>
      <c r="D468" s="2" t="s">
        <v>1215</v>
      </c>
      <c r="E468" s="2" t="s">
        <v>1216</v>
      </c>
      <c r="F468" s="3">
        <v>822154.12</v>
      </c>
      <c r="G468" s="3">
        <v>750000</v>
      </c>
      <c r="H468" s="4">
        <v>1000000</v>
      </c>
      <c r="I468" s="4">
        <v>1000000</v>
      </c>
      <c r="J468" s="16">
        <f t="shared" si="14"/>
        <v>0.33333333333333326</v>
      </c>
      <c r="K468" s="16">
        <f t="shared" si="15"/>
        <v>0</v>
      </c>
    </row>
    <row r="469" spans="1:11" ht="19.5" customHeight="1" x14ac:dyDescent="0.25">
      <c r="A469" s="2" t="s">
        <v>1059</v>
      </c>
      <c r="B469" s="2" t="s">
        <v>44</v>
      </c>
      <c r="C469" s="2" t="s">
        <v>1202</v>
      </c>
      <c r="D469" s="2" t="s">
        <v>1217</v>
      </c>
      <c r="E469" s="2" t="s">
        <v>1218</v>
      </c>
      <c r="F469" s="3">
        <v>693176.72</v>
      </c>
      <c r="G469" s="3">
        <v>1000000</v>
      </c>
      <c r="H469" s="4">
        <v>1000000</v>
      </c>
      <c r="I469" s="4">
        <v>1000000</v>
      </c>
      <c r="J469" s="16">
        <f t="shared" si="14"/>
        <v>0</v>
      </c>
      <c r="K469" s="16">
        <f t="shared" si="15"/>
        <v>0</v>
      </c>
    </row>
    <row r="470" spans="1:11" ht="19.5" customHeight="1" x14ac:dyDescent="0.25">
      <c r="A470" s="2" t="s">
        <v>1059</v>
      </c>
      <c r="B470" s="2" t="s">
        <v>44</v>
      </c>
      <c r="C470" s="2" t="s">
        <v>1219</v>
      </c>
      <c r="D470" s="2" t="s">
        <v>1220</v>
      </c>
      <c r="E470" s="2" t="s">
        <v>1221</v>
      </c>
      <c r="F470" s="3">
        <v>147743.09</v>
      </c>
      <c r="G470" s="3">
        <v>350000</v>
      </c>
      <c r="H470" s="4">
        <v>350000</v>
      </c>
      <c r="I470" s="4">
        <v>350000</v>
      </c>
      <c r="J470" s="16">
        <f t="shared" si="14"/>
        <v>0</v>
      </c>
      <c r="K470" s="16">
        <f t="shared" si="15"/>
        <v>0</v>
      </c>
    </row>
    <row r="471" spans="1:11" ht="19.5" customHeight="1" x14ac:dyDescent="0.25">
      <c r="A471" s="2" t="s">
        <v>1059</v>
      </c>
      <c r="B471" s="2" t="s">
        <v>44</v>
      </c>
      <c r="C471" s="2" t="s">
        <v>1222</v>
      </c>
      <c r="D471" s="2" t="s">
        <v>1223</v>
      </c>
      <c r="E471" s="2" t="s">
        <v>1224</v>
      </c>
      <c r="F471" s="3">
        <v>594187.87</v>
      </c>
      <c r="G471" s="3">
        <v>800000</v>
      </c>
      <c r="H471" s="4">
        <v>2000000</v>
      </c>
      <c r="I471" s="4">
        <v>2000000</v>
      </c>
      <c r="J471" s="16">
        <f t="shared" si="14"/>
        <v>1.5</v>
      </c>
      <c r="K471" s="16">
        <f t="shared" si="15"/>
        <v>0</v>
      </c>
    </row>
    <row r="472" spans="1:11" ht="19.5" customHeight="1" x14ac:dyDescent="0.25">
      <c r="A472" s="2" t="s">
        <v>1059</v>
      </c>
      <c r="B472" s="2" t="s">
        <v>44</v>
      </c>
      <c r="C472" s="2" t="s">
        <v>1225</v>
      </c>
      <c r="D472" s="2" t="s">
        <v>1226</v>
      </c>
      <c r="E472" s="2" t="s">
        <v>1227</v>
      </c>
      <c r="F472" s="3">
        <v>3135297.55</v>
      </c>
      <c r="G472" s="3">
        <v>8000000</v>
      </c>
      <c r="H472" s="4">
        <v>8000000</v>
      </c>
      <c r="I472" s="4">
        <v>8000000</v>
      </c>
      <c r="J472" s="16">
        <f t="shared" si="14"/>
        <v>0</v>
      </c>
      <c r="K472" s="16">
        <f t="shared" si="15"/>
        <v>0</v>
      </c>
    </row>
    <row r="473" spans="1:11" ht="19.5" customHeight="1" x14ac:dyDescent="0.25">
      <c r="A473" s="2" t="s">
        <v>1059</v>
      </c>
      <c r="B473" s="2" t="s">
        <v>44</v>
      </c>
      <c r="C473" s="2" t="s">
        <v>1225</v>
      </c>
      <c r="D473" s="2" t="s">
        <v>1228</v>
      </c>
      <c r="E473" s="2" t="s">
        <v>1229</v>
      </c>
      <c r="F473" s="3">
        <v>0</v>
      </c>
      <c r="G473" s="3">
        <v>2260953</v>
      </c>
      <c r="H473" s="4">
        <v>0</v>
      </c>
      <c r="I473" s="4">
        <v>0</v>
      </c>
      <c r="J473" s="16">
        <f t="shared" si="14"/>
        <v>-1</v>
      </c>
      <c r="K473" s="16" t="str">
        <f t="shared" si="15"/>
        <v>--</v>
      </c>
    </row>
    <row r="474" spans="1:11" ht="19.5" customHeight="1" x14ac:dyDescent="0.25">
      <c r="A474" s="2" t="s">
        <v>1059</v>
      </c>
      <c r="B474" s="2" t="s">
        <v>44</v>
      </c>
      <c r="C474" s="2" t="s">
        <v>1230</v>
      </c>
      <c r="D474" s="2" t="s">
        <v>1231</v>
      </c>
      <c r="E474" s="2" t="s">
        <v>1232</v>
      </c>
      <c r="F474" s="4">
        <v>44603845.100000001</v>
      </c>
      <c r="G474" s="3">
        <v>142200000</v>
      </c>
      <c r="H474" s="4">
        <v>60000000</v>
      </c>
      <c r="I474" s="4">
        <v>60000000</v>
      </c>
      <c r="J474" s="16">
        <f t="shared" si="14"/>
        <v>-0.57805907172995785</v>
      </c>
      <c r="K474" s="16">
        <f t="shared" si="15"/>
        <v>0</v>
      </c>
    </row>
    <row r="475" spans="1:11" ht="19.5" customHeight="1" x14ac:dyDescent="0.25">
      <c r="A475" s="2" t="s">
        <v>1059</v>
      </c>
      <c r="B475" s="2" t="s">
        <v>44</v>
      </c>
      <c r="C475" s="2" t="s">
        <v>1233</v>
      </c>
      <c r="D475" s="2" t="s">
        <v>1234</v>
      </c>
      <c r="E475" s="2" t="s">
        <v>1235</v>
      </c>
      <c r="F475" s="3">
        <v>138911320.28999999</v>
      </c>
      <c r="G475" s="3">
        <v>202707717</v>
      </c>
      <c r="H475" s="4">
        <v>165000000</v>
      </c>
      <c r="I475" s="4">
        <v>165000000</v>
      </c>
      <c r="J475" s="16">
        <f t="shared" si="14"/>
        <v>-0.18602013558270203</v>
      </c>
      <c r="K475" s="16">
        <f t="shared" si="15"/>
        <v>0</v>
      </c>
    </row>
    <row r="476" spans="1:11" ht="19.5" customHeight="1" x14ac:dyDescent="0.25">
      <c r="A476" s="2" t="s">
        <v>1059</v>
      </c>
      <c r="B476" s="2" t="s">
        <v>44</v>
      </c>
      <c r="C476" s="2" t="s">
        <v>1233</v>
      </c>
      <c r="D476" s="2" t="s">
        <v>1236</v>
      </c>
      <c r="E476" s="2" t="s">
        <v>1237</v>
      </c>
      <c r="F476" s="3">
        <v>27414972.440000001</v>
      </c>
      <c r="G476" s="4">
        <v>35000000</v>
      </c>
      <c r="H476" s="4">
        <v>40000000</v>
      </c>
      <c r="I476" s="4">
        <v>40000000</v>
      </c>
      <c r="J476" s="16">
        <f t="shared" si="14"/>
        <v>0.14285714285714279</v>
      </c>
      <c r="K476" s="16">
        <f t="shared" si="15"/>
        <v>0</v>
      </c>
    </row>
    <row r="477" spans="1:11" ht="19.5" customHeight="1" x14ac:dyDescent="0.25">
      <c r="A477" s="2" t="s">
        <v>1059</v>
      </c>
      <c r="B477" s="2" t="s">
        <v>44</v>
      </c>
      <c r="C477" s="2" t="s">
        <v>1238</v>
      </c>
      <c r="D477" s="2" t="s">
        <v>1239</v>
      </c>
      <c r="E477" s="2" t="s">
        <v>1240</v>
      </c>
      <c r="F477" s="3">
        <v>31697858.149999999</v>
      </c>
      <c r="G477" s="3">
        <v>68000000</v>
      </c>
      <c r="H477" s="4">
        <v>28000000</v>
      </c>
      <c r="I477" s="4">
        <v>28000000</v>
      </c>
      <c r="J477" s="16">
        <f t="shared" si="14"/>
        <v>-0.58823529411764708</v>
      </c>
      <c r="K477" s="16">
        <f t="shared" si="15"/>
        <v>0</v>
      </c>
    </row>
    <row r="478" spans="1:11" ht="19.5" customHeight="1" x14ac:dyDescent="0.25">
      <c r="A478" s="2" t="s">
        <v>1059</v>
      </c>
      <c r="B478" s="2" t="s">
        <v>44</v>
      </c>
      <c r="C478" s="2" t="s">
        <v>1241</v>
      </c>
      <c r="D478" s="2" t="s">
        <v>1242</v>
      </c>
      <c r="E478" s="2" t="s">
        <v>1243</v>
      </c>
      <c r="F478" s="3">
        <v>22978368.77</v>
      </c>
      <c r="G478" s="3">
        <v>35000000</v>
      </c>
      <c r="H478" s="4">
        <v>35000000</v>
      </c>
      <c r="I478" s="4">
        <v>35000000</v>
      </c>
      <c r="J478" s="16">
        <f t="shared" si="14"/>
        <v>0</v>
      </c>
      <c r="K478" s="16">
        <f t="shared" si="15"/>
        <v>0</v>
      </c>
    </row>
    <row r="479" spans="1:11" ht="19.5" customHeight="1" x14ac:dyDescent="0.25">
      <c r="A479" s="2" t="s">
        <v>1059</v>
      </c>
      <c r="B479" s="2" t="s">
        <v>54</v>
      </c>
      <c r="C479" s="2" t="s">
        <v>54</v>
      </c>
      <c r="D479" s="2" t="s">
        <v>1244</v>
      </c>
      <c r="E479" s="2" t="s">
        <v>1245</v>
      </c>
      <c r="F479" s="4">
        <v>215006.39</v>
      </c>
      <c r="G479" s="3">
        <v>152368</v>
      </c>
      <c r="H479" s="4">
        <v>175000</v>
      </c>
      <c r="I479" s="4">
        <v>175000</v>
      </c>
      <c r="J479" s="16">
        <f t="shared" si="14"/>
        <v>0.14853512548566639</v>
      </c>
      <c r="K479" s="16">
        <f t="shared" si="15"/>
        <v>0</v>
      </c>
    </row>
    <row r="480" spans="1:11" ht="19.5" customHeight="1" x14ac:dyDescent="0.25">
      <c r="A480" s="2" t="s">
        <v>1059</v>
      </c>
      <c r="B480" s="2" t="s">
        <v>54</v>
      </c>
      <c r="C480" s="2" t="s">
        <v>54</v>
      </c>
      <c r="D480" s="2" t="s">
        <v>1246</v>
      </c>
      <c r="E480" s="2" t="s">
        <v>1247</v>
      </c>
      <c r="F480" s="3">
        <v>1707843.12</v>
      </c>
      <c r="G480" s="4">
        <v>1696358</v>
      </c>
      <c r="H480" s="4">
        <v>5919141</v>
      </c>
      <c r="I480" s="4">
        <v>5919141</v>
      </c>
      <c r="J480" s="16">
        <f t="shared" si="14"/>
        <v>2.4893230084687312</v>
      </c>
      <c r="K480" s="16">
        <f t="shared" si="15"/>
        <v>0</v>
      </c>
    </row>
    <row r="481" spans="1:11" ht="19.5" customHeight="1" x14ac:dyDescent="0.25">
      <c r="A481" s="2" t="s">
        <v>1059</v>
      </c>
      <c r="B481" s="2" t="s">
        <v>54</v>
      </c>
      <c r="C481" s="2" t="s">
        <v>54</v>
      </c>
      <c r="D481" s="2" t="s">
        <v>1248</v>
      </c>
      <c r="E481" s="2" t="s">
        <v>1249</v>
      </c>
      <c r="F481" s="3">
        <v>2219512.5699999998</v>
      </c>
      <c r="G481" s="4">
        <v>1849280.49</v>
      </c>
      <c r="H481" s="4">
        <v>3905000</v>
      </c>
      <c r="I481" s="4">
        <v>3905000</v>
      </c>
      <c r="J481" s="16">
        <f t="shared" si="14"/>
        <v>1.1116320758891476</v>
      </c>
      <c r="K481" s="16">
        <f t="shared" si="15"/>
        <v>0</v>
      </c>
    </row>
    <row r="482" spans="1:11" ht="19.5" customHeight="1" x14ac:dyDescent="0.25">
      <c r="A482" s="2" t="s">
        <v>1059</v>
      </c>
      <c r="B482" s="2" t="s">
        <v>54</v>
      </c>
      <c r="C482" s="2" t="s">
        <v>54</v>
      </c>
      <c r="D482" s="2" t="s">
        <v>1250</v>
      </c>
      <c r="E482" s="2" t="s">
        <v>1251</v>
      </c>
      <c r="F482" s="3">
        <v>1063497.28</v>
      </c>
      <c r="G482" s="3">
        <v>817000</v>
      </c>
      <c r="H482" s="4">
        <v>1000000</v>
      </c>
      <c r="I482" s="4">
        <v>1000000</v>
      </c>
      <c r="J482" s="16">
        <f t="shared" si="14"/>
        <v>0.22399020807833536</v>
      </c>
      <c r="K482" s="16">
        <f t="shared" si="15"/>
        <v>0</v>
      </c>
    </row>
    <row r="483" spans="1:11" ht="19.5" customHeight="1" x14ac:dyDescent="0.25">
      <c r="A483" s="2" t="s">
        <v>1059</v>
      </c>
      <c r="B483" s="2" t="s">
        <v>54</v>
      </c>
      <c r="C483" s="2" t="s">
        <v>54</v>
      </c>
      <c r="D483" s="2" t="s">
        <v>1252</v>
      </c>
      <c r="E483" s="2" t="s">
        <v>1253</v>
      </c>
      <c r="F483" s="3">
        <v>8315512.6600000001</v>
      </c>
      <c r="G483" s="3">
        <v>857120</v>
      </c>
      <c r="H483" s="4">
        <v>806000</v>
      </c>
      <c r="I483" s="4">
        <v>806000</v>
      </c>
      <c r="J483" s="16">
        <f t="shared" si="14"/>
        <v>-5.9641590442411796E-2</v>
      </c>
      <c r="K483" s="16">
        <f t="shared" si="15"/>
        <v>0</v>
      </c>
    </row>
    <row r="484" spans="1:11" ht="19.5" customHeight="1" x14ac:dyDescent="0.25">
      <c r="A484" s="2" t="s">
        <v>1059</v>
      </c>
      <c r="B484" s="2" t="s">
        <v>54</v>
      </c>
      <c r="C484" s="2" t="s">
        <v>54</v>
      </c>
      <c r="D484" s="2" t="s">
        <v>1254</v>
      </c>
      <c r="E484" s="2" t="s">
        <v>1255</v>
      </c>
      <c r="F484" s="3">
        <v>2942268.57</v>
      </c>
      <c r="G484" s="3">
        <v>3057174</v>
      </c>
      <c r="H484" s="4">
        <v>3500000</v>
      </c>
      <c r="I484" s="4">
        <v>3500000</v>
      </c>
      <c r="J484" s="16">
        <f t="shared" si="14"/>
        <v>0.14484815061229761</v>
      </c>
      <c r="K484" s="16">
        <f t="shared" si="15"/>
        <v>0</v>
      </c>
    </row>
    <row r="485" spans="1:11" ht="19.5" customHeight="1" x14ac:dyDescent="0.25">
      <c r="A485" s="2" t="s">
        <v>1059</v>
      </c>
      <c r="B485" s="2" t="s">
        <v>54</v>
      </c>
      <c r="C485" s="2" t="s">
        <v>54</v>
      </c>
      <c r="D485" s="2" t="s">
        <v>1256</v>
      </c>
      <c r="E485" s="2" t="s">
        <v>1257</v>
      </c>
      <c r="F485" s="3">
        <v>9706971.0099999998</v>
      </c>
      <c r="G485" s="3">
        <v>13050000</v>
      </c>
      <c r="H485" s="4">
        <v>6500000</v>
      </c>
      <c r="I485" s="4">
        <v>6500000</v>
      </c>
      <c r="J485" s="16">
        <f t="shared" si="14"/>
        <v>-0.50191570881226055</v>
      </c>
      <c r="K485" s="16">
        <f t="shared" si="15"/>
        <v>0</v>
      </c>
    </row>
    <row r="486" spans="1:11" ht="19.5" customHeight="1" x14ac:dyDescent="0.25">
      <c r="A486" s="2" t="s">
        <v>1059</v>
      </c>
      <c r="B486" s="2" t="s">
        <v>54</v>
      </c>
      <c r="C486" s="2" t="s">
        <v>54</v>
      </c>
      <c r="D486" s="2" t="s">
        <v>1258</v>
      </c>
      <c r="E486" s="2" t="s">
        <v>1259</v>
      </c>
      <c r="F486" s="3">
        <v>1120817.26</v>
      </c>
      <c r="G486" s="3">
        <v>1125000</v>
      </c>
      <c r="H486" s="4">
        <v>1250000</v>
      </c>
      <c r="I486" s="4">
        <v>1250000</v>
      </c>
      <c r="J486" s="16">
        <f t="shared" si="14"/>
        <v>0.11111111111111116</v>
      </c>
      <c r="K486" s="16">
        <f t="shared" si="15"/>
        <v>0</v>
      </c>
    </row>
    <row r="487" spans="1:11" ht="19.5" customHeight="1" x14ac:dyDescent="0.25">
      <c r="A487" s="2" t="s">
        <v>1059</v>
      </c>
      <c r="B487" s="2" t="s">
        <v>54</v>
      </c>
      <c r="C487" s="2" t="s">
        <v>54</v>
      </c>
      <c r="D487" s="2" t="s">
        <v>1260</v>
      </c>
      <c r="E487" s="2" t="s">
        <v>1261</v>
      </c>
      <c r="F487" s="3">
        <v>8143807.3700000001</v>
      </c>
      <c r="G487" s="3">
        <v>12776856</v>
      </c>
      <c r="H487" s="4">
        <v>13200000</v>
      </c>
      <c r="I487" s="4">
        <v>13200000</v>
      </c>
      <c r="J487" s="16">
        <f t="shared" si="14"/>
        <v>3.3118006495494567E-2</v>
      </c>
      <c r="K487" s="16">
        <f t="shared" si="15"/>
        <v>0</v>
      </c>
    </row>
    <row r="488" spans="1:11" ht="19.5" customHeight="1" x14ac:dyDescent="0.25">
      <c r="A488" s="2" t="s">
        <v>1059</v>
      </c>
      <c r="B488" s="2" t="s">
        <v>54</v>
      </c>
      <c r="C488" s="2" t="s">
        <v>54</v>
      </c>
      <c r="D488" s="2" t="s">
        <v>1262</v>
      </c>
      <c r="E488" s="2" t="s">
        <v>1263</v>
      </c>
      <c r="F488" s="4">
        <v>199964.1</v>
      </c>
      <c r="G488" s="3">
        <v>160000</v>
      </c>
      <c r="H488" s="4">
        <v>200000</v>
      </c>
      <c r="I488" s="4">
        <v>200000</v>
      </c>
      <c r="J488" s="16">
        <f t="shared" si="14"/>
        <v>0.25</v>
      </c>
      <c r="K488" s="16">
        <f t="shared" si="15"/>
        <v>0</v>
      </c>
    </row>
    <row r="489" spans="1:11" ht="19.5" customHeight="1" x14ac:dyDescent="0.25">
      <c r="A489" s="2" t="s">
        <v>1059</v>
      </c>
      <c r="B489" s="2" t="s">
        <v>54</v>
      </c>
      <c r="C489" s="2" t="s">
        <v>54</v>
      </c>
      <c r="D489" s="2" t="s">
        <v>1264</v>
      </c>
      <c r="E489" s="2" t="s">
        <v>1265</v>
      </c>
      <c r="F489" s="3">
        <v>598800.84</v>
      </c>
      <c r="G489" s="3">
        <v>660000</v>
      </c>
      <c r="H489" s="4">
        <v>24610000</v>
      </c>
      <c r="I489" s="4">
        <v>17700000</v>
      </c>
      <c r="J489" s="16">
        <f t="shared" si="14"/>
        <v>36.287878787878789</v>
      </c>
      <c r="K489" s="16">
        <f t="shared" si="15"/>
        <v>-0.28078017066233241</v>
      </c>
    </row>
    <row r="490" spans="1:11" ht="19.5" customHeight="1" x14ac:dyDescent="0.25">
      <c r="A490" s="2" t="s">
        <v>1059</v>
      </c>
      <c r="B490" s="2" t="s">
        <v>54</v>
      </c>
      <c r="C490" s="2" t="s">
        <v>54</v>
      </c>
      <c r="D490" s="2" t="s">
        <v>1266</v>
      </c>
      <c r="E490" s="2" t="s">
        <v>1267</v>
      </c>
      <c r="F490" s="3">
        <v>150000</v>
      </c>
      <c r="G490" s="3">
        <v>0</v>
      </c>
      <c r="H490" s="4">
        <v>0</v>
      </c>
      <c r="I490" s="4">
        <v>0</v>
      </c>
      <c r="J490" s="16" t="str">
        <f t="shared" si="14"/>
        <v>--</v>
      </c>
      <c r="K490" s="16" t="str">
        <f t="shared" si="15"/>
        <v>--</v>
      </c>
    </row>
    <row r="491" spans="1:11" ht="19.5" customHeight="1" x14ac:dyDescent="0.25">
      <c r="A491" s="2" t="s">
        <v>1059</v>
      </c>
      <c r="B491" s="2" t="s">
        <v>54</v>
      </c>
      <c r="C491" s="2" t="s">
        <v>54</v>
      </c>
      <c r="D491" s="2" t="s">
        <v>1268</v>
      </c>
      <c r="E491" s="2" t="s">
        <v>1253</v>
      </c>
      <c r="F491" s="3">
        <v>67428.679999999993</v>
      </c>
      <c r="G491" s="3">
        <v>0</v>
      </c>
      <c r="H491" s="4">
        <v>0</v>
      </c>
      <c r="I491" s="4">
        <v>0</v>
      </c>
      <c r="J491" s="16" t="str">
        <f t="shared" si="14"/>
        <v>--</v>
      </c>
      <c r="K491" s="16" t="str">
        <f t="shared" si="15"/>
        <v>--</v>
      </c>
    </row>
    <row r="492" spans="1:11" ht="19.5" customHeight="1" x14ac:dyDescent="0.25">
      <c r="A492" s="2" t="s">
        <v>1059</v>
      </c>
      <c r="B492" s="2" t="s">
        <v>54</v>
      </c>
      <c r="C492" s="2" t="s">
        <v>54</v>
      </c>
      <c r="D492" s="2" t="s">
        <v>1269</v>
      </c>
      <c r="E492" s="2" t="s">
        <v>1270</v>
      </c>
      <c r="F492" s="3">
        <v>205647.84</v>
      </c>
      <c r="G492" s="3">
        <v>200000</v>
      </c>
      <c r="H492" s="4">
        <v>250000</v>
      </c>
      <c r="I492" s="4">
        <v>250000</v>
      </c>
      <c r="J492" s="16">
        <f t="shared" si="14"/>
        <v>0.25</v>
      </c>
      <c r="K492" s="16">
        <f t="shared" si="15"/>
        <v>0</v>
      </c>
    </row>
    <row r="493" spans="1:11" ht="19.5" customHeight="1" x14ac:dyDescent="0.25">
      <c r="A493" s="2" t="s">
        <v>1059</v>
      </c>
      <c r="B493" s="2" t="s">
        <v>54</v>
      </c>
      <c r="C493" s="2" t="s">
        <v>54</v>
      </c>
      <c r="D493" s="2" t="s">
        <v>1271</v>
      </c>
      <c r="E493" s="2" t="s">
        <v>1272</v>
      </c>
      <c r="F493" s="3">
        <v>0</v>
      </c>
      <c r="G493" s="3">
        <v>2500000</v>
      </c>
      <c r="H493" s="4">
        <v>6000000</v>
      </c>
      <c r="I493" s="4">
        <v>2500000</v>
      </c>
      <c r="J493" s="16">
        <f t="shared" si="14"/>
        <v>1.4</v>
      </c>
      <c r="K493" s="16">
        <f t="shared" si="15"/>
        <v>-0.58333333333333326</v>
      </c>
    </row>
    <row r="494" spans="1:11" ht="19.5" customHeight="1" x14ac:dyDescent="0.25">
      <c r="A494" s="2" t="s">
        <v>1059</v>
      </c>
      <c r="B494" s="2" t="s">
        <v>54</v>
      </c>
      <c r="C494" s="2" t="s">
        <v>54</v>
      </c>
      <c r="D494" s="2" t="s">
        <v>1273</v>
      </c>
      <c r="E494" s="2" t="s">
        <v>1107</v>
      </c>
      <c r="F494" s="3">
        <v>493416.1</v>
      </c>
      <c r="G494" s="3">
        <v>7950000</v>
      </c>
      <c r="H494" s="4">
        <v>0</v>
      </c>
      <c r="I494" s="4">
        <v>0</v>
      </c>
      <c r="J494" s="16">
        <f t="shared" si="14"/>
        <v>-1</v>
      </c>
      <c r="K494" s="16" t="str">
        <f t="shared" si="15"/>
        <v>--</v>
      </c>
    </row>
    <row r="495" spans="1:11" ht="19.5" customHeight="1" x14ac:dyDescent="0.25">
      <c r="A495" s="6" t="s">
        <v>1059</v>
      </c>
      <c r="B495" s="6" t="s">
        <v>54</v>
      </c>
      <c r="C495" s="6" t="s">
        <v>54</v>
      </c>
      <c r="D495" s="7" t="s">
        <v>1274</v>
      </c>
      <c r="E495" s="6" t="s">
        <v>1275</v>
      </c>
      <c r="F495" s="4">
        <v>0</v>
      </c>
      <c r="G495" s="4">
        <v>0</v>
      </c>
      <c r="H495" s="4">
        <v>250000</v>
      </c>
      <c r="I495" s="4">
        <v>250000</v>
      </c>
      <c r="J495" s="16" t="str">
        <f t="shared" si="14"/>
        <v>--</v>
      </c>
      <c r="K495" s="16">
        <f t="shared" si="15"/>
        <v>0</v>
      </c>
    </row>
    <row r="496" spans="1:11" ht="19.5" customHeight="1" x14ac:dyDescent="0.25">
      <c r="A496" s="2" t="s">
        <v>1059</v>
      </c>
      <c r="B496" s="2" t="s">
        <v>54</v>
      </c>
      <c r="C496" s="2" t="s">
        <v>54</v>
      </c>
      <c r="D496" s="2" t="s">
        <v>1276</v>
      </c>
      <c r="E496" s="2" t="s">
        <v>1171</v>
      </c>
      <c r="F496" s="4">
        <v>0</v>
      </c>
      <c r="G496" s="3">
        <v>0</v>
      </c>
      <c r="H496" s="4">
        <v>0</v>
      </c>
      <c r="I496" s="4">
        <v>0</v>
      </c>
      <c r="J496" s="16" t="str">
        <f t="shared" si="14"/>
        <v>--</v>
      </c>
      <c r="K496" s="16" t="str">
        <f t="shared" si="15"/>
        <v>--</v>
      </c>
    </row>
    <row r="497" spans="1:11" ht="19.5" customHeight="1" x14ac:dyDescent="0.25">
      <c r="A497" s="2" t="s">
        <v>1059</v>
      </c>
      <c r="B497" s="2" t="s">
        <v>54</v>
      </c>
      <c r="C497" s="2" t="s">
        <v>54</v>
      </c>
      <c r="D497" s="2" t="s">
        <v>1277</v>
      </c>
      <c r="E497" s="2" t="s">
        <v>1278</v>
      </c>
      <c r="F497" s="3">
        <v>7813233.8399999999</v>
      </c>
      <c r="G497" s="3">
        <v>7682600</v>
      </c>
      <c r="H497" s="4">
        <v>7300000</v>
      </c>
      <c r="I497" s="4">
        <v>8500000</v>
      </c>
      <c r="J497" s="16">
        <f t="shared" si="14"/>
        <v>-4.9800848671022857E-2</v>
      </c>
      <c r="K497" s="16">
        <f t="shared" si="15"/>
        <v>0.16438356164383561</v>
      </c>
    </row>
    <row r="498" spans="1:11" ht="19.5" customHeight="1" x14ac:dyDescent="0.25">
      <c r="A498" s="2" t="s">
        <v>1059</v>
      </c>
      <c r="B498" s="2" t="s">
        <v>54</v>
      </c>
      <c r="C498" s="2" t="s">
        <v>54</v>
      </c>
      <c r="D498" s="2" t="s">
        <v>1279</v>
      </c>
      <c r="E498" s="2" t="s">
        <v>1280</v>
      </c>
      <c r="F498" s="3">
        <v>81377687.230000004</v>
      </c>
      <c r="G498" s="3">
        <v>87403000</v>
      </c>
      <c r="H498" s="4">
        <v>69000000</v>
      </c>
      <c r="I498" s="4">
        <v>76000000</v>
      </c>
      <c r="J498" s="16">
        <f t="shared" si="14"/>
        <v>-0.21055341349839252</v>
      </c>
      <c r="K498" s="16">
        <f t="shared" si="15"/>
        <v>0.10144927536231885</v>
      </c>
    </row>
    <row r="499" spans="1:11" ht="19.5" customHeight="1" x14ac:dyDescent="0.25">
      <c r="A499" s="2" t="s">
        <v>1059</v>
      </c>
      <c r="B499" s="2" t="s">
        <v>54</v>
      </c>
      <c r="C499" s="2" t="s">
        <v>54</v>
      </c>
      <c r="D499" s="2" t="s">
        <v>1281</v>
      </c>
      <c r="E499" s="2" t="s">
        <v>1282</v>
      </c>
      <c r="F499" s="3">
        <v>15498966.810000001</v>
      </c>
      <c r="G499" s="3">
        <v>9879900</v>
      </c>
      <c r="H499" s="4">
        <v>4605000</v>
      </c>
      <c r="I499" s="4">
        <v>4605000</v>
      </c>
      <c r="J499" s="16">
        <f t="shared" si="14"/>
        <v>-0.53390216500166998</v>
      </c>
      <c r="K499" s="16">
        <f t="shared" si="15"/>
        <v>0</v>
      </c>
    </row>
    <row r="500" spans="1:11" ht="19.5" customHeight="1" x14ac:dyDescent="0.25">
      <c r="A500" s="2" t="s">
        <v>1059</v>
      </c>
      <c r="B500" s="2" t="s">
        <v>243</v>
      </c>
      <c r="C500" s="2" t="s">
        <v>1283</v>
      </c>
      <c r="D500" s="2" t="s">
        <v>1284</v>
      </c>
      <c r="E500" s="2" t="s">
        <v>1285</v>
      </c>
      <c r="F500" s="3">
        <v>10953557.689999999</v>
      </c>
      <c r="G500" s="3">
        <v>12000000</v>
      </c>
      <c r="H500" s="4">
        <v>12000000</v>
      </c>
      <c r="I500" s="4">
        <v>12000000</v>
      </c>
      <c r="J500" s="16">
        <f t="shared" si="14"/>
        <v>0</v>
      </c>
      <c r="K500" s="16">
        <f t="shared" si="15"/>
        <v>0</v>
      </c>
    </row>
    <row r="501" spans="1:11" ht="19.5" customHeight="1" x14ac:dyDescent="0.25">
      <c r="A501" s="2" t="s">
        <v>1059</v>
      </c>
      <c r="B501" s="2" t="s">
        <v>243</v>
      </c>
      <c r="C501" s="2" t="s">
        <v>1286</v>
      </c>
      <c r="D501" s="2" t="s">
        <v>1287</v>
      </c>
      <c r="E501" s="2" t="s">
        <v>1288</v>
      </c>
      <c r="F501" s="3">
        <v>4725.97</v>
      </c>
      <c r="G501" s="3">
        <v>125000</v>
      </c>
      <c r="H501" s="4">
        <v>125000</v>
      </c>
      <c r="I501" s="4">
        <v>125000</v>
      </c>
      <c r="J501" s="16">
        <f t="shared" si="14"/>
        <v>0</v>
      </c>
      <c r="K501" s="16">
        <f t="shared" si="15"/>
        <v>0</v>
      </c>
    </row>
    <row r="502" spans="1:11" ht="19.5" customHeight="1" x14ac:dyDescent="0.25">
      <c r="A502" s="2" t="s">
        <v>1289</v>
      </c>
      <c r="B502" s="2" t="s">
        <v>248</v>
      </c>
      <c r="C502" s="2" t="s">
        <v>1290</v>
      </c>
      <c r="D502" s="2" t="s">
        <v>1291</v>
      </c>
      <c r="E502" s="2" t="s">
        <v>1292</v>
      </c>
      <c r="F502" s="3">
        <v>180967.9</v>
      </c>
      <c r="G502" s="3">
        <v>301796</v>
      </c>
      <c r="H502" s="4">
        <v>301796</v>
      </c>
      <c r="I502" s="4">
        <v>301796</v>
      </c>
      <c r="J502" s="16">
        <f t="shared" si="14"/>
        <v>0</v>
      </c>
      <c r="K502" s="16">
        <f t="shared" si="15"/>
        <v>0</v>
      </c>
    </row>
    <row r="503" spans="1:11" ht="19.5" customHeight="1" x14ac:dyDescent="0.25">
      <c r="A503" s="2" t="s">
        <v>1289</v>
      </c>
      <c r="B503" s="2" t="s">
        <v>16</v>
      </c>
      <c r="C503" s="2" t="s">
        <v>1293</v>
      </c>
      <c r="D503" s="2" t="s">
        <v>1294</v>
      </c>
      <c r="E503" s="2" t="s">
        <v>1295</v>
      </c>
      <c r="F503" s="3">
        <v>1401473.16</v>
      </c>
      <c r="G503" s="3">
        <v>1719324</v>
      </c>
      <c r="H503" s="4">
        <v>2009943</v>
      </c>
      <c r="I503" s="4">
        <v>2062630</v>
      </c>
      <c r="J503" s="16">
        <f t="shared" si="14"/>
        <v>0.16903096798509187</v>
      </c>
      <c r="K503" s="16">
        <f t="shared" si="15"/>
        <v>2.6213181169814304E-2</v>
      </c>
    </row>
    <row r="504" spans="1:11" ht="19.5" customHeight="1" x14ac:dyDescent="0.25">
      <c r="A504" s="2" t="s">
        <v>1289</v>
      </c>
      <c r="B504" s="2" t="s">
        <v>16</v>
      </c>
      <c r="C504" s="2" t="s">
        <v>1296</v>
      </c>
      <c r="D504" s="2" t="s">
        <v>1297</v>
      </c>
      <c r="E504" s="2" t="s">
        <v>1298</v>
      </c>
      <c r="F504" s="3">
        <v>750666.49</v>
      </c>
      <c r="G504" s="3">
        <v>927128</v>
      </c>
      <c r="H504" s="4">
        <v>998229</v>
      </c>
      <c r="I504" s="4">
        <v>1002531</v>
      </c>
      <c r="J504" s="16">
        <f t="shared" si="14"/>
        <v>7.6689518599373452E-2</v>
      </c>
      <c r="K504" s="16">
        <f t="shared" si="15"/>
        <v>4.309632358907578E-3</v>
      </c>
    </row>
    <row r="505" spans="1:11" ht="19.5" customHeight="1" x14ac:dyDescent="0.25">
      <c r="A505" s="2" t="s">
        <v>1289</v>
      </c>
      <c r="B505" s="2" t="s">
        <v>16</v>
      </c>
      <c r="C505" s="2" t="s">
        <v>1299</v>
      </c>
      <c r="D505" s="2" t="s">
        <v>1300</v>
      </c>
      <c r="E505" s="2" t="s">
        <v>1301</v>
      </c>
      <c r="F505" s="3">
        <v>279579.59999999998</v>
      </c>
      <c r="G505" s="3">
        <v>329782</v>
      </c>
      <c r="H505" s="4">
        <v>341177</v>
      </c>
      <c r="I505" s="4">
        <v>351329</v>
      </c>
      <c r="J505" s="16">
        <f t="shared" si="14"/>
        <v>3.4553129036757557E-2</v>
      </c>
      <c r="K505" s="16">
        <f t="shared" si="15"/>
        <v>2.975581589614773E-2</v>
      </c>
    </row>
    <row r="506" spans="1:11" ht="19.5" customHeight="1" x14ac:dyDescent="0.25">
      <c r="A506" s="2" t="s">
        <v>1289</v>
      </c>
      <c r="B506" s="2" t="s">
        <v>16</v>
      </c>
      <c r="C506" s="2" t="s">
        <v>1302</v>
      </c>
      <c r="D506" s="2" t="s">
        <v>1303</v>
      </c>
      <c r="E506" s="2" t="s">
        <v>1304</v>
      </c>
      <c r="F506" s="3">
        <v>38715.699999999997</v>
      </c>
      <c r="G506" s="3">
        <v>54000</v>
      </c>
      <c r="H506" s="4">
        <v>100000</v>
      </c>
      <c r="I506" s="4">
        <v>100000</v>
      </c>
      <c r="J506" s="16">
        <f t="shared" si="14"/>
        <v>0.85185185185185186</v>
      </c>
      <c r="K506" s="16">
        <f t="shared" si="15"/>
        <v>0</v>
      </c>
    </row>
    <row r="507" spans="1:11" ht="19.5" customHeight="1" x14ac:dyDescent="0.25">
      <c r="A507" s="2" t="s">
        <v>1289</v>
      </c>
      <c r="B507" s="2" t="s">
        <v>16</v>
      </c>
      <c r="C507" s="2" t="s">
        <v>1305</v>
      </c>
      <c r="D507" s="2" t="s">
        <v>1306</v>
      </c>
      <c r="E507" s="2" t="s">
        <v>1307</v>
      </c>
      <c r="F507" s="3">
        <v>8668193.7599999998</v>
      </c>
      <c r="G507" s="3">
        <v>10312871</v>
      </c>
      <c r="H507" s="4">
        <v>8312871</v>
      </c>
      <c r="I507" s="4">
        <v>8312871</v>
      </c>
      <c r="J507" s="16">
        <f t="shared" si="14"/>
        <v>-0.19393241707377118</v>
      </c>
      <c r="K507" s="16">
        <f t="shared" si="15"/>
        <v>0</v>
      </c>
    </row>
    <row r="508" spans="1:11" ht="19.5" customHeight="1" x14ac:dyDescent="0.25">
      <c r="A508" s="2" t="s">
        <v>1289</v>
      </c>
      <c r="B508" s="2" t="s">
        <v>16</v>
      </c>
      <c r="C508" s="2" t="s">
        <v>1308</v>
      </c>
      <c r="D508" s="2" t="s">
        <v>1309</v>
      </c>
      <c r="E508" s="2" t="s">
        <v>1310</v>
      </c>
      <c r="F508" s="3">
        <v>4734278.01</v>
      </c>
      <c r="G508" s="3">
        <v>6701943</v>
      </c>
      <c r="H508" s="4">
        <v>8599989</v>
      </c>
      <c r="I508" s="4">
        <v>5799989</v>
      </c>
      <c r="J508" s="16">
        <f t="shared" si="14"/>
        <v>0.28320831734916285</v>
      </c>
      <c r="K508" s="16">
        <f t="shared" si="15"/>
        <v>-0.32558181179068946</v>
      </c>
    </row>
    <row r="509" spans="1:11" ht="19.5" customHeight="1" x14ac:dyDescent="0.25">
      <c r="A509" s="2" t="s">
        <v>1289</v>
      </c>
      <c r="B509" s="2" t="s">
        <v>16</v>
      </c>
      <c r="C509" s="2" t="s">
        <v>1308</v>
      </c>
      <c r="D509" s="2" t="s">
        <v>1311</v>
      </c>
      <c r="E509" s="2" t="s">
        <v>1312</v>
      </c>
      <c r="F509" s="3">
        <v>479667.77</v>
      </c>
      <c r="G509" s="3">
        <v>0</v>
      </c>
      <c r="H509" s="4">
        <v>641719</v>
      </c>
      <c r="I509" s="4">
        <v>646449</v>
      </c>
      <c r="J509" s="16" t="str">
        <f t="shared" si="14"/>
        <v>--</v>
      </c>
      <c r="K509" s="16">
        <f t="shared" si="15"/>
        <v>7.3708274182313627E-3</v>
      </c>
    </row>
    <row r="510" spans="1:11" ht="19.5" customHeight="1" x14ac:dyDescent="0.25">
      <c r="A510" s="2" t="s">
        <v>1289</v>
      </c>
      <c r="B510" s="2" t="s">
        <v>16</v>
      </c>
      <c r="C510" s="2" t="s">
        <v>1313</v>
      </c>
      <c r="D510" s="2" t="s">
        <v>1314</v>
      </c>
      <c r="E510" s="2" t="s">
        <v>1315</v>
      </c>
      <c r="F510" s="3">
        <v>29279454.329999998</v>
      </c>
      <c r="G510" s="3">
        <v>35412070</v>
      </c>
      <c r="H510" s="4">
        <v>49362070</v>
      </c>
      <c r="I510" s="4">
        <v>35412070</v>
      </c>
      <c r="J510" s="16">
        <f t="shared" si="14"/>
        <v>0.39393348087248214</v>
      </c>
      <c r="K510" s="16">
        <f t="shared" si="15"/>
        <v>-0.28260565247770197</v>
      </c>
    </row>
    <row r="511" spans="1:11" ht="19.5" customHeight="1" x14ac:dyDescent="0.25">
      <c r="A511" s="2" t="s">
        <v>1289</v>
      </c>
      <c r="B511" s="2" t="s">
        <v>16</v>
      </c>
      <c r="C511" s="2" t="s">
        <v>1316</v>
      </c>
      <c r="D511" s="2" t="s">
        <v>1317</v>
      </c>
      <c r="E511" s="2" t="s">
        <v>1318</v>
      </c>
      <c r="F511" s="3">
        <v>1714637.17</v>
      </c>
      <c r="G511" s="3">
        <v>2253403</v>
      </c>
      <c r="H511" s="4">
        <v>2446910</v>
      </c>
      <c r="I511" s="4">
        <v>2446910</v>
      </c>
      <c r="J511" s="16">
        <f t="shared" si="14"/>
        <v>8.587323261751223E-2</v>
      </c>
      <c r="K511" s="16">
        <f t="shared" si="15"/>
        <v>0</v>
      </c>
    </row>
    <row r="512" spans="1:11" ht="19.5" customHeight="1" x14ac:dyDescent="0.25">
      <c r="A512" s="2" t="s">
        <v>1289</v>
      </c>
      <c r="B512" s="2" t="s">
        <v>16</v>
      </c>
      <c r="C512" s="2" t="s">
        <v>1319</v>
      </c>
      <c r="D512" s="2" t="s">
        <v>1320</v>
      </c>
      <c r="E512" s="2" t="s">
        <v>1321</v>
      </c>
      <c r="F512" s="3">
        <v>2737788.9</v>
      </c>
      <c r="G512" s="4">
        <v>3006996</v>
      </c>
      <c r="H512" s="4">
        <v>3007006</v>
      </c>
      <c r="I512" s="4">
        <v>3007006</v>
      </c>
      <c r="J512" s="16">
        <f t="shared" si="14"/>
        <v>3.3255780851337846E-6</v>
      </c>
      <c r="K512" s="16">
        <f t="shared" si="15"/>
        <v>0</v>
      </c>
    </row>
    <row r="513" spans="1:11" ht="19.5" customHeight="1" x14ac:dyDescent="0.25">
      <c r="A513" s="2" t="s">
        <v>1289</v>
      </c>
      <c r="B513" s="2" t="s">
        <v>16</v>
      </c>
      <c r="C513" s="2" t="s">
        <v>1322</v>
      </c>
      <c r="D513" s="2" t="s">
        <v>1323</v>
      </c>
      <c r="E513" s="2" t="s">
        <v>1324</v>
      </c>
      <c r="F513" s="3">
        <v>23906150.449999999</v>
      </c>
      <c r="G513" s="3">
        <v>25446157</v>
      </c>
      <c r="H513" s="4">
        <v>28446157</v>
      </c>
      <c r="I513" s="4">
        <v>29523770</v>
      </c>
      <c r="J513" s="16">
        <f t="shared" si="14"/>
        <v>0.11789599506125814</v>
      </c>
      <c r="K513" s="16">
        <f t="shared" si="15"/>
        <v>3.7882551235304041E-2</v>
      </c>
    </row>
    <row r="514" spans="1:11" ht="19.5" customHeight="1" x14ac:dyDescent="0.25">
      <c r="A514" s="2" t="s">
        <v>1289</v>
      </c>
      <c r="B514" s="2" t="s">
        <v>16</v>
      </c>
      <c r="C514" s="2" t="s">
        <v>1322</v>
      </c>
      <c r="D514" s="2" t="s">
        <v>1325</v>
      </c>
      <c r="E514" s="2" t="s">
        <v>1326</v>
      </c>
      <c r="F514" s="3">
        <v>9438415.6999999993</v>
      </c>
      <c r="G514" s="3">
        <v>28177215</v>
      </c>
      <c r="H514" s="4">
        <v>22481036</v>
      </c>
      <c r="I514" s="4">
        <v>22849836</v>
      </c>
      <c r="J514" s="16">
        <f t="shared" si="14"/>
        <v>-0.20215550046376118</v>
      </c>
      <c r="K514" s="16">
        <f t="shared" si="15"/>
        <v>1.6404937921900009E-2</v>
      </c>
    </row>
    <row r="515" spans="1:11" ht="19.5" customHeight="1" x14ac:dyDescent="0.25">
      <c r="A515" s="2" t="s">
        <v>1289</v>
      </c>
      <c r="B515" s="2" t="s">
        <v>16</v>
      </c>
      <c r="C515" s="2" t="s">
        <v>1327</v>
      </c>
      <c r="D515" s="2" t="s">
        <v>1328</v>
      </c>
      <c r="E515" s="2" t="s">
        <v>1329</v>
      </c>
      <c r="F515" s="3">
        <v>2801800.73</v>
      </c>
      <c r="G515" s="4">
        <v>701587</v>
      </c>
      <c r="H515" s="4">
        <v>460000</v>
      </c>
      <c r="I515" s="4">
        <v>460000</v>
      </c>
      <c r="J515" s="16">
        <f t="shared" ref="J515:J578" si="16">IFERROR(H515/G515-1,"--")</f>
        <v>-0.34434360955947019</v>
      </c>
      <c r="K515" s="16">
        <f t="shared" ref="K515:K578" si="17">IFERROR(I515/H515-1,"--")</f>
        <v>0</v>
      </c>
    </row>
    <row r="516" spans="1:11" ht="19.5" customHeight="1" x14ac:dyDescent="0.25">
      <c r="A516" s="2" t="s">
        <v>1289</v>
      </c>
      <c r="B516" s="2" t="s">
        <v>16</v>
      </c>
      <c r="C516" s="2" t="s">
        <v>1330</v>
      </c>
      <c r="D516" s="2" t="s">
        <v>1331</v>
      </c>
      <c r="E516" s="2" t="s">
        <v>1332</v>
      </c>
      <c r="F516" s="3">
        <v>230868.32</v>
      </c>
      <c r="G516" s="3">
        <v>313649</v>
      </c>
      <c r="H516" s="4">
        <v>1725494</v>
      </c>
      <c r="I516" s="4">
        <v>1582122</v>
      </c>
      <c r="J516" s="16">
        <f t="shared" si="16"/>
        <v>4.5013534237316239</v>
      </c>
      <c r="K516" s="16">
        <f t="shared" si="17"/>
        <v>-8.3090407732510196E-2</v>
      </c>
    </row>
    <row r="517" spans="1:11" ht="19.5" customHeight="1" x14ac:dyDescent="0.25">
      <c r="A517" s="2" t="s">
        <v>1289</v>
      </c>
      <c r="B517" s="2" t="s">
        <v>16</v>
      </c>
      <c r="C517" s="2" t="s">
        <v>1333</v>
      </c>
      <c r="D517" s="2" t="s">
        <v>1334</v>
      </c>
      <c r="E517" s="2" t="s">
        <v>1335</v>
      </c>
      <c r="F517" s="3">
        <v>3755379.53</v>
      </c>
      <c r="G517" s="3">
        <v>4689552</v>
      </c>
      <c r="H517" s="4">
        <v>4750000</v>
      </c>
      <c r="I517" s="4">
        <v>4800000</v>
      </c>
      <c r="J517" s="16">
        <f t="shared" si="16"/>
        <v>1.2889930637297597E-2</v>
      </c>
      <c r="K517" s="16">
        <f t="shared" si="17"/>
        <v>1.0526315789473717E-2</v>
      </c>
    </row>
    <row r="518" spans="1:11" ht="19.5" customHeight="1" x14ac:dyDescent="0.25">
      <c r="A518" s="2" t="s">
        <v>1289</v>
      </c>
      <c r="B518" s="2" t="s">
        <v>16</v>
      </c>
      <c r="C518" s="2" t="s">
        <v>1336</v>
      </c>
      <c r="D518" s="2" t="s">
        <v>1337</v>
      </c>
      <c r="E518" s="2" t="s">
        <v>1338</v>
      </c>
      <c r="F518" s="3">
        <v>499723.75</v>
      </c>
      <c r="G518" s="3">
        <v>2232761</v>
      </c>
      <c r="H518" s="4">
        <v>2530000</v>
      </c>
      <c r="I518" s="4">
        <v>2530000</v>
      </c>
      <c r="J518" s="16">
        <f t="shared" si="16"/>
        <v>0.13312620562612842</v>
      </c>
      <c r="K518" s="16">
        <f t="shared" si="17"/>
        <v>0</v>
      </c>
    </row>
    <row r="519" spans="1:11" ht="19.5" customHeight="1" x14ac:dyDescent="0.25">
      <c r="A519" s="2" t="s">
        <v>1289</v>
      </c>
      <c r="B519" s="2" t="s">
        <v>16</v>
      </c>
      <c r="C519" s="2" t="s">
        <v>35</v>
      </c>
      <c r="D519" s="2" t="s">
        <v>1339</v>
      </c>
      <c r="E519" s="2" t="s">
        <v>1340</v>
      </c>
      <c r="F519" s="3">
        <v>0</v>
      </c>
      <c r="G519" s="3">
        <v>5000000</v>
      </c>
      <c r="H519" s="4">
        <v>2500000</v>
      </c>
      <c r="I519" s="4">
        <v>0</v>
      </c>
      <c r="J519" s="16">
        <f t="shared" si="16"/>
        <v>-0.5</v>
      </c>
      <c r="K519" s="16">
        <f t="shared" si="17"/>
        <v>-1</v>
      </c>
    </row>
    <row r="520" spans="1:11" ht="19.5" customHeight="1" x14ac:dyDescent="0.25">
      <c r="A520" s="2" t="s">
        <v>1289</v>
      </c>
      <c r="B520" s="2" t="s">
        <v>16</v>
      </c>
      <c r="C520" s="2" t="s">
        <v>1341</v>
      </c>
      <c r="D520" s="2" t="s">
        <v>1342</v>
      </c>
      <c r="E520" s="2" t="s">
        <v>1343</v>
      </c>
      <c r="F520" s="3">
        <v>48.89</v>
      </c>
      <c r="G520" s="3">
        <v>12000</v>
      </c>
      <c r="H520" s="4">
        <v>12000</v>
      </c>
      <c r="I520" s="4">
        <v>12000</v>
      </c>
      <c r="J520" s="16">
        <f t="shared" si="16"/>
        <v>0</v>
      </c>
      <c r="K520" s="16">
        <f t="shared" si="17"/>
        <v>0</v>
      </c>
    </row>
    <row r="521" spans="1:11" ht="19.5" customHeight="1" x14ac:dyDescent="0.25">
      <c r="A521" s="2" t="s">
        <v>1289</v>
      </c>
      <c r="B521" s="2" t="s">
        <v>16</v>
      </c>
      <c r="C521" s="2" t="s">
        <v>1344</v>
      </c>
      <c r="D521" s="2" t="s">
        <v>1345</v>
      </c>
      <c r="E521" s="2" t="s">
        <v>1346</v>
      </c>
      <c r="F521" s="3">
        <v>19990.38</v>
      </c>
      <c r="G521" s="3">
        <v>34000</v>
      </c>
      <c r="H521" s="4">
        <v>34000</v>
      </c>
      <c r="I521" s="4">
        <v>34000</v>
      </c>
      <c r="J521" s="16">
        <f t="shared" si="16"/>
        <v>0</v>
      </c>
      <c r="K521" s="16">
        <f t="shared" si="17"/>
        <v>0</v>
      </c>
    </row>
    <row r="522" spans="1:11" ht="19.5" customHeight="1" x14ac:dyDescent="0.25">
      <c r="A522" s="2" t="s">
        <v>1289</v>
      </c>
      <c r="B522" s="2" t="s">
        <v>16</v>
      </c>
      <c r="C522" s="2" t="s">
        <v>1347</v>
      </c>
      <c r="D522" s="2" t="s">
        <v>1348</v>
      </c>
      <c r="E522" s="2" t="s">
        <v>1349</v>
      </c>
      <c r="F522" s="3">
        <v>13173.27</v>
      </c>
      <c r="G522" s="3">
        <v>50000</v>
      </c>
      <c r="H522" s="4">
        <v>100000</v>
      </c>
      <c r="I522" s="4">
        <v>100000</v>
      </c>
      <c r="J522" s="16">
        <f t="shared" si="16"/>
        <v>1</v>
      </c>
      <c r="K522" s="16">
        <f t="shared" si="17"/>
        <v>0</v>
      </c>
    </row>
    <row r="523" spans="1:11" ht="19.5" customHeight="1" x14ac:dyDescent="0.25">
      <c r="A523" s="2" t="s">
        <v>1289</v>
      </c>
      <c r="B523" s="2" t="s">
        <v>16</v>
      </c>
      <c r="C523" s="2" t="s">
        <v>1350</v>
      </c>
      <c r="D523" s="2" t="s">
        <v>1351</v>
      </c>
      <c r="E523" s="2" t="s">
        <v>1352</v>
      </c>
      <c r="F523" s="3">
        <v>3304</v>
      </c>
      <c r="G523" s="3">
        <v>232491</v>
      </c>
      <c r="H523" s="4">
        <v>0</v>
      </c>
      <c r="I523" s="4">
        <v>0</v>
      </c>
      <c r="J523" s="16">
        <f t="shared" si="16"/>
        <v>-1</v>
      </c>
      <c r="K523" s="16" t="str">
        <f t="shared" si="17"/>
        <v>--</v>
      </c>
    </row>
    <row r="524" spans="1:11" ht="19.5" customHeight="1" x14ac:dyDescent="0.25">
      <c r="A524" s="2" t="s">
        <v>1289</v>
      </c>
      <c r="B524" s="2" t="s">
        <v>16</v>
      </c>
      <c r="C524" s="2" t="s">
        <v>1353</v>
      </c>
      <c r="D524" s="2" t="s">
        <v>1354</v>
      </c>
      <c r="E524" s="2" t="s">
        <v>1355</v>
      </c>
      <c r="F524" s="3">
        <v>3458706.41</v>
      </c>
      <c r="G524" s="3">
        <v>7000000</v>
      </c>
      <c r="H524" s="4">
        <v>5000000</v>
      </c>
      <c r="I524" s="4">
        <v>5000000</v>
      </c>
      <c r="J524" s="16">
        <f t="shared" si="16"/>
        <v>-0.2857142857142857</v>
      </c>
      <c r="K524" s="16">
        <f t="shared" si="17"/>
        <v>0</v>
      </c>
    </row>
    <row r="525" spans="1:11" ht="19.5" customHeight="1" x14ac:dyDescent="0.25">
      <c r="A525" s="2" t="s">
        <v>1289</v>
      </c>
      <c r="B525" s="2" t="s">
        <v>16</v>
      </c>
      <c r="C525" s="2" t="s">
        <v>1356</v>
      </c>
      <c r="D525" s="2" t="s">
        <v>1357</v>
      </c>
      <c r="E525" s="2" t="s">
        <v>1358</v>
      </c>
      <c r="F525" s="3">
        <v>1393176.31</v>
      </c>
      <c r="G525" s="3">
        <v>1618122</v>
      </c>
      <c r="H525" s="4">
        <v>1481150</v>
      </c>
      <c r="I525" s="4">
        <v>1481150</v>
      </c>
      <c r="J525" s="16">
        <f t="shared" si="16"/>
        <v>-8.4648747127843316E-2</v>
      </c>
      <c r="K525" s="16">
        <f t="shared" si="17"/>
        <v>0</v>
      </c>
    </row>
    <row r="526" spans="1:11" ht="19.5" customHeight="1" x14ac:dyDescent="0.25">
      <c r="A526" s="2" t="s">
        <v>1289</v>
      </c>
      <c r="B526" s="2" t="s">
        <v>16</v>
      </c>
      <c r="C526" s="2" t="s">
        <v>1359</v>
      </c>
      <c r="D526" s="2" t="s">
        <v>1360</v>
      </c>
      <c r="E526" s="2" t="s">
        <v>1361</v>
      </c>
      <c r="F526" s="3">
        <v>838268.35</v>
      </c>
      <c r="G526" s="3">
        <v>943698</v>
      </c>
      <c r="H526" s="4">
        <v>1166602</v>
      </c>
      <c r="I526" s="4">
        <v>1266602</v>
      </c>
      <c r="J526" s="16">
        <f t="shared" si="16"/>
        <v>0.23620268348560658</v>
      </c>
      <c r="K526" s="16">
        <f t="shared" si="17"/>
        <v>8.5719036998050724E-2</v>
      </c>
    </row>
    <row r="527" spans="1:11" ht="19.5" customHeight="1" x14ac:dyDescent="0.25">
      <c r="A527" s="2" t="s">
        <v>1289</v>
      </c>
      <c r="B527" s="2" t="s">
        <v>16</v>
      </c>
      <c r="C527" s="2" t="s">
        <v>1362</v>
      </c>
      <c r="D527" s="2" t="s">
        <v>1363</v>
      </c>
      <c r="E527" s="2" t="s">
        <v>1364</v>
      </c>
      <c r="F527" s="3">
        <v>389850.36</v>
      </c>
      <c r="G527" s="3">
        <v>717155</v>
      </c>
      <c r="H527" s="4">
        <v>717155</v>
      </c>
      <c r="I527" s="4">
        <v>717155</v>
      </c>
      <c r="J527" s="16">
        <f t="shared" si="16"/>
        <v>0</v>
      </c>
      <c r="K527" s="16">
        <f t="shared" si="17"/>
        <v>0</v>
      </c>
    </row>
    <row r="528" spans="1:11" ht="19.5" customHeight="1" x14ac:dyDescent="0.25">
      <c r="A528" s="2" t="s">
        <v>1289</v>
      </c>
      <c r="B528" s="2" t="s">
        <v>16</v>
      </c>
      <c r="C528" s="2" t="s">
        <v>343</v>
      </c>
      <c r="D528" s="2" t="s">
        <v>1365</v>
      </c>
      <c r="E528" s="2" t="s">
        <v>345</v>
      </c>
      <c r="F528" s="3">
        <v>7454287.3099999996</v>
      </c>
      <c r="G528" s="3">
        <v>14391060</v>
      </c>
      <c r="H528" s="4">
        <v>25000000</v>
      </c>
      <c r="I528" s="4">
        <v>25000000</v>
      </c>
      <c r="J528" s="16">
        <f t="shared" si="16"/>
        <v>0.73718961633125013</v>
      </c>
      <c r="K528" s="16">
        <f t="shared" si="17"/>
        <v>0</v>
      </c>
    </row>
    <row r="529" spans="1:11" ht="19.5" customHeight="1" x14ac:dyDescent="0.25">
      <c r="A529" s="2" t="s">
        <v>1289</v>
      </c>
      <c r="B529" s="2" t="s">
        <v>16</v>
      </c>
      <c r="C529" s="2" t="s">
        <v>1366</v>
      </c>
      <c r="D529" s="8" t="s">
        <v>1367</v>
      </c>
      <c r="E529" s="2" t="s">
        <v>1368</v>
      </c>
      <c r="F529" s="3">
        <v>0</v>
      </c>
      <c r="G529" s="3">
        <v>0</v>
      </c>
      <c r="H529" s="4">
        <v>28600000</v>
      </c>
      <c r="I529" s="4">
        <v>0</v>
      </c>
      <c r="J529" s="16" t="str">
        <f t="shared" si="16"/>
        <v>--</v>
      </c>
      <c r="K529" s="16">
        <f t="shared" si="17"/>
        <v>-1</v>
      </c>
    </row>
    <row r="530" spans="1:11" ht="19.5" customHeight="1" x14ac:dyDescent="0.25">
      <c r="A530" s="2" t="s">
        <v>1289</v>
      </c>
      <c r="B530" s="2" t="s">
        <v>16</v>
      </c>
      <c r="C530" s="2" t="s">
        <v>1366</v>
      </c>
      <c r="D530" s="2" t="s">
        <v>1369</v>
      </c>
      <c r="E530" s="2" t="s">
        <v>1370</v>
      </c>
      <c r="F530" s="3">
        <v>56857109.329999998</v>
      </c>
      <c r="G530" s="3">
        <v>65482330</v>
      </c>
      <c r="H530" s="4">
        <v>65482330</v>
      </c>
      <c r="I530" s="4">
        <v>65482330</v>
      </c>
      <c r="J530" s="16">
        <f t="shared" si="16"/>
        <v>0</v>
      </c>
      <c r="K530" s="16">
        <f t="shared" si="17"/>
        <v>0</v>
      </c>
    </row>
    <row r="531" spans="1:11" ht="19.5" customHeight="1" x14ac:dyDescent="0.25">
      <c r="A531" s="2" t="s">
        <v>1289</v>
      </c>
      <c r="B531" s="2" t="s">
        <v>16</v>
      </c>
      <c r="C531" s="2" t="s">
        <v>1371</v>
      </c>
      <c r="D531" s="2" t="s">
        <v>1372</v>
      </c>
      <c r="E531" s="2" t="s">
        <v>1373</v>
      </c>
      <c r="F531" s="3">
        <v>5667859.1100000003</v>
      </c>
      <c r="G531" s="3">
        <v>6193671</v>
      </c>
      <c r="H531" s="4">
        <v>6193671</v>
      </c>
      <c r="I531" s="4">
        <v>6193671</v>
      </c>
      <c r="J531" s="16">
        <f t="shared" si="16"/>
        <v>0</v>
      </c>
      <c r="K531" s="16">
        <f t="shared" si="17"/>
        <v>0</v>
      </c>
    </row>
    <row r="532" spans="1:11" ht="19.5" customHeight="1" x14ac:dyDescent="0.25">
      <c r="A532" s="2" t="s">
        <v>1289</v>
      </c>
      <c r="B532" s="2" t="s">
        <v>16</v>
      </c>
      <c r="C532" s="2" t="s">
        <v>1371</v>
      </c>
      <c r="D532" s="2" t="s">
        <v>1374</v>
      </c>
      <c r="E532" s="2" t="s">
        <v>1375</v>
      </c>
      <c r="F532" s="3">
        <v>20655741.995000001</v>
      </c>
      <c r="G532" s="3">
        <v>27833504</v>
      </c>
      <c r="H532" s="4">
        <v>34527175</v>
      </c>
      <c r="I532" s="4">
        <v>34007086</v>
      </c>
      <c r="J532" s="16">
        <f t="shared" si="16"/>
        <v>0.24048969903322259</v>
      </c>
      <c r="K532" s="16">
        <f t="shared" si="17"/>
        <v>-1.5063178496358298E-2</v>
      </c>
    </row>
    <row r="533" spans="1:11" ht="19.5" customHeight="1" x14ac:dyDescent="0.25">
      <c r="A533" s="2" t="s">
        <v>1289</v>
      </c>
      <c r="B533" s="2" t="s">
        <v>16</v>
      </c>
      <c r="C533" s="2" t="s">
        <v>1376</v>
      </c>
      <c r="D533" s="2" t="s">
        <v>1377</v>
      </c>
      <c r="E533" s="2" t="s">
        <v>1378</v>
      </c>
      <c r="F533" s="3">
        <v>413657.61</v>
      </c>
      <c r="G533" s="3">
        <v>650000</v>
      </c>
      <c r="H533" s="4">
        <v>650000</v>
      </c>
      <c r="I533" s="4">
        <v>650000</v>
      </c>
      <c r="J533" s="16">
        <f t="shared" si="16"/>
        <v>0</v>
      </c>
      <c r="K533" s="16">
        <f t="shared" si="17"/>
        <v>0</v>
      </c>
    </row>
    <row r="534" spans="1:11" ht="19.5" customHeight="1" x14ac:dyDescent="0.25">
      <c r="A534" s="2" t="s">
        <v>1289</v>
      </c>
      <c r="B534" s="2" t="s">
        <v>16</v>
      </c>
      <c r="C534" s="2" t="s">
        <v>1379</v>
      </c>
      <c r="D534" s="2" t="s">
        <v>1380</v>
      </c>
      <c r="E534" s="2" t="s">
        <v>1381</v>
      </c>
      <c r="F534" s="4">
        <v>832856.4</v>
      </c>
      <c r="G534" s="3">
        <v>966885</v>
      </c>
      <c r="H534" s="4">
        <v>2366885</v>
      </c>
      <c r="I534" s="4">
        <v>966885</v>
      </c>
      <c r="J534" s="16">
        <f t="shared" si="16"/>
        <v>1.4479488253515154</v>
      </c>
      <c r="K534" s="16">
        <f t="shared" si="17"/>
        <v>-0.59149472830323402</v>
      </c>
    </row>
    <row r="535" spans="1:11" ht="19.5" customHeight="1" x14ac:dyDescent="0.25">
      <c r="A535" s="2" t="s">
        <v>1289</v>
      </c>
      <c r="B535" s="2" t="s">
        <v>16</v>
      </c>
      <c r="C535" s="2" t="s">
        <v>1382</v>
      </c>
      <c r="D535" s="2" t="s">
        <v>1383</v>
      </c>
      <c r="E535" s="2" t="s">
        <v>1384</v>
      </c>
      <c r="F535" s="3">
        <v>2159513.34</v>
      </c>
      <c r="G535" s="3">
        <v>2000000</v>
      </c>
      <c r="H535" s="4">
        <v>2000000</v>
      </c>
      <c r="I535" s="4">
        <v>2000000</v>
      </c>
      <c r="J535" s="16">
        <f t="shared" si="16"/>
        <v>0</v>
      </c>
      <c r="K535" s="16">
        <f t="shared" si="17"/>
        <v>0</v>
      </c>
    </row>
    <row r="536" spans="1:11" ht="19.5" customHeight="1" x14ac:dyDescent="0.25">
      <c r="A536" s="2" t="s">
        <v>1289</v>
      </c>
      <c r="B536" s="2" t="s">
        <v>16</v>
      </c>
      <c r="C536" s="2" t="s">
        <v>1385</v>
      </c>
      <c r="D536" s="2" t="s">
        <v>1386</v>
      </c>
      <c r="E536" s="2" t="s">
        <v>1387</v>
      </c>
      <c r="F536" s="3">
        <v>1258883.6200000001</v>
      </c>
      <c r="G536" s="3">
        <v>1500000</v>
      </c>
      <c r="H536" s="4">
        <v>1500000</v>
      </c>
      <c r="I536" s="4">
        <v>1500000</v>
      </c>
      <c r="J536" s="16">
        <f t="shared" si="16"/>
        <v>0</v>
      </c>
      <c r="K536" s="16">
        <f t="shared" si="17"/>
        <v>0</v>
      </c>
    </row>
    <row r="537" spans="1:11" ht="19.5" customHeight="1" x14ac:dyDescent="0.25">
      <c r="A537" s="2" t="s">
        <v>1289</v>
      </c>
      <c r="B537" s="2" t="s">
        <v>16</v>
      </c>
      <c r="C537" s="2" t="s">
        <v>1388</v>
      </c>
      <c r="D537" s="2" t="s">
        <v>1389</v>
      </c>
      <c r="E537" s="2" t="s">
        <v>1390</v>
      </c>
      <c r="F537" s="3">
        <v>21762.46</v>
      </c>
      <c r="G537" s="3">
        <v>140000</v>
      </c>
      <c r="H537" s="4">
        <v>150000</v>
      </c>
      <c r="I537" s="4">
        <v>150000</v>
      </c>
      <c r="J537" s="16">
        <f t="shared" si="16"/>
        <v>7.1428571428571397E-2</v>
      </c>
      <c r="K537" s="16">
        <f t="shared" si="17"/>
        <v>0</v>
      </c>
    </row>
    <row r="538" spans="1:11" ht="19.5" customHeight="1" x14ac:dyDescent="0.25">
      <c r="A538" s="2" t="s">
        <v>1289</v>
      </c>
      <c r="B538" s="2" t="s">
        <v>16</v>
      </c>
      <c r="C538" s="2" t="s">
        <v>1391</v>
      </c>
      <c r="D538" s="2" t="s">
        <v>1392</v>
      </c>
      <c r="E538" s="2" t="s">
        <v>1393</v>
      </c>
      <c r="F538" s="3">
        <v>824389.06</v>
      </c>
      <c r="G538" s="3">
        <v>1200000</v>
      </c>
      <c r="H538" s="4">
        <v>2000000</v>
      </c>
      <c r="I538" s="4">
        <v>2000000</v>
      </c>
      <c r="J538" s="16">
        <f t="shared" si="16"/>
        <v>0.66666666666666674</v>
      </c>
      <c r="K538" s="16">
        <f t="shared" si="17"/>
        <v>0</v>
      </c>
    </row>
    <row r="539" spans="1:11" ht="19.5" customHeight="1" x14ac:dyDescent="0.25">
      <c r="A539" s="2" t="s">
        <v>1289</v>
      </c>
      <c r="B539" s="2" t="s">
        <v>44</v>
      </c>
      <c r="C539" s="2" t="s">
        <v>1394</v>
      </c>
      <c r="D539" s="2" t="s">
        <v>1395</v>
      </c>
      <c r="E539" s="2" t="s">
        <v>1396</v>
      </c>
      <c r="F539" s="3">
        <v>283147</v>
      </c>
      <c r="G539" s="3">
        <v>335000</v>
      </c>
      <c r="H539" s="4">
        <v>335000</v>
      </c>
      <c r="I539" s="4">
        <v>335000</v>
      </c>
      <c r="J539" s="16">
        <f t="shared" si="16"/>
        <v>0</v>
      </c>
      <c r="K539" s="16">
        <f t="shared" si="17"/>
        <v>0</v>
      </c>
    </row>
    <row r="540" spans="1:11" ht="19.5" customHeight="1" x14ac:dyDescent="0.25">
      <c r="A540" s="2" t="s">
        <v>1289</v>
      </c>
      <c r="B540" s="2" t="s">
        <v>44</v>
      </c>
      <c r="C540" s="2" t="s">
        <v>1397</v>
      </c>
      <c r="D540" s="2" t="s">
        <v>1398</v>
      </c>
      <c r="E540" s="2" t="s">
        <v>1399</v>
      </c>
      <c r="F540" s="3">
        <v>749769.95</v>
      </c>
      <c r="G540" s="3">
        <v>350000</v>
      </c>
      <c r="H540" s="4">
        <v>500000</v>
      </c>
      <c r="I540" s="4">
        <v>500000</v>
      </c>
      <c r="J540" s="16">
        <f t="shared" si="16"/>
        <v>0.4285714285714286</v>
      </c>
      <c r="K540" s="16">
        <f t="shared" si="17"/>
        <v>0</v>
      </c>
    </row>
    <row r="541" spans="1:11" ht="19.5" customHeight="1" x14ac:dyDescent="0.25">
      <c r="A541" s="2" t="s">
        <v>1289</v>
      </c>
      <c r="B541" s="2" t="s">
        <v>44</v>
      </c>
      <c r="C541" s="2" t="s">
        <v>1400</v>
      </c>
      <c r="D541" s="2" t="s">
        <v>1401</v>
      </c>
      <c r="E541" s="2" t="s">
        <v>1402</v>
      </c>
      <c r="F541" s="3">
        <v>190489.61</v>
      </c>
      <c r="G541" s="3">
        <v>350000</v>
      </c>
      <c r="H541" s="4">
        <v>125000</v>
      </c>
      <c r="I541" s="4">
        <v>125000</v>
      </c>
      <c r="J541" s="16">
        <f t="shared" si="16"/>
        <v>-0.64285714285714279</v>
      </c>
      <c r="K541" s="16">
        <f t="shared" si="17"/>
        <v>0</v>
      </c>
    </row>
    <row r="542" spans="1:11" ht="19.5" customHeight="1" x14ac:dyDescent="0.25">
      <c r="A542" s="2" t="s">
        <v>1289</v>
      </c>
      <c r="B542" s="2" t="s">
        <v>44</v>
      </c>
      <c r="C542" s="2" t="s">
        <v>1403</v>
      </c>
      <c r="D542" s="2" t="s">
        <v>1404</v>
      </c>
      <c r="E542" s="2" t="s">
        <v>1405</v>
      </c>
      <c r="F542" s="3">
        <v>9887202.8900000006</v>
      </c>
      <c r="G542" s="3">
        <v>20345760</v>
      </c>
      <c r="H542" s="4">
        <v>13825000</v>
      </c>
      <c r="I542" s="4">
        <v>14145000</v>
      </c>
      <c r="J542" s="16">
        <f t="shared" si="16"/>
        <v>-0.32049724365174859</v>
      </c>
      <c r="K542" s="16">
        <f t="shared" si="17"/>
        <v>2.3146473779385168E-2</v>
      </c>
    </row>
    <row r="543" spans="1:11" ht="19.5" customHeight="1" x14ac:dyDescent="0.25">
      <c r="A543" s="2" t="s">
        <v>1289</v>
      </c>
      <c r="B543" s="2" t="s">
        <v>44</v>
      </c>
      <c r="C543" s="2" t="s">
        <v>1406</v>
      </c>
      <c r="D543" s="2" t="s">
        <v>1407</v>
      </c>
      <c r="E543" s="2" t="s">
        <v>1408</v>
      </c>
      <c r="F543" s="3">
        <v>2924296.93</v>
      </c>
      <c r="G543" s="4">
        <v>8674626</v>
      </c>
      <c r="H543" s="4">
        <v>10800000</v>
      </c>
      <c r="I543" s="4">
        <v>10800000</v>
      </c>
      <c r="J543" s="16">
        <f t="shared" si="16"/>
        <v>0.24501044771267377</v>
      </c>
      <c r="K543" s="16">
        <f t="shared" si="17"/>
        <v>0</v>
      </c>
    </row>
    <row r="544" spans="1:11" ht="19.5" customHeight="1" x14ac:dyDescent="0.25">
      <c r="A544" s="2" t="s">
        <v>1289</v>
      </c>
      <c r="B544" s="2" t="s">
        <v>44</v>
      </c>
      <c r="C544" s="2" t="s">
        <v>1409</v>
      </c>
      <c r="D544" s="2" t="s">
        <v>1410</v>
      </c>
      <c r="E544" s="2" t="s">
        <v>1411</v>
      </c>
      <c r="F544" s="3">
        <v>1562378.75</v>
      </c>
      <c r="G544" s="3">
        <v>1769696</v>
      </c>
      <c r="H544" s="4">
        <v>1800000</v>
      </c>
      <c r="I544" s="4">
        <v>1800000</v>
      </c>
      <c r="J544" s="16">
        <f t="shared" si="16"/>
        <v>1.7123844999367144E-2</v>
      </c>
      <c r="K544" s="16">
        <f t="shared" si="17"/>
        <v>0</v>
      </c>
    </row>
    <row r="545" spans="1:11" ht="19.5" customHeight="1" x14ac:dyDescent="0.25">
      <c r="A545" s="2" t="s">
        <v>1289</v>
      </c>
      <c r="B545" s="2" t="s">
        <v>44</v>
      </c>
      <c r="C545" s="2" t="s">
        <v>1412</v>
      </c>
      <c r="D545" s="2" t="s">
        <v>1413</v>
      </c>
      <c r="E545" s="2" t="s">
        <v>1414</v>
      </c>
      <c r="F545" s="3">
        <v>155787.03</v>
      </c>
      <c r="G545" s="3">
        <v>310000</v>
      </c>
      <c r="H545" s="4">
        <v>260000</v>
      </c>
      <c r="I545" s="4">
        <v>260000</v>
      </c>
      <c r="J545" s="16">
        <f t="shared" si="16"/>
        <v>-0.16129032258064513</v>
      </c>
      <c r="K545" s="16">
        <f t="shared" si="17"/>
        <v>0</v>
      </c>
    </row>
    <row r="546" spans="1:11" ht="19.5" customHeight="1" x14ac:dyDescent="0.25">
      <c r="A546" s="2" t="s">
        <v>1289</v>
      </c>
      <c r="B546" s="2" t="s">
        <v>44</v>
      </c>
      <c r="C546" s="2" t="s">
        <v>1415</v>
      </c>
      <c r="D546" s="2" t="s">
        <v>1416</v>
      </c>
      <c r="E546" s="2" t="s">
        <v>1417</v>
      </c>
      <c r="F546" s="3">
        <v>146872.6</v>
      </c>
      <c r="G546" s="3">
        <v>147000</v>
      </c>
      <c r="H546" s="4">
        <v>147000</v>
      </c>
      <c r="I546" s="4">
        <v>147000</v>
      </c>
      <c r="J546" s="16">
        <f t="shared" si="16"/>
        <v>0</v>
      </c>
      <c r="K546" s="16">
        <f t="shared" si="17"/>
        <v>0</v>
      </c>
    </row>
    <row r="547" spans="1:11" ht="19.5" customHeight="1" x14ac:dyDescent="0.25">
      <c r="A547" s="2" t="s">
        <v>1289</v>
      </c>
      <c r="B547" s="2" t="s">
        <v>44</v>
      </c>
      <c r="C547" s="2" t="s">
        <v>1418</v>
      </c>
      <c r="D547" s="2" t="s">
        <v>1419</v>
      </c>
      <c r="E547" s="2" t="s">
        <v>1420</v>
      </c>
      <c r="F547" s="3">
        <v>3583510.81</v>
      </c>
      <c r="G547" s="3">
        <v>2820185</v>
      </c>
      <c r="H547" s="4">
        <v>2820185</v>
      </c>
      <c r="I547" s="4">
        <v>2820185</v>
      </c>
      <c r="J547" s="16">
        <f t="shared" si="16"/>
        <v>0</v>
      </c>
      <c r="K547" s="16">
        <f t="shared" si="17"/>
        <v>0</v>
      </c>
    </row>
    <row r="548" spans="1:11" ht="19.5" customHeight="1" x14ac:dyDescent="0.25">
      <c r="A548" s="2" t="s">
        <v>1289</v>
      </c>
      <c r="B548" s="2" t="s">
        <v>44</v>
      </c>
      <c r="C548" s="2" t="s">
        <v>1421</v>
      </c>
      <c r="D548" s="2" t="s">
        <v>1422</v>
      </c>
      <c r="E548" s="2" t="s">
        <v>1423</v>
      </c>
      <c r="F548" s="3">
        <v>111174.7</v>
      </c>
      <c r="G548" s="3">
        <v>152000</v>
      </c>
      <c r="H548" s="4">
        <v>251310</v>
      </c>
      <c r="I548" s="4">
        <v>264746</v>
      </c>
      <c r="J548" s="16">
        <f t="shared" si="16"/>
        <v>0.65335526315789472</v>
      </c>
      <c r="K548" s="16">
        <f t="shared" si="17"/>
        <v>5.3463849428992072E-2</v>
      </c>
    </row>
    <row r="549" spans="1:11" ht="19.5" customHeight="1" x14ac:dyDescent="0.25">
      <c r="A549" s="2" t="s">
        <v>1289</v>
      </c>
      <c r="B549" s="2" t="s">
        <v>44</v>
      </c>
      <c r="C549" s="2" t="s">
        <v>1424</v>
      </c>
      <c r="D549" s="2" t="s">
        <v>1425</v>
      </c>
      <c r="E549" s="2" t="s">
        <v>1426</v>
      </c>
      <c r="F549" s="3">
        <v>675638.5</v>
      </c>
      <c r="G549" s="4">
        <v>900000</v>
      </c>
      <c r="H549" s="4">
        <v>1000000</v>
      </c>
      <c r="I549" s="4">
        <v>1000000</v>
      </c>
      <c r="J549" s="16">
        <f t="shared" si="16"/>
        <v>0.11111111111111116</v>
      </c>
      <c r="K549" s="16">
        <f t="shared" si="17"/>
        <v>0</v>
      </c>
    </row>
    <row r="550" spans="1:11" ht="19.5" customHeight="1" x14ac:dyDescent="0.25">
      <c r="A550" s="2" t="s">
        <v>1289</v>
      </c>
      <c r="B550" s="2" t="s">
        <v>44</v>
      </c>
      <c r="C550" s="2" t="s">
        <v>1427</v>
      </c>
      <c r="D550" s="2" t="s">
        <v>1428</v>
      </c>
      <c r="E550" s="2" t="s">
        <v>1429</v>
      </c>
      <c r="F550" s="3">
        <v>990259.42</v>
      </c>
      <c r="G550" s="3">
        <v>1852034</v>
      </c>
      <c r="H550" s="4">
        <v>3159175</v>
      </c>
      <c r="I550" s="4">
        <v>3161429</v>
      </c>
      <c r="J550" s="16">
        <f t="shared" si="16"/>
        <v>0.7057867188183371</v>
      </c>
      <c r="K550" s="16">
        <f t="shared" si="17"/>
        <v>7.1347741103289231E-4</v>
      </c>
    </row>
    <row r="551" spans="1:11" ht="19.5" customHeight="1" x14ac:dyDescent="0.25">
      <c r="A551" s="2" t="s">
        <v>1289</v>
      </c>
      <c r="B551" s="2" t="s">
        <v>887</v>
      </c>
      <c r="C551" s="2" t="s">
        <v>1430</v>
      </c>
      <c r="D551" s="2" t="s">
        <v>1431</v>
      </c>
      <c r="E551" s="2" t="s">
        <v>1432</v>
      </c>
      <c r="F551" s="3">
        <v>8009.87</v>
      </c>
      <c r="G551" s="3">
        <v>20219</v>
      </c>
      <c r="H551" s="4">
        <v>20219</v>
      </c>
      <c r="I551" s="4">
        <v>20219</v>
      </c>
      <c r="J551" s="16">
        <f t="shared" si="16"/>
        <v>0</v>
      </c>
      <c r="K551" s="16">
        <f t="shared" si="17"/>
        <v>0</v>
      </c>
    </row>
    <row r="552" spans="1:11" ht="19.5" customHeight="1" x14ac:dyDescent="0.25">
      <c r="A552" s="2" t="s">
        <v>1289</v>
      </c>
      <c r="B552" s="2" t="s">
        <v>54</v>
      </c>
      <c r="C552" s="2" t="s">
        <v>54</v>
      </c>
      <c r="D552" s="2" t="s">
        <v>1433</v>
      </c>
      <c r="E552" s="2" t="s">
        <v>1434</v>
      </c>
      <c r="F552" s="3">
        <v>1773000</v>
      </c>
      <c r="G552" s="3">
        <v>1773000</v>
      </c>
      <c r="H552" s="4">
        <v>1595700</v>
      </c>
      <c r="I552" s="4">
        <v>1595700</v>
      </c>
      <c r="J552" s="16">
        <f t="shared" si="16"/>
        <v>-9.9999999999999978E-2</v>
      </c>
      <c r="K552" s="16">
        <f t="shared" si="17"/>
        <v>0</v>
      </c>
    </row>
    <row r="553" spans="1:11" ht="19.5" customHeight="1" x14ac:dyDescent="0.25">
      <c r="A553" s="2" t="s">
        <v>1289</v>
      </c>
      <c r="B553" s="2" t="s">
        <v>54</v>
      </c>
      <c r="C553" s="2" t="s">
        <v>54</v>
      </c>
      <c r="D553" s="2" t="s">
        <v>1435</v>
      </c>
      <c r="E553" s="2" t="s">
        <v>1436</v>
      </c>
      <c r="F553" s="3">
        <v>47428225.740000002</v>
      </c>
      <c r="G553" s="3">
        <v>48993763</v>
      </c>
      <c r="H553" s="4">
        <v>64000000</v>
      </c>
      <c r="I553" s="4">
        <v>76500000</v>
      </c>
      <c r="J553" s="16">
        <f t="shared" si="16"/>
        <v>0.30628872087249137</v>
      </c>
      <c r="K553" s="16">
        <f t="shared" si="17"/>
        <v>0.1953125</v>
      </c>
    </row>
    <row r="554" spans="1:11" ht="19.5" customHeight="1" x14ac:dyDescent="0.25">
      <c r="A554" s="2" t="s">
        <v>1289</v>
      </c>
      <c r="B554" s="2" t="s">
        <v>54</v>
      </c>
      <c r="C554" s="2" t="s">
        <v>54</v>
      </c>
      <c r="D554" s="2" t="s">
        <v>1437</v>
      </c>
      <c r="E554" s="2" t="s">
        <v>1298</v>
      </c>
      <c r="F554" s="3">
        <v>130950</v>
      </c>
      <c r="G554" s="3">
        <v>130950</v>
      </c>
      <c r="H554" s="4">
        <v>117855</v>
      </c>
      <c r="I554" s="4">
        <v>117855</v>
      </c>
      <c r="J554" s="16">
        <f t="shared" si="16"/>
        <v>-9.9999999999999978E-2</v>
      </c>
      <c r="K554" s="16">
        <f t="shared" si="17"/>
        <v>0</v>
      </c>
    </row>
    <row r="555" spans="1:11" ht="19.5" customHeight="1" x14ac:dyDescent="0.25">
      <c r="A555" s="2" t="s">
        <v>1289</v>
      </c>
      <c r="B555" s="2" t="s">
        <v>54</v>
      </c>
      <c r="C555" s="2" t="s">
        <v>54</v>
      </c>
      <c r="D555" s="2" t="s">
        <v>1438</v>
      </c>
      <c r="E555" s="2" t="s">
        <v>1439</v>
      </c>
      <c r="F555" s="3">
        <v>1024215.49</v>
      </c>
      <c r="G555" s="3">
        <v>1000000</v>
      </c>
      <c r="H555" s="4">
        <v>900000</v>
      </c>
      <c r="I555" s="4">
        <v>900000</v>
      </c>
      <c r="J555" s="16">
        <f t="shared" si="16"/>
        <v>-9.9999999999999978E-2</v>
      </c>
      <c r="K555" s="16">
        <f t="shared" si="17"/>
        <v>0</v>
      </c>
    </row>
    <row r="556" spans="1:11" ht="19.5" customHeight="1" x14ac:dyDescent="0.25">
      <c r="A556" s="2" t="s">
        <v>1289</v>
      </c>
      <c r="B556" s="2" t="s">
        <v>54</v>
      </c>
      <c r="C556" s="2" t="s">
        <v>54</v>
      </c>
      <c r="D556" s="2" t="s">
        <v>1440</v>
      </c>
      <c r="E556" s="2" t="s">
        <v>1441</v>
      </c>
      <c r="F556" s="3">
        <v>2981203.11</v>
      </c>
      <c r="G556" s="3">
        <v>2796340</v>
      </c>
      <c r="H556" s="4">
        <v>2800000</v>
      </c>
      <c r="I556" s="4">
        <v>2900000</v>
      </c>
      <c r="J556" s="16">
        <f t="shared" si="16"/>
        <v>1.3088537159287039E-3</v>
      </c>
      <c r="K556" s="16">
        <f t="shared" si="17"/>
        <v>3.5714285714285809E-2</v>
      </c>
    </row>
    <row r="557" spans="1:11" ht="19.5" customHeight="1" x14ac:dyDescent="0.25">
      <c r="A557" s="2" t="s">
        <v>1289</v>
      </c>
      <c r="B557" s="2" t="s">
        <v>54</v>
      </c>
      <c r="C557" s="2" t="s">
        <v>54</v>
      </c>
      <c r="D557" s="2" t="s">
        <v>1442</v>
      </c>
      <c r="E557" s="2" t="s">
        <v>1121</v>
      </c>
      <c r="F557" s="3">
        <v>2000000</v>
      </c>
      <c r="G557" s="3">
        <v>0</v>
      </c>
      <c r="H557" s="4">
        <v>0</v>
      </c>
      <c r="I557" s="4">
        <v>0</v>
      </c>
      <c r="J557" s="16" t="str">
        <f t="shared" si="16"/>
        <v>--</v>
      </c>
      <c r="K557" s="16" t="str">
        <f t="shared" si="17"/>
        <v>--</v>
      </c>
    </row>
    <row r="558" spans="1:11" ht="19.5" customHeight="1" x14ac:dyDescent="0.25">
      <c r="A558" s="2" t="s">
        <v>1289</v>
      </c>
      <c r="B558" s="2" t="s">
        <v>54</v>
      </c>
      <c r="C558" s="2" t="s">
        <v>54</v>
      </c>
      <c r="D558" s="2" t="s">
        <v>1443</v>
      </c>
      <c r="E558" s="2" t="s">
        <v>1444</v>
      </c>
      <c r="F558" s="3">
        <v>19600843.75</v>
      </c>
      <c r="G558" s="3">
        <v>20314570</v>
      </c>
      <c r="H558" s="4">
        <v>20600000</v>
      </c>
      <c r="I558" s="4">
        <v>23000000</v>
      </c>
      <c r="J558" s="16">
        <f t="shared" si="16"/>
        <v>1.4050506606834379E-2</v>
      </c>
      <c r="K558" s="16">
        <f t="shared" si="17"/>
        <v>0.11650485436893199</v>
      </c>
    </row>
    <row r="559" spans="1:11" ht="19.5" customHeight="1" x14ac:dyDescent="0.25">
      <c r="A559" s="2" t="s">
        <v>1289</v>
      </c>
      <c r="B559" s="2" t="s">
        <v>54</v>
      </c>
      <c r="C559" s="2" t="s">
        <v>54</v>
      </c>
      <c r="D559" s="2" t="s">
        <v>1445</v>
      </c>
      <c r="E559" s="2" t="s">
        <v>1446</v>
      </c>
      <c r="F559" s="3">
        <v>5018345.6500000004</v>
      </c>
      <c r="G559" s="3">
        <v>4965023</v>
      </c>
      <c r="H559" s="4">
        <v>6965023</v>
      </c>
      <c r="I559" s="4">
        <v>6965023</v>
      </c>
      <c r="J559" s="16">
        <f t="shared" si="16"/>
        <v>0.40281787214278775</v>
      </c>
      <c r="K559" s="16">
        <f t="shared" si="17"/>
        <v>0</v>
      </c>
    </row>
    <row r="560" spans="1:11" ht="19.5" customHeight="1" x14ac:dyDescent="0.25">
      <c r="A560" s="2" t="s">
        <v>1289</v>
      </c>
      <c r="B560" s="2" t="s">
        <v>54</v>
      </c>
      <c r="C560" s="2" t="s">
        <v>54</v>
      </c>
      <c r="D560" s="2" t="s">
        <v>1447</v>
      </c>
      <c r="E560" s="2" t="s">
        <v>1448</v>
      </c>
      <c r="F560" s="3">
        <v>175420.89</v>
      </c>
      <c r="G560" s="4">
        <v>0</v>
      </c>
      <c r="H560" s="4">
        <v>181478</v>
      </c>
      <c r="I560" s="4">
        <v>181478</v>
      </c>
      <c r="J560" s="16" t="str">
        <f t="shared" si="16"/>
        <v>--</v>
      </c>
      <c r="K560" s="16">
        <f t="shared" si="17"/>
        <v>0</v>
      </c>
    </row>
    <row r="561" spans="1:11" ht="19.5" customHeight="1" x14ac:dyDescent="0.25">
      <c r="A561" s="2" t="s">
        <v>1289</v>
      </c>
      <c r="B561" s="2" t="s">
        <v>54</v>
      </c>
      <c r="C561" s="2" t="s">
        <v>54</v>
      </c>
      <c r="D561" s="2" t="s">
        <v>1449</v>
      </c>
      <c r="E561" s="2" t="s">
        <v>1450</v>
      </c>
      <c r="F561" s="3">
        <v>37076899.484999999</v>
      </c>
      <c r="G561" s="3">
        <v>37105509</v>
      </c>
      <c r="H561" s="4">
        <v>39829739</v>
      </c>
      <c r="I561" s="4">
        <v>39829739</v>
      </c>
      <c r="J561" s="16">
        <f t="shared" si="16"/>
        <v>7.3418478102537321E-2</v>
      </c>
      <c r="K561" s="16">
        <f t="shared" si="17"/>
        <v>0</v>
      </c>
    </row>
    <row r="562" spans="1:11" ht="19.5" customHeight="1" x14ac:dyDescent="0.25">
      <c r="A562" s="2" t="s">
        <v>1289</v>
      </c>
      <c r="B562" s="2" t="s">
        <v>54</v>
      </c>
      <c r="C562" s="2" t="s">
        <v>54</v>
      </c>
      <c r="D562" s="2" t="s">
        <v>1451</v>
      </c>
      <c r="E562" s="2" t="s">
        <v>1452</v>
      </c>
      <c r="F562" s="3">
        <v>2099871.37</v>
      </c>
      <c r="G562" s="3">
        <v>2035650</v>
      </c>
      <c r="H562" s="4">
        <v>2035650</v>
      </c>
      <c r="I562" s="4">
        <v>2035650</v>
      </c>
      <c r="J562" s="16">
        <f t="shared" si="16"/>
        <v>0</v>
      </c>
      <c r="K562" s="16">
        <f t="shared" si="17"/>
        <v>0</v>
      </c>
    </row>
    <row r="563" spans="1:11" ht="19.5" customHeight="1" x14ac:dyDescent="0.25">
      <c r="A563" s="2" t="s">
        <v>1289</v>
      </c>
      <c r="B563" s="2" t="s">
        <v>54</v>
      </c>
      <c r="C563" s="2" t="s">
        <v>54</v>
      </c>
      <c r="D563" s="2" t="s">
        <v>1453</v>
      </c>
      <c r="E563" s="2" t="s">
        <v>1454</v>
      </c>
      <c r="F563" s="3">
        <v>1659930.02</v>
      </c>
      <c r="G563" s="4">
        <v>1692044</v>
      </c>
      <c r="H563" s="4">
        <v>1692044</v>
      </c>
      <c r="I563" s="4">
        <v>1692044</v>
      </c>
      <c r="J563" s="16">
        <f t="shared" si="16"/>
        <v>0</v>
      </c>
      <c r="K563" s="16">
        <f t="shared" si="17"/>
        <v>0</v>
      </c>
    </row>
    <row r="564" spans="1:11" ht="19.5" customHeight="1" x14ac:dyDescent="0.25">
      <c r="A564" s="2" t="s">
        <v>1289</v>
      </c>
      <c r="B564" s="2" t="s">
        <v>54</v>
      </c>
      <c r="C564" s="2" t="s">
        <v>54</v>
      </c>
      <c r="D564" s="2" t="s">
        <v>1455</v>
      </c>
      <c r="E564" s="2" t="s">
        <v>1456</v>
      </c>
      <c r="F564" s="3">
        <v>726017.75</v>
      </c>
      <c r="G564" s="3">
        <v>728322</v>
      </c>
      <c r="H564" s="4">
        <v>728322</v>
      </c>
      <c r="I564" s="4">
        <v>728322</v>
      </c>
      <c r="J564" s="16">
        <f t="shared" si="16"/>
        <v>0</v>
      </c>
      <c r="K564" s="16">
        <f t="shared" si="17"/>
        <v>0</v>
      </c>
    </row>
    <row r="565" spans="1:11" ht="19.5" customHeight="1" x14ac:dyDescent="0.25">
      <c r="A565" s="2" t="s">
        <v>1289</v>
      </c>
      <c r="B565" s="2" t="s">
        <v>54</v>
      </c>
      <c r="C565" s="2" t="s">
        <v>54</v>
      </c>
      <c r="D565" s="2" t="s">
        <v>1457</v>
      </c>
      <c r="E565" s="2" t="s">
        <v>1458</v>
      </c>
      <c r="F565" s="3">
        <v>2410531.2400000002</v>
      </c>
      <c r="G565" s="3">
        <v>4246134</v>
      </c>
      <c r="H565" s="4">
        <v>3696134</v>
      </c>
      <c r="I565" s="4">
        <v>3696134</v>
      </c>
      <c r="J565" s="16">
        <f t="shared" si="16"/>
        <v>-0.12952959091729088</v>
      </c>
      <c r="K565" s="16">
        <f t="shared" si="17"/>
        <v>0</v>
      </c>
    </row>
    <row r="566" spans="1:11" ht="19.5" customHeight="1" x14ac:dyDescent="0.25">
      <c r="A566" s="2" t="s">
        <v>1289</v>
      </c>
      <c r="B566" s="2" t="s">
        <v>227</v>
      </c>
      <c r="C566" s="2" t="s">
        <v>1459</v>
      </c>
      <c r="D566" s="2" t="s">
        <v>1460</v>
      </c>
      <c r="E566" s="2" t="s">
        <v>1461</v>
      </c>
      <c r="F566" s="3">
        <v>481500</v>
      </c>
      <c r="G566" s="3">
        <v>528993</v>
      </c>
      <c r="H566" s="4">
        <v>554730</v>
      </c>
      <c r="I566" s="4">
        <v>554730</v>
      </c>
      <c r="J566" s="16">
        <f t="shared" si="16"/>
        <v>4.8652817712143692E-2</v>
      </c>
      <c r="K566" s="16">
        <f t="shared" si="17"/>
        <v>0</v>
      </c>
    </row>
    <row r="567" spans="1:11" ht="19.5" customHeight="1" x14ac:dyDescent="0.25">
      <c r="A567" s="2" t="s">
        <v>1289</v>
      </c>
      <c r="B567" s="2" t="s">
        <v>227</v>
      </c>
      <c r="C567" s="2" t="s">
        <v>1462</v>
      </c>
      <c r="D567" s="2" t="s">
        <v>1463</v>
      </c>
      <c r="E567" s="2" t="s">
        <v>1464</v>
      </c>
      <c r="F567" s="3">
        <v>1503466.01</v>
      </c>
      <c r="G567" s="3">
        <v>2400000</v>
      </c>
      <c r="H567" s="4">
        <v>2400000</v>
      </c>
      <c r="I567" s="4">
        <v>2400000</v>
      </c>
      <c r="J567" s="16">
        <f t="shared" si="16"/>
        <v>0</v>
      </c>
      <c r="K567" s="16">
        <f t="shared" si="17"/>
        <v>0</v>
      </c>
    </row>
    <row r="568" spans="1:11" ht="19.5" customHeight="1" x14ac:dyDescent="0.25">
      <c r="A568" s="2" t="s">
        <v>1289</v>
      </c>
      <c r="B568" s="2" t="s">
        <v>243</v>
      </c>
      <c r="C568" s="2" t="s">
        <v>1465</v>
      </c>
      <c r="D568" s="2" t="s">
        <v>1466</v>
      </c>
      <c r="E568" s="2" t="s">
        <v>1467</v>
      </c>
      <c r="F568" s="3">
        <v>1108522.23</v>
      </c>
      <c r="G568" s="3">
        <v>1000439</v>
      </c>
      <c r="H568" s="4">
        <v>1800392</v>
      </c>
      <c r="I568" s="4">
        <v>1625481</v>
      </c>
      <c r="J568" s="16">
        <f t="shared" si="16"/>
        <v>0.79960197473309225</v>
      </c>
      <c r="K568" s="16">
        <f t="shared" si="17"/>
        <v>-9.7151620313798315E-2</v>
      </c>
    </row>
    <row r="569" spans="1:11" ht="19.5" customHeight="1" x14ac:dyDescent="0.25">
      <c r="A569" s="2" t="s">
        <v>1289</v>
      </c>
      <c r="B569" s="2" t="s">
        <v>243</v>
      </c>
      <c r="C569" s="2" t="s">
        <v>1465</v>
      </c>
      <c r="D569" s="2" t="s">
        <v>1468</v>
      </c>
      <c r="E569" s="2" t="s">
        <v>1469</v>
      </c>
      <c r="F569" s="3">
        <v>1401180.97</v>
      </c>
      <c r="G569" s="3">
        <v>3000000</v>
      </c>
      <c r="H569" s="4">
        <v>3000000</v>
      </c>
      <c r="I569" s="4">
        <v>3000000</v>
      </c>
      <c r="J569" s="16">
        <f t="shared" si="16"/>
        <v>0</v>
      </c>
      <c r="K569" s="16">
        <f t="shared" si="17"/>
        <v>0</v>
      </c>
    </row>
    <row r="570" spans="1:11" ht="19.5" customHeight="1" x14ac:dyDescent="0.25">
      <c r="A570" s="2" t="s">
        <v>1289</v>
      </c>
      <c r="B570" s="2" t="s">
        <v>243</v>
      </c>
      <c r="C570" s="2" t="s">
        <v>1470</v>
      </c>
      <c r="D570" s="2" t="s">
        <v>1471</v>
      </c>
      <c r="E570" s="2" t="s">
        <v>1472</v>
      </c>
      <c r="F570" s="3">
        <v>5604389.46</v>
      </c>
      <c r="G570" s="3">
        <v>1492545</v>
      </c>
      <c r="H570" s="4">
        <v>21956264</v>
      </c>
      <c r="I570" s="4">
        <v>22290566</v>
      </c>
      <c r="J570" s="16">
        <f t="shared" si="16"/>
        <v>13.71062112030123</v>
      </c>
      <c r="K570" s="16">
        <f t="shared" si="17"/>
        <v>1.5225814373519997E-2</v>
      </c>
    </row>
    <row r="571" spans="1:11" ht="19.5" customHeight="1" x14ac:dyDescent="0.25">
      <c r="A571" s="2" t="s">
        <v>1289</v>
      </c>
      <c r="B571" s="2" t="s">
        <v>243</v>
      </c>
      <c r="C571" s="2" t="s">
        <v>1473</v>
      </c>
      <c r="D571" s="2" t="s">
        <v>1474</v>
      </c>
      <c r="E571" s="2" t="s">
        <v>1475</v>
      </c>
      <c r="F571" s="3">
        <v>5605466.6699999999</v>
      </c>
      <c r="G571" s="3">
        <v>5970264</v>
      </c>
      <c r="H571" s="4">
        <v>0</v>
      </c>
      <c r="I571" s="4">
        <v>0</v>
      </c>
      <c r="J571" s="16">
        <f t="shared" si="16"/>
        <v>-1</v>
      </c>
      <c r="K571" s="16" t="str">
        <f t="shared" si="17"/>
        <v>--</v>
      </c>
    </row>
    <row r="572" spans="1:11" ht="19.5" customHeight="1" x14ac:dyDescent="0.25">
      <c r="A572" s="2" t="s">
        <v>1289</v>
      </c>
      <c r="B572" s="2" t="s">
        <v>243</v>
      </c>
      <c r="C572" s="2" t="s">
        <v>1476</v>
      </c>
      <c r="D572" s="2" t="s">
        <v>1477</v>
      </c>
      <c r="E572" s="2" t="s">
        <v>1478</v>
      </c>
      <c r="F572" s="3">
        <v>2839170.45</v>
      </c>
      <c r="G572" s="4">
        <v>2976201</v>
      </c>
      <c r="H572" s="4">
        <v>0</v>
      </c>
      <c r="I572" s="4">
        <v>0</v>
      </c>
      <c r="J572" s="16">
        <f t="shared" si="16"/>
        <v>-1</v>
      </c>
      <c r="K572" s="16" t="str">
        <f t="shared" si="17"/>
        <v>--</v>
      </c>
    </row>
    <row r="573" spans="1:11" ht="19.5" customHeight="1" x14ac:dyDescent="0.25">
      <c r="A573" s="2" t="s">
        <v>1289</v>
      </c>
      <c r="B573" s="2" t="s">
        <v>243</v>
      </c>
      <c r="C573" s="2" t="s">
        <v>1479</v>
      </c>
      <c r="D573" s="2" t="s">
        <v>1480</v>
      </c>
      <c r="E573" s="2" t="s">
        <v>1481</v>
      </c>
      <c r="F573" s="3">
        <v>3043867.38</v>
      </c>
      <c r="G573" s="3">
        <v>3381193</v>
      </c>
      <c r="H573" s="4">
        <v>0</v>
      </c>
      <c r="I573" s="4">
        <v>0</v>
      </c>
      <c r="J573" s="16">
        <f t="shared" si="16"/>
        <v>-1</v>
      </c>
      <c r="K573" s="16" t="str">
        <f t="shared" si="17"/>
        <v>--</v>
      </c>
    </row>
    <row r="574" spans="1:11" ht="19.5" customHeight="1" x14ac:dyDescent="0.25">
      <c r="A574" s="2" t="s">
        <v>1289</v>
      </c>
      <c r="B574" s="2" t="s">
        <v>243</v>
      </c>
      <c r="C574" s="2" t="s">
        <v>1482</v>
      </c>
      <c r="D574" s="2" t="s">
        <v>1483</v>
      </c>
      <c r="E574" s="2" t="s">
        <v>1484</v>
      </c>
      <c r="F574" s="4">
        <v>92722.03</v>
      </c>
      <c r="G574" s="3">
        <v>184611</v>
      </c>
      <c r="H574" s="4">
        <v>189611</v>
      </c>
      <c r="I574" s="4">
        <v>189611</v>
      </c>
      <c r="J574" s="16">
        <f t="shared" si="16"/>
        <v>2.7083976577777058E-2</v>
      </c>
      <c r="K574" s="16">
        <f t="shared" si="17"/>
        <v>0</v>
      </c>
    </row>
    <row r="575" spans="1:11" ht="19.5" customHeight="1" x14ac:dyDescent="0.25">
      <c r="A575" s="2" t="s">
        <v>1289</v>
      </c>
      <c r="B575" s="2" t="s">
        <v>243</v>
      </c>
      <c r="C575" s="2" t="s">
        <v>1485</v>
      </c>
      <c r="D575" s="2" t="s">
        <v>1486</v>
      </c>
      <c r="E575" s="2" t="s">
        <v>1487</v>
      </c>
      <c r="F575" s="3">
        <v>3807382.13</v>
      </c>
      <c r="G575" s="3">
        <v>4170445</v>
      </c>
      <c r="H575" s="4">
        <v>0</v>
      </c>
      <c r="I575" s="4">
        <v>0</v>
      </c>
      <c r="J575" s="16">
        <f t="shared" si="16"/>
        <v>-1</v>
      </c>
      <c r="K575" s="16" t="str">
        <f t="shared" si="17"/>
        <v>--</v>
      </c>
    </row>
    <row r="576" spans="1:11" ht="19.5" customHeight="1" x14ac:dyDescent="0.25">
      <c r="A576" s="2" t="s">
        <v>1488</v>
      </c>
      <c r="B576" s="2" t="s">
        <v>16</v>
      </c>
      <c r="C576" s="2" t="s">
        <v>1489</v>
      </c>
      <c r="D576" s="2" t="s">
        <v>1490</v>
      </c>
      <c r="E576" s="2" t="s">
        <v>1491</v>
      </c>
      <c r="F576" s="3">
        <v>24015044.449999999</v>
      </c>
      <c r="G576" s="3">
        <v>29178120</v>
      </c>
      <c r="H576" s="4">
        <v>29178120</v>
      </c>
      <c r="I576" s="4">
        <v>29178120</v>
      </c>
      <c r="J576" s="16">
        <f t="shared" si="16"/>
        <v>0</v>
      </c>
      <c r="K576" s="16">
        <f t="shared" si="17"/>
        <v>0</v>
      </c>
    </row>
    <row r="577" spans="1:11" ht="19.5" customHeight="1" x14ac:dyDescent="0.25">
      <c r="A577" s="2" t="s">
        <v>1488</v>
      </c>
      <c r="B577" s="2" t="s">
        <v>16</v>
      </c>
      <c r="C577" s="2" t="s">
        <v>1492</v>
      </c>
      <c r="D577" s="2" t="s">
        <v>1493</v>
      </c>
      <c r="E577" s="2" t="s">
        <v>1494</v>
      </c>
      <c r="F577" s="3">
        <v>542981.05000000005</v>
      </c>
      <c r="G577" s="3">
        <v>878433</v>
      </c>
      <c r="H577" s="4">
        <v>878433</v>
      </c>
      <c r="I577" s="4">
        <v>878433</v>
      </c>
      <c r="J577" s="16">
        <f t="shared" si="16"/>
        <v>0</v>
      </c>
      <c r="K577" s="16">
        <f t="shared" si="17"/>
        <v>0</v>
      </c>
    </row>
    <row r="578" spans="1:11" ht="19.5" customHeight="1" x14ac:dyDescent="0.25">
      <c r="A578" s="2" t="s">
        <v>1488</v>
      </c>
      <c r="B578" s="2" t="s">
        <v>16</v>
      </c>
      <c r="C578" s="2" t="s">
        <v>1495</v>
      </c>
      <c r="D578" s="2" t="s">
        <v>1496</v>
      </c>
      <c r="E578" s="2" t="s">
        <v>1497</v>
      </c>
      <c r="F578" s="3">
        <v>7107467.7400000002</v>
      </c>
      <c r="G578" s="3">
        <v>8900000</v>
      </c>
      <c r="H578" s="4">
        <v>8900000</v>
      </c>
      <c r="I578" s="4">
        <v>8900000</v>
      </c>
      <c r="J578" s="16">
        <f t="shared" si="16"/>
        <v>0</v>
      </c>
      <c r="K578" s="16">
        <f t="shared" si="17"/>
        <v>0</v>
      </c>
    </row>
    <row r="579" spans="1:11" ht="19.5" customHeight="1" x14ac:dyDescent="0.25">
      <c r="A579" s="2" t="s">
        <v>1488</v>
      </c>
      <c r="B579" s="2" t="s">
        <v>16</v>
      </c>
      <c r="C579" s="2" t="s">
        <v>1498</v>
      </c>
      <c r="D579" s="2" t="s">
        <v>1499</v>
      </c>
      <c r="E579" s="2" t="s">
        <v>1500</v>
      </c>
      <c r="F579" s="3">
        <v>4412853.5999999996</v>
      </c>
      <c r="G579" s="3">
        <v>4500000</v>
      </c>
      <c r="H579" s="4">
        <v>5000000</v>
      </c>
      <c r="I579" s="4">
        <v>5000000</v>
      </c>
      <c r="J579" s="16">
        <f t="shared" ref="J579:J642" si="18">IFERROR(H579/G579-1,"--")</f>
        <v>0.11111111111111116</v>
      </c>
      <c r="K579" s="16">
        <f t="shared" ref="K579:K642" si="19">IFERROR(I579/H579-1,"--")</f>
        <v>0</v>
      </c>
    </row>
    <row r="580" spans="1:11" ht="19.5" customHeight="1" x14ac:dyDescent="0.25">
      <c r="A580" s="2" t="s">
        <v>1488</v>
      </c>
      <c r="B580" s="2" t="s">
        <v>16</v>
      </c>
      <c r="C580" s="2" t="s">
        <v>1501</v>
      </c>
      <c r="D580" s="2" t="s">
        <v>1502</v>
      </c>
      <c r="E580" s="2" t="s">
        <v>1503</v>
      </c>
      <c r="F580" s="3">
        <v>2495920.79</v>
      </c>
      <c r="G580" s="3">
        <v>3311039</v>
      </c>
      <c r="H580" s="4">
        <v>3311039</v>
      </c>
      <c r="I580" s="4">
        <v>3311039</v>
      </c>
      <c r="J580" s="16">
        <f t="shared" si="18"/>
        <v>0</v>
      </c>
      <c r="K580" s="16">
        <f t="shared" si="19"/>
        <v>0</v>
      </c>
    </row>
    <row r="581" spans="1:11" ht="19.5" customHeight="1" x14ac:dyDescent="0.25">
      <c r="A581" s="2" t="s">
        <v>1488</v>
      </c>
      <c r="B581" s="2" t="s">
        <v>16</v>
      </c>
      <c r="C581" s="2" t="s">
        <v>1504</v>
      </c>
      <c r="D581" s="2" t="s">
        <v>1505</v>
      </c>
      <c r="E581" s="2" t="s">
        <v>1506</v>
      </c>
      <c r="F581" s="3">
        <v>850628.97</v>
      </c>
      <c r="G581" s="3">
        <v>1032824</v>
      </c>
      <c r="H581" s="4">
        <v>1032824</v>
      </c>
      <c r="I581" s="4">
        <v>1032824</v>
      </c>
      <c r="J581" s="16">
        <f t="shared" si="18"/>
        <v>0</v>
      </c>
      <c r="K581" s="16">
        <f t="shared" si="19"/>
        <v>0</v>
      </c>
    </row>
    <row r="582" spans="1:11" ht="19.5" customHeight="1" x14ac:dyDescent="0.25">
      <c r="A582" s="2" t="s">
        <v>1488</v>
      </c>
      <c r="B582" s="2" t="s">
        <v>16</v>
      </c>
      <c r="C582" s="2" t="s">
        <v>1507</v>
      </c>
      <c r="D582" s="2" t="s">
        <v>1508</v>
      </c>
      <c r="E582" s="2" t="s">
        <v>1509</v>
      </c>
      <c r="F582" s="3">
        <v>0</v>
      </c>
      <c r="G582" s="3">
        <v>15000</v>
      </c>
      <c r="H582" s="4">
        <v>15000</v>
      </c>
      <c r="I582" s="4">
        <v>15000</v>
      </c>
      <c r="J582" s="16">
        <f t="shared" si="18"/>
        <v>0</v>
      </c>
      <c r="K582" s="16">
        <f t="shared" si="19"/>
        <v>0</v>
      </c>
    </row>
    <row r="583" spans="1:11" ht="19.5" customHeight="1" x14ac:dyDescent="0.25">
      <c r="A583" s="2" t="s">
        <v>1488</v>
      </c>
      <c r="B583" s="2" t="s">
        <v>16</v>
      </c>
      <c r="C583" s="2" t="s">
        <v>1507</v>
      </c>
      <c r="D583" s="2" t="s">
        <v>1510</v>
      </c>
      <c r="E583" s="2" t="s">
        <v>1511</v>
      </c>
      <c r="F583" s="3">
        <v>940</v>
      </c>
      <c r="G583" s="3">
        <v>15000</v>
      </c>
      <c r="H583" s="4">
        <v>15000</v>
      </c>
      <c r="I583" s="4">
        <v>15000</v>
      </c>
      <c r="J583" s="16">
        <f t="shared" si="18"/>
        <v>0</v>
      </c>
      <c r="K583" s="16">
        <f t="shared" si="19"/>
        <v>0</v>
      </c>
    </row>
    <row r="584" spans="1:11" ht="19.5" customHeight="1" x14ac:dyDescent="0.25">
      <c r="A584" s="2" t="s">
        <v>1488</v>
      </c>
      <c r="B584" s="2" t="s">
        <v>16</v>
      </c>
      <c r="C584" s="2" t="s">
        <v>1512</v>
      </c>
      <c r="D584" s="2" t="s">
        <v>1513</v>
      </c>
      <c r="E584" s="2" t="s">
        <v>1514</v>
      </c>
      <c r="F584" s="3">
        <v>29699861.48</v>
      </c>
      <c r="G584" s="3">
        <v>27000000</v>
      </c>
      <c r="H584" s="4">
        <v>38704139</v>
      </c>
      <c r="I584" s="4">
        <v>38719096</v>
      </c>
      <c r="J584" s="16">
        <f t="shared" si="18"/>
        <v>0.43348662962962958</v>
      </c>
      <c r="K584" s="16">
        <f t="shared" si="19"/>
        <v>3.8644445752944456E-4</v>
      </c>
    </row>
    <row r="585" spans="1:11" ht="19.5" customHeight="1" x14ac:dyDescent="0.25">
      <c r="A585" s="2" t="s">
        <v>1488</v>
      </c>
      <c r="B585" s="2" t="s">
        <v>16</v>
      </c>
      <c r="C585" s="2" t="s">
        <v>1515</v>
      </c>
      <c r="D585" s="2" t="s">
        <v>1516</v>
      </c>
      <c r="E585" s="2" t="s">
        <v>1517</v>
      </c>
      <c r="F585" s="3">
        <v>166250</v>
      </c>
      <c r="G585" s="3">
        <v>700000</v>
      </c>
      <c r="H585" s="4">
        <v>700000</v>
      </c>
      <c r="I585" s="4">
        <v>700000</v>
      </c>
      <c r="J585" s="16">
        <f t="shared" si="18"/>
        <v>0</v>
      </c>
      <c r="K585" s="16">
        <f t="shared" si="19"/>
        <v>0</v>
      </c>
    </row>
    <row r="586" spans="1:11" ht="19.5" customHeight="1" x14ac:dyDescent="0.25">
      <c r="A586" s="2" t="s">
        <v>1488</v>
      </c>
      <c r="B586" s="2" t="s">
        <v>16</v>
      </c>
      <c r="C586" s="2" t="s">
        <v>1518</v>
      </c>
      <c r="D586" s="2" t="s">
        <v>1519</v>
      </c>
      <c r="E586" s="2" t="s">
        <v>1520</v>
      </c>
      <c r="F586" s="3">
        <v>3232192.19</v>
      </c>
      <c r="G586" s="3">
        <v>3500000</v>
      </c>
      <c r="H586" s="4">
        <v>2500000</v>
      </c>
      <c r="I586" s="4">
        <v>2500000</v>
      </c>
      <c r="J586" s="16">
        <f t="shared" si="18"/>
        <v>-0.2857142857142857</v>
      </c>
      <c r="K586" s="16">
        <f t="shared" si="19"/>
        <v>0</v>
      </c>
    </row>
    <row r="587" spans="1:11" ht="19.5" customHeight="1" x14ac:dyDescent="0.25">
      <c r="A587" s="2" t="s">
        <v>1488</v>
      </c>
      <c r="B587" s="2" t="s">
        <v>16</v>
      </c>
      <c r="C587" s="2" t="s">
        <v>1521</v>
      </c>
      <c r="D587" s="2" t="s">
        <v>1522</v>
      </c>
      <c r="E587" s="2" t="s">
        <v>1523</v>
      </c>
      <c r="F587" s="3">
        <v>683550.61</v>
      </c>
      <c r="G587" s="3">
        <v>736194</v>
      </c>
      <c r="H587" s="4">
        <v>736194</v>
      </c>
      <c r="I587" s="4">
        <v>736194</v>
      </c>
      <c r="J587" s="16">
        <f t="shared" si="18"/>
        <v>0</v>
      </c>
      <c r="K587" s="16">
        <f t="shared" si="19"/>
        <v>0</v>
      </c>
    </row>
    <row r="588" spans="1:11" ht="19.5" customHeight="1" x14ac:dyDescent="0.25">
      <c r="A588" s="2" t="s">
        <v>1488</v>
      </c>
      <c r="B588" s="2" t="s">
        <v>16</v>
      </c>
      <c r="C588" s="2" t="s">
        <v>1524</v>
      </c>
      <c r="D588" s="2" t="s">
        <v>1525</v>
      </c>
      <c r="E588" s="2" t="s">
        <v>1526</v>
      </c>
      <c r="F588" s="3">
        <v>7333520.2800000003</v>
      </c>
      <c r="G588" s="3">
        <v>12000000</v>
      </c>
      <c r="H588" s="4">
        <v>14500000</v>
      </c>
      <c r="I588" s="4">
        <v>14500000</v>
      </c>
      <c r="J588" s="16">
        <f t="shared" si="18"/>
        <v>0.20833333333333326</v>
      </c>
      <c r="K588" s="16">
        <f t="shared" si="19"/>
        <v>0</v>
      </c>
    </row>
    <row r="589" spans="1:11" ht="19.5" customHeight="1" x14ac:dyDescent="0.25">
      <c r="A589" s="2" t="s">
        <v>1488</v>
      </c>
      <c r="B589" s="2" t="s">
        <v>16</v>
      </c>
      <c r="C589" s="2" t="s">
        <v>1527</v>
      </c>
      <c r="D589" s="2" t="s">
        <v>1528</v>
      </c>
      <c r="E589" s="2" t="s">
        <v>1529</v>
      </c>
      <c r="F589" s="3">
        <v>51266.8</v>
      </c>
      <c r="G589" s="3">
        <v>80000</v>
      </c>
      <c r="H589" s="4">
        <v>80000</v>
      </c>
      <c r="I589" s="4">
        <v>80000</v>
      </c>
      <c r="J589" s="16">
        <f t="shared" si="18"/>
        <v>0</v>
      </c>
      <c r="K589" s="16">
        <f t="shared" si="19"/>
        <v>0</v>
      </c>
    </row>
    <row r="590" spans="1:11" ht="19.5" customHeight="1" x14ac:dyDescent="0.25">
      <c r="A590" s="2" t="s">
        <v>1488</v>
      </c>
      <c r="B590" s="2" t="s">
        <v>16</v>
      </c>
      <c r="C590" s="2" t="s">
        <v>35</v>
      </c>
      <c r="D590" s="2" t="s">
        <v>1530</v>
      </c>
      <c r="E590" s="2" t="s">
        <v>1531</v>
      </c>
      <c r="F590" s="3">
        <v>80918.820000000007</v>
      </c>
      <c r="G590" s="3">
        <v>72110576</v>
      </c>
      <c r="H590" s="4">
        <v>0</v>
      </c>
      <c r="I590" s="4">
        <v>0</v>
      </c>
      <c r="J590" s="16">
        <f t="shared" si="18"/>
        <v>-1</v>
      </c>
      <c r="K590" s="16" t="str">
        <f t="shared" si="19"/>
        <v>--</v>
      </c>
    </row>
    <row r="591" spans="1:11" ht="19.5" customHeight="1" x14ac:dyDescent="0.25">
      <c r="A591" s="2" t="s">
        <v>1488</v>
      </c>
      <c r="B591" s="2" t="s">
        <v>16</v>
      </c>
      <c r="C591" s="2" t="s">
        <v>35</v>
      </c>
      <c r="D591" s="2" t="s">
        <v>1532</v>
      </c>
      <c r="E591" s="2" t="s">
        <v>1533</v>
      </c>
      <c r="F591" s="3">
        <v>11626271</v>
      </c>
      <c r="G591" s="3">
        <v>144465883</v>
      </c>
      <c r="H591" s="4">
        <v>4200000</v>
      </c>
      <c r="I591" s="4">
        <v>0</v>
      </c>
      <c r="J591" s="16">
        <f t="shared" si="18"/>
        <v>-0.97092739190193433</v>
      </c>
      <c r="K591" s="16">
        <f t="shared" si="19"/>
        <v>-1</v>
      </c>
    </row>
    <row r="592" spans="1:11" ht="19.5" customHeight="1" x14ac:dyDescent="0.25">
      <c r="A592" s="2" t="s">
        <v>1488</v>
      </c>
      <c r="B592" s="2" t="s">
        <v>16</v>
      </c>
      <c r="C592" s="2" t="s">
        <v>35</v>
      </c>
      <c r="D592" s="2" t="s">
        <v>1534</v>
      </c>
      <c r="E592" s="2" t="s">
        <v>1535</v>
      </c>
      <c r="F592" s="3">
        <v>0</v>
      </c>
      <c r="G592" s="3">
        <v>2700000</v>
      </c>
      <c r="H592" s="4">
        <v>0</v>
      </c>
      <c r="I592" s="4">
        <v>0</v>
      </c>
      <c r="J592" s="16">
        <f t="shared" si="18"/>
        <v>-1</v>
      </c>
      <c r="K592" s="16" t="str">
        <f t="shared" si="19"/>
        <v>--</v>
      </c>
    </row>
    <row r="593" spans="1:11" ht="19.5" customHeight="1" x14ac:dyDescent="0.25">
      <c r="A593" s="2" t="s">
        <v>1488</v>
      </c>
      <c r="B593" s="2" t="s">
        <v>16</v>
      </c>
      <c r="C593" s="2" t="s">
        <v>35</v>
      </c>
      <c r="D593" s="2" t="s">
        <v>1536</v>
      </c>
      <c r="E593" s="2" t="s">
        <v>1537</v>
      </c>
      <c r="F593" s="3">
        <v>0</v>
      </c>
      <c r="G593" s="3">
        <v>68300000</v>
      </c>
      <c r="H593" s="4">
        <v>0</v>
      </c>
      <c r="I593" s="4">
        <v>0</v>
      </c>
      <c r="J593" s="16">
        <f t="shared" si="18"/>
        <v>-1</v>
      </c>
      <c r="K593" s="16" t="str">
        <f t="shared" si="19"/>
        <v>--</v>
      </c>
    </row>
    <row r="594" spans="1:11" ht="19.5" customHeight="1" x14ac:dyDescent="0.25">
      <c r="A594" s="2" t="s">
        <v>1488</v>
      </c>
      <c r="B594" s="2" t="s">
        <v>16</v>
      </c>
      <c r="C594" s="2" t="s">
        <v>35</v>
      </c>
      <c r="D594" s="2" t="s">
        <v>1538</v>
      </c>
      <c r="E594" s="2" t="s">
        <v>1539</v>
      </c>
      <c r="F594" s="3">
        <v>0</v>
      </c>
      <c r="G594" s="3">
        <v>79500000</v>
      </c>
      <c r="H594" s="4">
        <v>0</v>
      </c>
      <c r="I594" s="4">
        <v>0</v>
      </c>
      <c r="J594" s="16">
        <f t="shared" si="18"/>
        <v>-1</v>
      </c>
      <c r="K594" s="16" t="str">
        <f t="shared" si="19"/>
        <v>--</v>
      </c>
    </row>
    <row r="595" spans="1:11" ht="19.5" customHeight="1" x14ac:dyDescent="0.25">
      <c r="A595" s="2" t="s">
        <v>1488</v>
      </c>
      <c r="B595" s="2" t="s">
        <v>16</v>
      </c>
      <c r="C595" s="2" t="s">
        <v>35</v>
      </c>
      <c r="D595" s="2" t="s">
        <v>1540</v>
      </c>
      <c r="E595" s="2" t="s">
        <v>1541</v>
      </c>
      <c r="F595" s="3">
        <v>0</v>
      </c>
      <c r="G595" s="3">
        <v>25000000</v>
      </c>
      <c r="H595" s="4">
        <v>0</v>
      </c>
      <c r="I595" s="4">
        <v>0</v>
      </c>
      <c r="J595" s="16">
        <f t="shared" si="18"/>
        <v>-1</v>
      </c>
      <c r="K595" s="16" t="str">
        <f t="shared" si="19"/>
        <v>--</v>
      </c>
    </row>
    <row r="596" spans="1:11" ht="19.5" customHeight="1" x14ac:dyDescent="0.25">
      <c r="A596" s="2" t="s">
        <v>1488</v>
      </c>
      <c r="B596" s="2" t="s">
        <v>16</v>
      </c>
      <c r="C596" s="2" t="s">
        <v>1542</v>
      </c>
      <c r="D596" s="2" t="s">
        <v>1543</v>
      </c>
      <c r="E596" s="2" t="s">
        <v>1544</v>
      </c>
      <c r="F596" s="3">
        <v>462118.09</v>
      </c>
      <c r="G596" s="3">
        <v>1000000</v>
      </c>
      <c r="H596" s="4">
        <v>1000000</v>
      </c>
      <c r="I596" s="4">
        <v>1000000</v>
      </c>
      <c r="J596" s="16">
        <f t="shared" si="18"/>
        <v>0</v>
      </c>
      <c r="K596" s="16">
        <f t="shared" si="19"/>
        <v>0</v>
      </c>
    </row>
    <row r="597" spans="1:11" ht="19.5" customHeight="1" x14ac:dyDescent="0.25">
      <c r="A597" s="2" t="s">
        <v>1488</v>
      </c>
      <c r="B597" s="2" t="s">
        <v>16</v>
      </c>
      <c r="C597" s="2" t="s">
        <v>1545</v>
      </c>
      <c r="D597" s="2" t="s">
        <v>1546</v>
      </c>
      <c r="E597" s="2" t="s">
        <v>1547</v>
      </c>
      <c r="F597" s="3">
        <v>117759.58</v>
      </c>
      <c r="G597" s="3">
        <v>300000</v>
      </c>
      <c r="H597" s="4">
        <v>280000</v>
      </c>
      <c r="I597" s="4">
        <v>280000</v>
      </c>
      <c r="J597" s="16">
        <f t="shared" si="18"/>
        <v>-6.6666666666666652E-2</v>
      </c>
      <c r="K597" s="16">
        <f t="shared" si="19"/>
        <v>0</v>
      </c>
    </row>
    <row r="598" spans="1:11" ht="19.5" customHeight="1" x14ac:dyDescent="0.25">
      <c r="A598" s="2" t="s">
        <v>1488</v>
      </c>
      <c r="B598" s="2" t="s">
        <v>16</v>
      </c>
      <c r="C598" s="2" t="s">
        <v>1548</v>
      </c>
      <c r="D598" s="2" t="s">
        <v>1549</v>
      </c>
      <c r="E598" s="2" t="s">
        <v>1550</v>
      </c>
      <c r="F598" s="3">
        <v>114491.52</v>
      </c>
      <c r="G598" s="3">
        <v>150000</v>
      </c>
      <c r="H598" s="4">
        <v>100000</v>
      </c>
      <c r="I598" s="4">
        <v>100000</v>
      </c>
      <c r="J598" s="16">
        <f t="shared" si="18"/>
        <v>-0.33333333333333337</v>
      </c>
      <c r="K598" s="16">
        <f t="shared" si="19"/>
        <v>0</v>
      </c>
    </row>
    <row r="599" spans="1:11" ht="19.5" customHeight="1" x14ac:dyDescent="0.25">
      <c r="A599" s="2" t="s">
        <v>1488</v>
      </c>
      <c r="B599" s="2" t="s">
        <v>16</v>
      </c>
      <c r="C599" s="2" t="s">
        <v>1551</v>
      </c>
      <c r="D599" s="2" t="s">
        <v>1552</v>
      </c>
      <c r="E599" s="2" t="s">
        <v>1553</v>
      </c>
      <c r="F599" s="3">
        <v>25096</v>
      </c>
      <c r="G599" s="3">
        <v>0</v>
      </c>
      <c r="H599" s="4">
        <v>0</v>
      </c>
      <c r="I599" s="4">
        <v>0</v>
      </c>
      <c r="J599" s="16" t="str">
        <f t="shared" si="18"/>
        <v>--</v>
      </c>
      <c r="K599" s="16" t="str">
        <f t="shared" si="19"/>
        <v>--</v>
      </c>
    </row>
    <row r="600" spans="1:11" ht="19.5" customHeight="1" x14ac:dyDescent="0.25">
      <c r="A600" s="2" t="s">
        <v>1488</v>
      </c>
      <c r="B600" s="2" t="s">
        <v>16</v>
      </c>
      <c r="C600" s="2" t="s">
        <v>1554</v>
      </c>
      <c r="D600" s="2" t="s">
        <v>1555</v>
      </c>
      <c r="E600" s="2" t="s">
        <v>1556</v>
      </c>
      <c r="F600" s="3">
        <v>0</v>
      </c>
      <c r="G600" s="3">
        <v>200000</v>
      </c>
      <c r="H600" s="4">
        <v>500000</v>
      </c>
      <c r="I600" s="4">
        <v>500000</v>
      </c>
      <c r="J600" s="16">
        <f t="shared" si="18"/>
        <v>1.5</v>
      </c>
      <c r="K600" s="16">
        <f t="shared" si="19"/>
        <v>0</v>
      </c>
    </row>
    <row r="601" spans="1:11" ht="19.5" customHeight="1" x14ac:dyDescent="0.25">
      <c r="A601" s="2" t="s">
        <v>1488</v>
      </c>
      <c r="B601" s="2" t="s">
        <v>16</v>
      </c>
      <c r="C601" s="2" t="s">
        <v>1557</v>
      </c>
      <c r="D601" s="2" t="s">
        <v>1558</v>
      </c>
      <c r="E601" s="2" t="s">
        <v>1559</v>
      </c>
      <c r="F601" s="3">
        <v>25596</v>
      </c>
      <c r="G601" s="3">
        <v>100000</v>
      </c>
      <c r="H601" s="4">
        <v>100000</v>
      </c>
      <c r="I601" s="4">
        <v>100000</v>
      </c>
      <c r="J601" s="16">
        <f t="shared" si="18"/>
        <v>0</v>
      </c>
      <c r="K601" s="16">
        <f t="shared" si="19"/>
        <v>0</v>
      </c>
    </row>
    <row r="602" spans="1:11" ht="19.5" customHeight="1" x14ac:dyDescent="0.25">
      <c r="A602" s="2" t="s">
        <v>1488</v>
      </c>
      <c r="B602" s="2" t="s">
        <v>16</v>
      </c>
      <c r="C602" s="2" t="s">
        <v>1560</v>
      </c>
      <c r="D602" s="2" t="s">
        <v>1561</v>
      </c>
      <c r="E602" s="2" t="s">
        <v>1562</v>
      </c>
      <c r="F602" s="3">
        <v>0</v>
      </c>
      <c r="G602" s="3">
        <v>275000</v>
      </c>
      <c r="H602" s="4">
        <v>275000</v>
      </c>
      <c r="I602" s="4">
        <v>275000</v>
      </c>
      <c r="J602" s="16">
        <f t="shared" si="18"/>
        <v>0</v>
      </c>
      <c r="K602" s="16">
        <f t="shared" si="19"/>
        <v>0</v>
      </c>
    </row>
    <row r="603" spans="1:11" ht="19.5" customHeight="1" x14ac:dyDescent="0.25">
      <c r="A603" s="2" t="s">
        <v>1488</v>
      </c>
      <c r="B603" s="2" t="s">
        <v>16</v>
      </c>
      <c r="C603" s="2" t="s">
        <v>1563</v>
      </c>
      <c r="D603" s="2" t="s">
        <v>1564</v>
      </c>
      <c r="E603" s="2" t="s">
        <v>1565</v>
      </c>
      <c r="F603" s="3">
        <v>998912.81</v>
      </c>
      <c r="G603" s="3">
        <v>1000000</v>
      </c>
      <c r="H603" s="4">
        <v>1000000</v>
      </c>
      <c r="I603" s="4">
        <v>1000000</v>
      </c>
      <c r="J603" s="16">
        <f t="shared" si="18"/>
        <v>0</v>
      </c>
      <c r="K603" s="16">
        <f t="shared" si="19"/>
        <v>0</v>
      </c>
    </row>
    <row r="604" spans="1:11" ht="19.5" customHeight="1" x14ac:dyDescent="0.25">
      <c r="A604" s="2" t="s">
        <v>1488</v>
      </c>
      <c r="B604" s="2" t="s">
        <v>16</v>
      </c>
      <c r="C604" s="2" t="s">
        <v>1566</v>
      </c>
      <c r="D604" s="2" t="s">
        <v>1567</v>
      </c>
      <c r="E604" s="2" t="s">
        <v>1568</v>
      </c>
      <c r="F604" s="3">
        <v>1000000</v>
      </c>
      <c r="G604" s="3">
        <v>0</v>
      </c>
      <c r="H604" s="4">
        <v>0</v>
      </c>
      <c r="I604" s="4">
        <v>0</v>
      </c>
      <c r="J604" s="16" t="str">
        <f t="shared" si="18"/>
        <v>--</v>
      </c>
      <c r="K604" s="16" t="str">
        <f t="shared" si="19"/>
        <v>--</v>
      </c>
    </row>
    <row r="605" spans="1:11" ht="19.5" customHeight="1" x14ac:dyDescent="0.25">
      <c r="A605" s="2" t="s">
        <v>1488</v>
      </c>
      <c r="B605" s="2" t="s">
        <v>16</v>
      </c>
      <c r="C605" s="2" t="s">
        <v>1569</v>
      </c>
      <c r="D605" s="2" t="s">
        <v>1570</v>
      </c>
      <c r="E605" s="2" t="s">
        <v>1571</v>
      </c>
      <c r="F605" s="3">
        <v>1730.56</v>
      </c>
      <c r="G605" s="3">
        <v>200000</v>
      </c>
      <c r="H605" s="4">
        <v>275000</v>
      </c>
      <c r="I605" s="4">
        <v>275000</v>
      </c>
      <c r="J605" s="16">
        <f t="shared" si="18"/>
        <v>0.375</v>
      </c>
      <c r="K605" s="16">
        <f t="shared" si="19"/>
        <v>0</v>
      </c>
    </row>
    <row r="606" spans="1:11" ht="19.5" customHeight="1" x14ac:dyDescent="0.25">
      <c r="A606" s="2" t="s">
        <v>1488</v>
      </c>
      <c r="B606" s="2" t="s">
        <v>16</v>
      </c>
      <c r="C606" s="2" t="s">
        <v>1572</v>
      </c>
      <c r="D606" s="2" t="s">
        <v>1573</v>
      </c>
      <c r="E606" s="2" t="s">
        <v>1574</v>
      </c>
      <c r="F606" s="3">
        <v>1202556.3</v>
      </c>
      <c r="G606" s="3">
        <v>1300000</v>
      </c>
      <c r="H606" s="4">
        <v>1300000</v>
      </c>
      <c r="I606" s="4">
        <v>1300000</v>
      </c>
      <c r="J606" s="16">
        <f t="shared" si="18"/>
        <v>0</v>
      </c>
      <c r="K606" s="16">
        <f t="shared" si="19"/>
        <v>0</v>
      </c>
    </row>
    <row r="607" spans="1:11" ht="19.5" customHeight="1" x14ac:dyDescent="0.25">
      <c r="A607" s="2" t="s">
        <v>1488</v>
      </c>
      <c r="B607" s="2" t="s">
        <v>16</v>
      </c>
      <c r="C607" s="2" t="s">
        <v>1575</v>
      </c>
      <c r="D607" s="2" t="s">
        <v>1576</v>
      </c>
      <c r="E607" s="2" t="s">
        <v>1577</v>
      </c>
      <c r="F607" s="3">
        <v>18802532.48</v>
      </c>
      <c r="G607" s="3">
        <v>24000000</v>
      </c>
      <c r="H607" s="4">
        <v>24000000</v>
      </c>
      <c r="I607" s="4">
        <v>24000000</v>
      </c>
      <c r="J607" s="16">
        <f t="shared" si="18"/>
        <v>0</v>
      </c>
      <c r="K607" s="16">
        <f t="shared" si="19"/>
        <v>0</v>
      </c>
    </row>
    <row r="608" spans="1:11" ht="19.5" customHeight="1" x14ac:dyDescent="0.25">
      <c r="A608" s="2" t="s">
        <v>1488</v>
      </c>
      <c r="B608" s="2" t="s">
        <v>16</v>
      </c>
      <c r="C608" s="2" t="s">
        <v>1578</v>
      </c>
      <c r="D608" s="2" t="s">
        <v>1579</v>
      </c>
      <c r="E608" s="2" t="s">
        <v>1580</v>
      </c>
      <c r="F608" s="3">
        <v>59730.5</v>
      </c>
      <c r="G608" s="3">
        <v>150000</v>
      </c>
      <c r="H608" s="4">
        <v>125000</v>
      </c>
      <c r="I608" s="4">
        <v>125000</v>
      </c>
      <c r="J608" s="16">
        <f t="shared" si="18"/>
        <v>-0.16666666666666663</v>
      </c>
      <c r="K608" s="16">
        <f t="shared" si="19"/>
        <v>0</v>
      </c>
    </row>
    <row r="609" spans="1:11" ht="19.5" customHeight="1" x14ac:dyDescent="0.25">
      <c r="A609" s="2" t="s">
        <v>1488</v>
      </c>
      <c r="B609" s="2" t="s">
        <v>16</v>
      </c>
      <c r="C609" s="2" t="s">
        <v>1581</v>
      </c>
      <c r="D609" s="2" t="s">
        <v>1582</v>
      </c>
      <c r="E609" s="2" t="s">
        <v>1583</v>
      </c>
      <c r="F609" s="3">
        <v>0</v>
      </c>
      <c r="G609" s="3">
        <v>0</v>
      </c>
      <c r="H609" s="4">
        <v>0</v>
      </c>
      <c r="I609" s="4">
        <v>0</v>
      </c>
      <c r="J609" s="16" t="str">
        <f t="shared" si="18"/>
        <v>--</v>
      </c>
      <c r="K609" s="16" t="str">
        <f t="shared" si="19"/>
        <v>--</v>
      </c>
    </row>
    <row r="610" spans="1:11" ht="19.5" customHeight="1" x14ac:dyDescent="0.25">
      <c r="A610" s="2" t="s">
        <v>1488</v>
      </c>
      <c r="B610" s="2" t="s">
        <v>44</v>
      </c>
      <c r="C610" s="2" t="s">
        <v>1584</v>
      </c>
      <c r="D610" s="2" t="s">
        <v>1585</v>
      </c>
      <c r="E610" s="2" t="s">
        <v>1586</v>
      </c>
      <c r="F610" s="3">
        <v>20080162.210000001</v>
      </c>
      <c r="G610" s="3">
        <v>25000000</v>
      </c>
      <c r="H610" s="4">
        <v>25000000</v>
      </c>
      <c r="I610" s="4">
        <v>25000000</v>
      </c>
      <c r="J610" s="16">
        <f t="shared" si="18"/>
        <v>0</v>
      </c>
      <c r="K610" s="16">
        <f t="shared" si="19"/>
        <v>0</v>
      </c>
    </row>
    <row r="611" spans="1:11" ht="19.5" customHeight="1" x14ac:dyDescent="0.25">
      <c r="A611" s="2" t="s">
        <v>1488</v>
      </c>
      <c r="B611" s="2" t="s">
        <v>44</v>
      </c>
      <c r="C611" s="2" t="s">
        <v>1587</v>
      </c>
      <c r="D611" s="2" t="s">
        <v>1588</v>
      </c>
      <c r="E611" s="2" t="s">
        <v>1589</v>
      </c>
      <c r="F611" s="3">
        <v>8489690.3399999999</v>
      </c>
      <c r="G611" s="4">
        <v>9750000</v>
      </c>
      <c r="H611" s="4">
        <v>9750000</v>
      </c>
      <c r="I611" s="4">
        <v>9750000</v>
      </c>
      <c r="J611" s="16">
        <f t="shared" si="18"/>
        <v>0</v>
      </c>
      <c r="K611" s="16">
        <f t="shared" si="19"/>
        <v>0</v>
      </c>
    </row>
    <row r="612" spans="1:11" ht="19.5" customHeight="1" x14ac:dyDescent="0.25">
      <c r="A612" s="2" t="s">
        <v>1488</v>
      </c>
      <c r="B612" s="2" t="s">
        <v>44</v>
      </c>
      <c r="C612" s="2" t="s">
        <v>1590</v>
      </c>
      <c r="D612" s="2" t="s">
        <v>1591</v>
      </c>
      <c r="E612" s="2" t="s">
        <v>1592</v>
      </c>
      <c r="F612" s="3">
        <v>184587042.25999999</v>
      </c>
      <c r="G612" s="3">
        <v>220000000</v>
      </c>
      <c r="H612" s="4">
        <v>220000000</v>
      </c>
      <c r="I612" s="4">
        <v>220000000</v>
      </c>
      <c r="J612" s="16">
        <f t="shared" si="18"/>
        <v>0</v>
      </c>
      <c r="K612" s="16">
        <f t="shared" si="19"/>
        <v>0</v>
      </c>
    </row>
    <row r="613" spans="1:11" ht="19.5" customHeight="1" x14ac:dyDescent="0.25">
      <c r="A613" s="2" t="s">
        <v>1488</v>
      </c>
      <c r="B613" s="2" t="s">
        <v>44</v>
      </c>
      <c r="C613" s="2" t="s">
        <v>1593</v>
      </c>
      <c r="D613" s="2" t="s">
        <v>1594</v>
      </c>
      <c r="E613" s="2" t="s">
        <v>1595</v>
      </c>
      <c r="F613" s="3">
        <v>16491471</v>
      </c>
      <c r="G613" s="3">
        <v>17500000</v>
      </c>
      <c r="H613" s="4">
        <v>19300000</v>
      </c>
      <c r="I613" s="4">
        <v>19300000</v>
      </c>
      <c r="J613" s="16">
        <f t="shared" si="18"/>
        <v>0.10285714285714276</v>
      </c>
      <c r="K613" s="16">
        <f t="shared" si="19"/>
        <v>0</v>
      </c>
    </row>
    <row r="614" spans="1:11" ht="19.5" customHeight="1" x14ac:dyDescent="0.25">
      <c r="A614" s="2" t="s">
        <v>1488</v>
      </c>
      <c r="B614" s="2" t="s">
        <v>44</v>
      </c>
      <c r="C614" s="2" t="s">
        <v>1596</v>
      </c>
      <c r="D614" s="2" t="s">
        <v>1597</v>
      </c>
      <c r="E614" s="2" t="s">
        <v>1598</v>
      </c>
      <c r="F614" s="3">
        <v>99097866.209999993</v>
      </c>
      <c r="G614" s="4">
        <v>95000000</v>
      </c>
      <c r="H614" s="4">
        <v>105000000</v>
      </c>
      <c r="I614" s="4">
        <v>105000000</v>
      </c>
      <c r="J614" s="16">
        <f t="shared" si="18"/>
        <v>0.10526315789473695</v>
      </c>
      <c r="K614" s="16">
        <f t="shared" si="19"/>
        <v>0</v>
      </c>
    </row>
    <row r="615" spans="1:11" ht="19.5" customHeight="1" x14ac:dyDescent="0.25">
      <c r="A615" s="2" t="s">
        <v>1488</v>
      </c>
      <c r="B615" s="2" t="s">
        <v>44</v>
      </c>
      <c r="C615" s="2" t="s">
        <v>1599</v>
      </c>
      <c r="D615" s="2" t="s">
        <v>1600</v>
      </c>
      <c r="E615" s="2" t="s">
        <v>998</v>
      </c>
      <c r="F615" s="3">
        <v>32233414.66</v>
      </c>
      <c r="G615" s="3">
        <v>28540949</v>
      </c>
      <c r="H615" s="4">
        <v>36040949</v>
      </c>
      <c r="I615" s="4">
        <v>36040949</v>
      </c>
      <c r="J615" s="16">
        <f t="shared" si="18"/>
        <v>0.26278033011446111</v>
      </c>
      <c r="K615" s="16">
        <f t="shared" si="19"/>
        <v>0</v>
      </c>
    </row>
    <row r="616" spans="1:11" ht="19.5" customHeight="1" x14ac:dyDescent="0.25">
      <c r="A616" s="2" t="s">
        <v>1488</v>
      </c>
      <c r="B616" s="2" t="s">
        <v>44</v>
      </c>
      <c r="C616" s="2" t="s">
        <v>1601</v>
      </c>
      <c r="D616" s="2" t="s">
        <v>1602</v>
      </c>
      <c r="E616" s="2" t="s">
        <v>1603</v>
      </c>
      <c r="F616" s="3">
        <v>32918468.510000002</v>
      </c>
      <c r="G616" s="3">
        <v>26500000</v>
      </c>
      <c r="H616" s="4">
        <v>26500000</v>
      </c>
      <c r="I616" s="4">
        <v>26500000</v>
      </c>
      <c r="J616" s="16">
        <f t="shared" si="18"/>
        <v>0</v>
      </c>
      <c r="K616" s="16">
        <f t="shared" si="19"/>
        <v>0</v>
      </c>
    </row>
    <row r="617" spans="1:11" ht="19.5" customHeight="1" x14ac:dyDescent="0.25">
      <c r="A617" s="2" t="s">
        <v>1488</v>
      </c>
      <c r="B617" s="2" t="s">
        <v>44</v>
      </c>
      <c r="C617" s="2" t="s">
        <v>1604</v>
      </c>
      <c r="D617" s="2" t="s">
        <v>1605</v>
      </c>
      <c r="E617" s="2" t="s">
        <v>1606</v>
      </c>
      <c r="F617" s="4">
        <v>160364.82999999999</v>
      </c>
      <c r="G617" s="3">
        <v>178400000</v>
      </c>
      <c r="H617" s="4">
        <v>350000000</v>
      </c>
      <c r="I617" s="4">
        <v>150000000</v>
      </c>
      <c r="J617" s="16">
        <f t="shared" si="18"/>
        <v>0.96188340807174888</v>
      </c>
      <c r="K617" s="16">
        <f t="shared" si="19"/>
        <v>-0.5714285714285714</v>
      </c>
    </row>
    <row r="618" spans="1:11" ht="19.5" customHeight="1" x14ac:dyDescent="0.25">
      <c r="A618" s="2" t="s">
        <v>1488</v>
      </c>
      <c r="B618" s="2" t="s">
        <v>44</v>
      </c>
      <c r="C618" s="2" t="s">
        <v>1607</v>
      </c>
      <c r="D618" s="2" t="s">
        <v>1608</v>
      </c>
      <c r="E618" s="2" t="s">
        <v>1609</v>
      </c>
      <c r="F618" s="3">
        <v>0</v>
      </c>
      <c r="G618" s="3">
        <v>125000000</v>
      </c>
      <c r="H618" s="4">
        <v>50000000</v>
      </c>
      <c r="I618" s="4">
        <v>0</v>
      </c>
      <c r="J618" s="16">
        <f t="shared" si="18"/>
        <v>-0.6</v>
      </c>
      <c r="K618" s="16">
        <f t="shared" si="19"/>
        <v>-1</v>
      </c>
    </row>
    <row r="619" spans="1:11" ht="19.5" customHeight="1" x14ac:dyDescent="0.25">
      <c r="A619" s="2" t="s">
        <v>1488</v>
      </c>
      <c r="B619" s="2" t="s">
        <v>54</v>
      </c>
      <c r="C619" s="2" t="s">
        <v>54</v>
      </c>
      <c r="D619" s="2" t="s">
        <v>1610</v>
      </c>
      <c r="E619" s="2" t="s">
        <v>1611</v>
      </c>
      <c r="F619" s="3">
        <v>0</v>
      </c>
      <c r="G619" s="3">
        <v>0</v>
      </c>
      <c r="H619" s="4">
        <v>2379808</v>
      </c>
      <c r="I619" s="4">
        <v>2379808</v>
      </c>
      <c r="J619" s="16" t="str">
        <f t="shared" si="18"/>
        <v>--</v>
      </c>
      <c r="K619" s="16">
        <f t="shared" si="19"/>
        <v>0</v>
      </c>
    </row>
    <row r="620" spans="1:11" ht="19.5" customHeight="1" x14ac:dyDescent="0.25">
      <c r="A620" s="2" t="s">
        <v>1488</v>
      </c>
      <c r="B620" s="2" t="s">
        <v>54</v>
      </c>
      <c r="C620" s="2" t="s">
        <v>54</v>
      </c>
      <c r="D620" s="2" t="s">
        <v>1612</v>
      </c>
      <c r="E620" s="2" t="s">
        <v>1613</v>
      </c>
      <c r="F620" s="3">
        <v>4223696.9000000004</v>
      </c>
      <c r="G620" s="4">
        <v>4303612</v>
      </c>
      <c r="H620" s="4">
        <v>4338612</v>
      </c>
      <c r="I620" s="4">
        <v>4338612</v>
      </c>
      <c r="J620" s="16">
        <f t="shared" si="18"/>
        <v>8.1327034128542142E-3</v>
      </c>
      <c r="K620" s="16">
        <f t="shared" si="19"/>
        <v>0</v>
      </c>
    </row>
    <row r="621" spans="1:11" ht="19.5" customHeight="1" x14ac:dyDescent="0.25">
      <c r="A621" s="2" t="s">
        <v>1488</v>
      </c>
      <c r="B621" s="2" t="s">
        <v>54</v>
      </c>
      <c r="C621" s="2" t="s">
        <v>54</v>
      </c>
      <c r="D621" s="2" t="s">
        <v>1614</v>
      </c>
      <c r="E621" s="2" t="s">
        <v>1615</v>
      </c>
      <c r="F621" s="3">
        <v>1587456.5</v>
      </c>
      <c r="G621" s="3">
        <v>1500000</v>
      </c>
      <c r="H621" s="4">
        <v>1500000</v>
      </c>
      <c r="I621" s="4">
        <v>1500000</v>
      </c>
      <c r="J621" s="16">
        <f t="shared" si="18"/>
        <v>0</v>
      </c>
      <c r="K621" s="16">
        <f t="shared" si="19"/>
        <v>0</v>
      </c>
    </row>
    <row r="622" spans="1:11" ht="19.5" customHeight="1" x14ac:dyDescent="0.25">
      <c r="A622" s="2" t="s">
        <v>1488</v>
      </c>
      <c r="B622" s="2" t="s">
        <v>54</v>
      </c>
      <c r="C622" s="2" t="s">
        <v>54</v>
      </c>
      <c r="D622" s="2" t="s">
        <v>1616</v>
      </c>
      <c r="E622" s="2" t="s">
        <v>1553</v>
      </c>
      <c r="F622" s="3">
        <v>927275.19</v>
      </c>
      <c r="G622" s="3">
        <v>1021131</v>
      </c>
      <c r="H622" s="4">
        <v>1121131</v>
      </c>
      <c r="I622" s="4">
        <v>1121131</v>
      </c>
      <c r="J622" s="16">
        <f t="shared" si="18"/>
        <v>9.7930627901806844E-2</v>
      </c>
      <c r="K622" s="16">
        <f t="shared" si="19"/>
        <v>0</v>
      </c>
    </row>
    <row r="623" spans="1:11" ht="19.5" customHeight="1" x14ac:dyDescent="0.25">
      <c r="A623" s="2" t="s">
        <v>1488</v>
      </c>
      <c r="B623" s="2" t="s">
        <v>54</v>
      </c>
      <c r="C623" s="2" t="s">
        <v>54</v>
      </c>
      <c r="D623" s="2" t="s">
        <v>1617</v>
      </c>
      <c r="E623" s="2" t="s">
        <v>1618</v>
      </c>
      <c r="F623" s="3">
        <v>3660431.43</v>
      </c>
      <c r="G623" s="3">
        <v>3493468</v>
      </c>
      <c r="H623" s="4">
        <v>3493468</v>
      </c>
      <c r="I623" s="4">
        <v>3493468</v>
      </c>
      <c r="J623" s="16">
        <f t="shared" si="18"/>
        <v>0</v>
      </c>
      <c r="K623" s="16">
        <f t="shared" si="19"/>
        <v>0</v>
      </c>
    </row>
    <row r="624" spans="1:11" ht="19.5" customHeight="1" x14ac:dyDescent="0.25">
      <c r="A624" s="2" t="s">
        <v>1488</v>
      </c>
      <c r="B624" s="2" t="s">
        <v>54</v>
      </c>
      <c r="C624" s="2" t="s">
        <v>54</v>
      </c>
      <c r="D624" s="2" t="s">
        <v>1619</v>
      </c>
      <c r="E624" s="2" t="s">
        <v>1620</v>
      </c>
      <c r="F624" s="3">
        <v>3645651.99</v>
      </c>
      <c r="G624" s="3">
        <v>3672005</v>
      </c>
      <c r="H624" s="4">
        <v>3672005</v>
      </c>
      <c r="I624" s="4">
        <v>3672005</v>
      </c>
      <c r="J624" s="16">
        <f t="shared" si="18"/>
        <v>0</v>
      </c>
      <c r="K624" s="16">
        <f t="shared" si="19"/>
        <v>0</v>
      </c>
    </row>
    <row r="625" spans="1:11" ht="19.5" customHeight="1" x14ac:dyDescent="0.25">
      <c r="A625" s="2" t="s">
        <v>1488</v>
      </c>
      <c r="B625" s="2" t="s">
        <v>54</v>
      </c>
      <c r="C625" s="2" t="s">
        <v>54</v>
      </c>
      <c r="D625" s="2" t="s">
        <v>1621</v>
      </c>
      <c r="E625" s="2" t="s">
        <v>1622</v>
      </c>
      <c r="F625" s="3">
        <v>435797.18</v>
      </c>
      <c r="G625" s="3">
        <v>589482</v>
      </c>
      <c r="H625" s="4">
        <v>589482</v>
      </c>
      <c r="I625" s="4">
        <v>589482</v>
      </c>
      <c r="J625" s="16">
        <f t="shared" si="18"/>
        <v>0</v>
      </c>
      <c r="K625" s="16">
        <f t="shared" si="19"/>
        <v>0</v>
      </c>
    </row>
    <row r="626" spans="1:11" ht="19.5" customHeight="1" x14ac:dyDescent="0.25">
      <c r="A626" s="2" t="s">
        <v>1488</v>
      </c>
      <c r="B626" s="2" t="s">
        <v>54</v>
      </c>
      <c r="C626" s="2" t="s">
        <v>54</v>
      </c>
      <c r="D626" s="2" t="s">
        <v>1623</v>
      </c>
      <c r="E626" s="2" t="s">
        <v>1624</v>
      </c>
      <c r="F626" s="3">
        <v>5037731.1100000003</v>
      </c>
      <c r="G626" s="3">
        <v>5084936</v>
      </c>
      <c r="H626" s="4">
        <v>6084936</v>
      </c>
      <c r="I626" s="4">
        <v>6084936</v>
      </c>
      <c r="J626" s="16">
        <f t="shared" si="18"/>
        <v>0.19665930898638639</v>
      </c>
      <c r="K626" s="16">
        <f t="shared" si="19"/>
        <v>0</v>
      </c>
    </row>
    <row r="627" spans="1:11" ht="19.5" customHeight="1" x14ac:dyDescent="0.25">
      <c r="A627" s="2" t="s">
        <v>1488</v>
      </c>
      <c r="B627" s="2" t="s">
        <v>54</v>
      </c>
      <c r="C627" s="2" t="s">
        <v>54</v>
      </c>
      <c r="D627" s="2" t="s">
        <v>1625</v>
      </c>
      <c r="E627" s="2" t="s">
        <v>1626</v>
      </c>
      <c r="F627" s="3">
        <v>2900016.23</v>
      </c>
      <c r="G627" s="3">
        <v>3282341</v>
      </c>
      <c r="H627" s="4">
        <v>2779841</v>
      </c>
      <c r="I627" s="4">
        <v>2779841</v>
      </c>
      <c r="J627" s="16">
        <f t="shared" si="18"/>
        <v>-0.15309195479689652</v>
      </c>
      <c r="K627" s="16">
        <f t="shared" si="19"/>
        <v>0</v>
      </c>
    </row>
    <row r="628" spans="1:11" ht="19.5" customHeight="1" x14ac:dyDescent="0.25">
      <c r="A628" s="2" t="s">
        <v>1488</v>
      </c>
      <c r="B628" s="2" t="s">
        <v>54</v>
      </c>
      <c r="C628" s="2" t="s">
        <v>54</v>
      </c>
      <c r="D628" s="2" t="s">
        <v>1627</v>
      </c>
      <c r="E628" s="2" t="s">
        <v>1628</v>
      </c>
      <c r="F628" s="3">
        <v>29510626.510000002</v>
      </c>
      <c r="G628" s="3">
        <v>39292281</v>
      </c>
      <c r="H628" s="4">
        <v>41242281</v>
      </c>
      <c r="I628" s="4">
        <v>41242281</v>
      </c>
      <c r="J628" s="16">
        <f t="shared" si="18"/>
        <v>4.9628068169419892E-2</v>
      </c>
      <c r="K628" s="16">
        <f t="shared" si="19"/>
        <v>0</v>
      </c>
    </row>
    <row r="629" spans="1:11" ht="19.5" customHeight="1" x14ac:dyDescent="0.25">
      <c r="A629" s="2" t="s">
        <v>1488</v>
      </c>
      <c r="B629" s="2" t="s">
        <v>54</v>
      </c>
      <c r="C629" s="2" t="s">
        <v>54</v>
      </c>
      <c r="D629" s="2" t="s">
        <v>1629</v>
      </c>
      <c r="E629" s="2" t="s">
        <v>1630</v>
      </c>
      <c r="F629" s="3">
        <v>3008636.58</v>
      </c>
      <c r="G629" s="3">
        <v>2686688</v>
      </c>
      <c r="H629" s="4">
        <v>2686688</v>
      </c>
      <c r="I629" s="4">
        <v>2686688</v>
      </c>
      <c r="J629" s="16">
        <f t="shared" si="18"/>
        <v>0</v>
      </c>
      <c r="K629" s="16">
        <f t="shared" si="19"/>
        <v>0</v>
      </c>
    </row>
    <row r="630" spans="1:11" ht="19.5" customHeight="1" x14ac:dyDescent="0.25">
      <c r="A630" s="2" t="s">
        <v>1488</v>
      </c>
      <c r="B630" s="2" t="s">
        <v>54</v>
      </c>
      <c r="C630" s="2" t="s">
        <v>54</v>
      </c>
      <c r="D630" s="2" t="s">
        <v>1631</v>
      </c>
      <c r="E630" s="2" t="s">
        <v>1632</v>
      </c>
      <c r="F630" s="3">
        <v>1200932.3400000001</v>
      </c>
      <c r="G630" s="3">
        <v>1210805</v>
      </c>
      <c r="H630" s="4">
        <v>1210805</v>
      </c>
      <c r="I630" s="4">
        <v>1210805</v>
      </c>
      <c r="J630" s="16">
        <f t="shared" si="18"/>
        <v>0</v>
      </c>
      <c r="K630" s="16">
        <f t="shared" si="19"/>
        <v>0</v>
      </c>
    </row>
    <row r="631" spans="1:11" ht="19.5" customHeight="1" x14ac:dyDescent="0.25">
      <c r="A631" s="2" t="s">
        <v>1488</v>
      </c>
      <c r="B631" s="2" t="s">
        <v>54</v>
      </c>
      <c r="C631" s="2" t="s">
        <v>54</v>
      </c>
      <c r="D631" s="2" t="s">
        <v>1633</v>
      </c>
      <c r="E631" s="2" t="s">
        <v>1634</v>
      </c>
      <c r="F631" s="4">
        <v>6854492.5499999998</v>
      </c>
      <c r="G631" s="3">
        <v>12137292</v>
      </c>
      <c r="H631" s="4">
        <v>17637292</v>
      </c>
      <c r="I631" s="4">
        <v>12137292</v>
      </c>
      <c r="J631" s="16">
        <f t="shared" si="18"/>
        <v>0.45314885725745091</v>
      </c>
      <c r="K631" s="16">
        <f t="shared" si="19"/>
        <v>-0.31183925514188915</v>
      </c>
    </row>
    <row r="632" spans="1:11" ht="19.5" customHeight="1" x14ac:dyDescent="0.25">
      <c r="A632" s="2" t="s">
        <v>1488</v>
      </c>
      <c r="B632" s="2" t="s">
        <v>54</v>
      </c>
      <c r="C632" s="2" t="s">
        <v>54</v>
      </c>
      <c r="D632" s="2" t="s">
        <v>1635</v>
      </c>
      <c r="E632" s="2" t="s">
        <v>1636</v>
      </c>
      <c r="F632" s="3">
        <v>1287771.08</v>
      </c>
      <c r="G632" s="3">
        <v>1431954</v>
      </c>
      <c r="H632" s="4">
        <v>1431954</v>
      </c>
      <c r="I632" s="4">
        <v>1431954</v>
      </c>
      <c r="J632" s="16">
        <f t="shared" si="18"/>
        <v>0</v>
      </c>
      <c r="K632" s="16">
        <f t="shared" si="19"/>
        <v>0</v>
      </c>
    </row>
    <row r="633" spans="1:11" ht="19.5" customHeight="1" x14ac:dyDescent="0.25">
      <c r="A633" s="2" t="s">
        <v>1488</v>
      </c>
      <c r="B633" s="2" t="s">
        <v>54</v>
      </c>
      <c r="C633" s="2" t="s">
        <v>54</v>
      </c>
      <c r="D633" s="2" t="s">
        <v>1637</v>
      </c>
      <c r="E633" s="2" t="s">
        <v>1638</v>
      </c>
      <c r="F633" s="3">
        <v>146692</v>
      </c>
      <c r="G633" s="3">
        <v>193120</v>
      </c>
      <c r="H633" s="4">
        <v>210000</v>
      </c>
      <c r="I633" s="4">
        <v>210000</v>
      </c>
      <c r="J633" s="16">
        <f t="shared" si="18"/>
        <v>8.7406793703396879E-2</v>
      </c>
      <c r="K633" s="16">
        <f t="shared" si="19"/>
        <v>0</v>
      </c>
    </row>
    <row r="634" spans="1:11" ht="19.5" customHeight="1" x14ac:dyDescent="0.25">
      <c r="A634" s="2" t="s">
        <v>1488</v>
      </c>
      <c r="B634" s="2" t="s">
        <v>54</v>
      </c>
      <c r="C634" s="2" t="s">
        <v>54</v>
      </c>
      <c r="D634" s="2" t="s">
        <v>1639</v>
      </c>
      <c r="E634" s="2" t="s">
        <v>1640</v>
      </c>
      <c r="F634" s="3">
        <v>4250943.79</v>
      </c>
      <c r="G634" s="3">
        <v>7898480</v>
      </c>
      <c r="H634" s="4">
        <v>11148480</v>
      </c>
      <c r="I634" s="4">
        <v>7898480</v>
      </c>
      <c r="J634" s="16">
        <f t="shared" si="18"/>
        <v>0.41147157427758252</v>
      </c>
      <c r="K634" s="16">
        <f t="shared" si="19"/>
        <v>-0.29151956141106228</v>
      </c>
    </row>
    <row r="635" spans="1:11" ht="19.5" customHeight="1" x14ac:dyDescent="0.25">
      <c r="A635" s="2" t="s">
        <v>1488</v>
      </c>
      <c r="B635" s="2" t="s">
        <v>54</v>
      </c>
      <c r="C635" s="2" t="s">
        <v>54</v>
      </c>
      <c r="D635" s="2" t="s">
        <v>1641</v>
      </c>
      <c r="E635" s="2" t="s">
        <v>1642</v>
      </c>
      <c r="F635" s="3">
        <v>5275695.01</v>
      </c>
      <c r="G635" s="3">
        <v>4522054</v>
      </c>
      <c r="H635" s="4">
        <v>4522054</v>
      </c>
      <c r="I635" s="4">
        <v>4522054</v>
      </c>
      <c r="J635" s="16">
        <f t="shared" si="18"/>
        <v>0</v>
      </c>
      <c r="K635" s="16">
        <f t="shared" si="19"/>
        <v>0</v>
      </c>
    </row>
    <row r="636" spans="1:11" ht="19.5" customHeight="1" x14ac:dyDescent="0.25">
      <c r="A636" s="2" t="s">
        <v>1488</v>
      </c>
      <c r="B636" s="2" t="s">
        <v>54</v>
      </c>
      <c r="C636" s="2" t="s">
        <v>54</v>
      </c>
      <c r="D636" s="2" t="s">
        <v>1643</v>
      </c>
      <c r="E636" s="2" t="s">
        <v>1644</v>
      </c>
      <c r="F636" s="3">
        <v>404114.25</v>
      </c>
      <c r="G636" s="3">
        <v>313760</v>
      </c>
      <c r="H636" s="4">
        <v>1313760</v>
      </c>
      <c r="I636" s="4">
        <v>1313760</v>
      </c>
      <c r="J636" s="16">
        <f t="shared" si="18"/>
        <v>3.1871494135645078</v>
      </c>
      <c r="K636" s="16">
        <f t="shared" si="19"/>
        <v>0</v>
      </c>
    </row>
    <row r="637" spans="1:11" ht="19.5" customHeight="1" x14ac:dyDescent="0.25">
      <c r="A637" s="6" t="s">
        <v>1488</v>
      </c>
      <c r="B637" s="6" t="s">
        <v>54</v>
      </c>
      <c r="C637" s="6" t="s">
        <v>54</v>
      </c>
      <c r="D637" s="7" t="s">
        <v>1645</v>
      </c>
      <c r="E637" s="6" t="s">
        <v>1646</v>
      </c>
      <c r="F637" s="4">
        <v>0</v>
      </c>
      <c r="G637" s="4">
        <v>0</v>
      </c>
      <c r="H637" s="4">
        <v>125000</v>
      </c>
      <c r="I637" s="4">
        <v>125000</v>
      </c>
      <c r="J637" s="16" t="str">
        <f t="shared" si="18"/>
        <v>--</v>
      </c>
      <c r="K637" s="16">
        <f t="shared" si="19"/>
        <v>0</v>
      </c>
    </row>
    <row r="638" spans="1:11" ht="19.5" customHeight="1" x14ac:dyDescent="0.25">
      <c r="A638" s="2" t="s">
        <v>1488</v>
      </c>
      <c r="B638" s="2" t="s">
        <v>54</v>
      </c>
      <c r="C638" s="2" t="s">
        <v>54</v>
      </c>
      <c r="D638" s="2" t="s">
        <v>1647</v>
      </c>
      <c r="E638" s="2" t="s">
        <v>1648</v>
      </c>
      <c r="F638" s="3">
        <v>11261627.91</v>
      </c>
      <c r="G638" s="3">
        <v>11262451</v>
      </c>
      <c r="H638" s="4">
        <v>11762451</v>
      </c>
      <c r="I638" s="4">
        <v>11762451</v>
      </c>
      <c r="J638" s="16">
        <f t="shared" si="18"/>
        <v>4.4395309688805673E-2</v>
      </c>
      <c r="K638" s="16">
        <f t="shared" si="19"/>
        <v>0</v>
      </c>
    </row>
    <row r="639" spans="1:11" ht="19.5" customHeight="1" x14ac:dyDescent="0.25">
      <c r="A639" s="2" t="s">
        <v>1488</v>
      </c>
      <c r="B639" s="2" t="s">
        <v>54</v>
      </c>
      <c r="C639" s="2" t="s">
        <v>54</v>
      </c>
      <c r="D639" s="2" t="s">
        <v>1649</v>
      </c>
      <c r="E639" s="2" t="s">
        <v>1650</v>
      </c>
      <c r="F639" s="3">
        <v>1109016.1200000001</v>
      </c>
      <c r="G639" s="3">
        <v>2000000</v>
      </c>
      <c r="H639" s="4">
        <v>2000000</v>
      </c>
      <c r="I639" s="4">
        <v>2000000</v>
      </c>
      <c r="J639" s="16">
        <f t="shared" si="18"/>
        <v>0</v>
      </c>
      <c r="K639" s="16">
        <f t="shared" si="19"/>
        <v>0</v>
      </c>
    </row>
    <row r="640" spans="1:11" ht="19.5" customHeight="1" x14ac:dyDescent="0.25">
      <c r="A640" s="2" t="s">
        <v>1488</v>
      </c>
      <c r="B640" s="2" t="s">
        <v>54</v>
      </c>
      <c r="C640" s="2" t="s">
        <v>54</v>
      </c>
      <c r="D640" s="2" t="s">
        <v>1651</v>
      </c>
      <c r="E640" s="2" t="s">
        <v>1652</v>
      </c>
      <c r="F640" s="3">
        <v>150000</v>
      </c>
      <c r="G640" s="3">
        <v>0</v>
      </c>
      <c r="H640" s="4">
        <v>6500000</v>
      </c>
      <c r="I640" s="4">
        <v>6500000</v>
      </c>
      <c r="J640" s="16" t="str">
        <f t="shared" si="18"/>
        <v>--</v>
      </c>
      <c r="K640" s="16">
        <f t="shared" si="19"/>
        <v>0</v>
      </c>
    </row>
    <row r="641" spans="1:11" ht="19.5" customHeight="1" x14ac:dyDescent="0.25">
      <c r="A641" s="2" t="s">
        <v>1488</v>
      </c>
      <c r="B641" s="2" t="s">
        <v>54</v>
      </c>
      <c r="C641" s="2" t="s">
        <v>54</v>
      </c>
      <c r="D641" s="2" t="s">
        <v>1653</v>
      </c>
      <c r="E641" s="2" t="s">
        <v>1654</v>
      </c>
      <c r="F641" s="3">
        <v>20000</v>
      </c>
      <c r="G641" s="3">
        <v>50000</v>
      </c>
      <c r="H641" s="4">
        <v>50000</v>
      </c>
      <c r="I641" s="4">
        <v>50000</v>
      </c>
      <c r="J641" s="16">
        <f t="shared" si="18"/>
        <v>0</v>
      </c>
      <c r="K641" s="16">
        <f t="shared" si="19"/>
        <v>0</v>
      </c>
    </row>
    <row r="642" spans="1:11" ht="19.5" customHeight="1" x14ac:dyDescent="0.25">
      <c r="A642" s="2" t="s">
        <v>1488</v>
      </c>
      <c r="B642" s="2" t="s">
        <v>54</v>
      </c>
      <c r="C642" s="2" t="s">
        <v>54</v>
      </c>
      <c r="D642" s="2" t="s">
        <v>1655</v>
      </c>
      <c r="E642" s="2" t="s">
        <v>1656</v>
      </c>
      <c r="F642" s="3">
        <v>1000000</v>
      </c>
      <c r="G642" s="3">
        <v>1000000</v>
      </c>
      <c r="H642" s="4">
        <v>1000000</v>
      </c>
      <c r="I642" s="4">
        <v>1000000</v>
      </c>
      <c r="J642" s="16">
        <f t="shared" si="18"/>
        <v>0</v>
      </c>
      <c r="K642" s="16">
        <f t="shared" si="19"/>
        <v>0</v>
      </c>
    </row>
    <row r="643" spans="1:11" ht="19.5" customHeight="1" x14ac:dyDescent="0.25">
      <c r="A643" s="2" t="s">
        <v>1488</v>
      </c>
      <c r="B643" s="2" t="s">
        <v>54</v>
      </c>
      <c r="C643" s="2" t="s">
        <v>54</v>
      </c>
      <c r="D643" s="2" t="s">
        <v>1657</v>
      </c>
      <c r="E643" s="2" t="s">
        <v>1658</v>
      </c>
      <c r="F643" s="3">
        <v>1708039.98</v>
      </c>
      <c r="G643" s="3">
        <v>2500000</v>
      </c>
      <c r="H643" s="4">
        <v>3400000</v>
      </c>
      <c r="I643" s="4">
        <v>3400000</v>
      </c>
      <c r="J643" s="16">
        <f t="shared" ref="J643:J706" si="20">IFERROR(H643/G643-1,"--")</f>
        <v>0.3600000000000001</v>
      </c>
      <c r="K643" s="16">
        <f t="shared" ref="K643:K706" si="21">IFERROR(I643/H643-1,"--")</f>
        <v>0</v>
      </c>
    </row>
    <row r="644" spans="1:11" ht="19.5" customHeight="1" x14ac:dyDescent="0.25">
      <c r="A644" s="2" t="s">
        <v>1488</v>
      </c>
      <c r="B644" s="2" t="s">
        <v>54</v>
      </c>
      <c r="C644" s="2" t="s">
        <v>54</v>
      </c>
      <c r="D644" s="2" t="s">
        <v>1659</v>
      </c>
      <c r="E644" s="2" t="s">
        <v>1660</v>
      </c>
      <c r="F644" s="3">
        <v>4210972.9800000004</v>
      </c>
      <c r="G644" s="4">
        <v>4246250</v>
      </c>
      <c r="H644" s="4">
        <v>4246250</v>
      </c>
      <c r="I644" s="4">
        <v>4246250</v>
      </c>
      <c r="J644" s="16">
        <f t="shared" si="20"/>
        <v>0</v>
      </c>
      <c r="K644" s="16">
        <f t="shared" si="21"/>
        <v>0</v>
      </c>
    </row>
    <row r="645" spans="1:11" ht="19.5" customHeight="1" x14ac:dyDescent="0.25">
      <c r="A645" s="2" t="s">
        <v>1488</v>
      </c>
      <c r="B645" s="2" t="s">
        <v>227</v>
      </c>
      <c r="C645" s="2" t="s">
        <v>1661</v>
      </c>
      <c r="D645" s="2" t="s">
        <v>1662</v>
      </c>
      <c r="E645" s="2" t="s">
        <v>1663</v>
      </c>
      <c r="F645" s="3">
        <v>28552.99</v>
      </c>
      <c r="G645" s="3">
        <v>44986</v>
      </c>
      <c r="H645" s="4">
        <v>44986</v>
      </c>
      <c r="I645" s="4">
        <v>44986</v>
      </c>
      <c r="J645" s="16">
        <f t="shared" si="20"/>
        <v>0</v>
      </c>
      <c r="K645" s="16">
        <f t="shared" si="21"/>
        <v>0</v>
      </c>
    </row>
    <row r="646" spans="1:11" ht="19.5" customHeight="1" x14ac:dyDescent="0.25">
      <c r="A646" s="2" t="s">
        <v>1488</v>
      </c>
      <c r="B646" s="2" t="s">
        <v>227</v>
      </c>
      <c r="C646" s="2" t="s">
        <v>1664</v>
      </c>
      <c r="D646" s="2" t="s">
        <v>1665</v>
      </c>
      <c r="E646" s="2" t="s">
        <v>1666</v>
      </c>
      <c r="F646" s="3">
        <v>0</v>
      </c>
      <c r="G646" s="3">
        <v>20000</v>
      </c>
      <c r="H646" s="4">
        <v>20000</v>
      </c>
      <c r="I646" s="4">
        <v>20000</v>
      </c>
      <c r="J646" s="16">
        <f t="shared" si="20"/>
        <v>0</v>
      </c>
      <c r="K646" s="16">
        <f t="shared" si="21"/>
        <v>0</v>
      </c>
    </row>
    <row r="647" spans="1:11" ht="19.5" customHeight="1" x14ac:dyDescent="0.25">
      <c r="A647" s="2" t="s">
        <v>1488</v>
      </c>
      <c r="B647" s="2" t="s">
        <v>1667</v>
      </c>
      <c r="C647" s="2" t="s">
        <v>1668</v>
      </c>
      <c r="D647" s="2" t="s">
        <v>1669</v>
      </c>
      <c r="E647" s="2" t="s">
        <v>1670</v>
      </c>
      <c r="F647" s="3">
        <v>75968.2</v>
      </c>
      <c r="G647" s="3">
        <v>200000</v>
      </c>
      <c r="H647" s="4">
        <v>200000</v>
      </c>
      <c r="I647" s="4">
        <v>200000</v>
      </c>
      <c r="J647" s="16">
        <f t="shared" si="20"/>
        <v>0</v>
      </c>
      <c r="K647" s="16">
        <f t="shared" si="21"/>
        <v>0</v>
      </c>
    </row>
    <row r="648" spans="1:11" ht="19.5" customHeight="1" x14ac:dyDescent="0.25">
      <c r="A648" s="2" t="s">
        <v>1488</v>
      </c>
      <c r="B648" s="2" t="s">
        <v>243</v>
      </c>
      <c r="C648" s="2" t="s">
        <v>1671</v>
      </c>
      <c r="D648" s="2" t="s">
        <v>1672</v>
      </c>
      <c r="E648" s="2" t="s">
        <v>1673</v>
      </c>
      <c r="F648" s="3">
        <v>1828896.63</v>
      </c>
      <c r="G648" s="3">
        <v>5000000</v>
      </c>
      <c r="H648" s="4">
        <v>5000000</v>
      </c>
      <c r="I648" s="4">
        <v>5000000</v>
      </c>
      <c r="J648" s="16">
        <f t="shared" si="20"/>
        <v>0</v>
      </c>
      <c r="K648" s="16">
        <f t="shared" si="21"/>
        <v>0</v>
      </c>
    </row>
    <row r="649" spans="1:11" ht="19.5" customHeight="1" x14ac:dyDescent="0.25">
      <c r="A649" s="2" t="s">
        <v>1488</v>
      </c>
      <c r="B649" s="2" t="s">
        <v>243</v>
      </c>
      <c r="C649" s="2" t="s">
        <v>1674</v>
      </c>
      <c r="D649" s="2" t="s">
        <v>1675</v>
      </c>
      <c r="E649" s="2" t="s">
        <v>1676</v>
      </c>
      <c r="F649" s="3">
        <v>26678822.93</v>
      </c>
      <c r="G649" s="3">
        <v>29500000</v>
      </c>
      <c r="H649" s="4">
        <v>29750000</v>
      </c>
      <c r="I649" s="4">
        <v>29750000</v>
      </c>
      <c r="J649" s="16">
        <f t="shared" si="20"/>
        <v>8.4745762711864181E-3</v>
      </c>
      <c r="K649" s="16">
        <f t="shared" si="21"/>
        <v>0</v>
      </c>
    </row>
    <row r="650" spans="1:11" ht="19.5" customHeight="1" x14ac:dyDescent="0.25">
      <c r="A650" s="2" t="s">
        <v>1677</v>
      </c>
      <c r="B650" s="2" t="s">
        <v>16</v>
      </c>
      <c r="C650" s="2" t="s">
        <v>1678</v>
      </c>
      <c r="D650" s="8" t="s">
        <v>1679</v>
      </c>
      <c r="E650" s="2" t="s">
        <v>1680</v>
      </c>
      <c r="F650" s="3">
        <v>0</v>
      </c>
      <c r="G650" s="3">
        <v>0</v>
      </c>
      <c r="H650" s="4">
        <v>11000000</v>
      </c>
      <c r="I650" s="4">
        <v>12000000</v>
      </c>
      <c r="J650" s="16" t="str">
        <f t="shared" si="20"/>
        <v>--</v>
      </c>
      <c r="K650" s="16">
        <f t="shared" si="21"/>
        <v>9.0909090909090828E-2</v>
      </c>
    </row>
    <row r="651" spans="1:11" ht="19.5" customHeight="1" x14ac:dyDescent="0.25">
      <c r="A651" s="2" t="s">
        <v>1677</v>
      </c>
      <c r="B651" s="2" t="s">
        <v>54</v>
      </c>
      <c r="C651" s="2" t="s">
        <v>54</v>
      </c>
      <c r="D651" s="2" t="s">
        <v>1681</v>
      </c>
      <c r="E651" s="2" t="s">
        <v>1682</v>
      </c>
      <c r="F651" s="3">
        <v>65628.210000000006</v>
      </c>
      <c r="G651" s="3">
        <v>25000</v>
      </c>
      <c r="H651" s="4">
        <v>150000</v>
      </c>
      <c r="I651" s="4">
        <v>150000</v>
      </c>
      <c r="J651" s="16">
        <f t="shared" si="20"/>
        <v>5</v>
      </c>
      <c r="K651" s="16">
        <f t="shared" si="21"/>
        <v>0</v>
      </c>
    </row>
    <row r="652" spans="1:11" ht="19.5" customHeight="1" x14ac:dyDescent="0.25">
      <c r="A652" s="2" t="s">
        <v>1677</v>
      </c>
      <c r="B652" s="2" t="s">
        <v>54</v>
      </c>
      <c r="C652" s="2" t="s">
        <v>54</v>
      </c>
      <c r="D652" s="2" t="s">
        <v>1683</v>
      </c>
      <c r="E652" s="2" t="s">
        <v>1684</v>
      </c>
      <c r="F652" s="3">
        <v>1322880.69</v>
      </c>
      <c r="G652" s="3">
        <v>0</v>
      </c>
      <c r="H652" s="4">
        <v>0</v>
      </c>
      <c r="I652" s="4">
        <v>0</v>
      </c>
      <c r="J652" s="16" t="str">
        <f t="shared" si="20"/>
        <v>--</v>
      </c>
      <c r="K652" s="16" t="str">
        <f t="shared" si="21"/>
        <v>--</v>
      </c>
    </row>
    <row r="653" spans="1:11" ht="19.5" customHeight="1" x14ac:dyDescent="0.25">
      <c r="A653" s="2" t="s">
        <v>1677</v>
      </c>
      <c r="B653" s="2" t="s">
        <v>54</v>
      </c>
      <c r="C653" s="2" t="s">
        <v>54</v>
      </c>
      <c r="D653" s="2" t="s">
        <v>1685</v>
      </c>
      <c r="E653" s="2" t="s">
        <v>1684</v>
      </c>
      <c r="F653" s="3">
        <v>0</v>
      </c>
      <c r="G653" s="3">
        <v>0</v>
      </c>
      <c r="H653" s="4">
        <v>0</v>
      </c>
      <c r="I653" s="4">
        <v>0</v>
      </c>
      <c r="J653" s="16" t="str">
        <f t="shared" si="20"/>
        <v>--</v>
      </c>
      <c r="K653" s="16" t="str">
        <f t="shared" si="21"/>
        <v>--</v>
      </c>
    </row>
    <row r="654" spans="1:11" ht="19.5" customHeight="1" x14ac:dyDescent="0.25">
      <c r="A654" s="2" t="s">
        <v>1677</v>
      </c>
      <c r="B654" s="2" t="s">
        <v>54</v>
      </c>
      <c r="C654" s="2" t="s">
        <v>54</v>
      </c>
      <c r="D654" s="2" t="s">
        <v>1686</v>
      </c>
      <c r="E654" s="2" t="s">
        <v>1687</v>
      </c>
      <c r="F654" s="3">
        <v>1927300.09</v>
      </c>
      <c r="G654" s="3">
        <v>1248007</v>
      </c>
      <c r="H654" s="4">
        <v>2000000</v>
      </c>
      <c r="I654" s="4">
        <v>2000000</v>
      </c>
      <c r="J654" s="16">
        <f t="shared" si="20"/>
        <v>0.60255511387356009</v>
      </c>
      <c r="K654" s="16">
        <f t="shared" si="21"/>
        <v>0</v>
      </c>
    </row>
    <row r="655" spans="1:11" ht="19.5" customHeight="1" x14ac:dyDescent="0.25">
      <c r="A655" s="2" t="s">
        <v>1677</v>
      </c>
      <c r="B655" s="2" t="s">
        <v>54</v>
      </c>
      <c r="C655" s="2" t="s">
        <v>54</v>
      </c>
      <c r="D655" s="2" t="s">
        <v>1688</v>
      </c>
      <c r="E655" s="2" t="s">
        <v>1689</v>
      </c>
      <c r="F655" s="3">
        <v>5746673.3300000001</v>
      </c>
      <c r="G655" s="3">
        <v>5434360</v>
      </c>
      <c r="H655" s="4">
        <v>6419687</v>
      </c>
      <c r="I655" s="4">
        <v>7404687</v>
      </c>
      <c r="J655" s="16">
        <f t="shared" si="20"/>
        <v>0.18131426699740172</v>
      </c>
      <c r="K655" s="16">
        <f t="shared" si="21"/>
        <v>0.15343427179549418</v>
      </c>
    </row>
    <row r="656" spans="1:11" ht="19.5" customHeight="1" x14ac:dyDescent="0.25">
      <c r="A656" s="2" t="s">
        <v>1690</v>
      </c>
      <c r="B656" s="2" t="s">
        <v>16</v>
      </c>
      <c r="C656" s="2" t="s">
        <v>1691</v>
      </c>
      <c r="D656" s="2" t="s">
        <v>1692</v>
      </c>
      <c r="E656" s="2" t="s">
        <v>1693</v>
      </c>
      <c r="F656" s="3">
        <v>25630.1</v>
      </c>
      <c r="G656" s="3">
        <v>226500</v>
      </c>
      <c r="H656" s="4">
        <v>226500</v>
      </c>
      <c r="I656" s="4">
        <v>226500</v>
      </c>
      <c r="J656" s="16">
        <f t="shared" si="20"/>
        <v>0</v>
      </c>
      <c r="K656" s="16">
        <f t="shared" si="21"/>
        <v>0</v>
      </c>
    </row>
    <row r="657" spans="1:11" ht="19.5" customHeight="1" x14ac:dyDescent="0.25">
      <c r="A657" s="2" t="s">
        <v>1690</v>
      </c>
      <c r="B657" s="2" t="s">
        <v>16</v>
      </c>
      <c r="C657" s="2" t="s">
        <v>1694</v>
      </c>
      <c r="D657" s="2" t="s">
        <v>1695</v>
      </c>
      <c r="E657" s="2" t="s">
        <v>1696</v>
      </c>
      <c r="F657" s="3">
        <v>470071.09</v>
      </c>
      <c r="G657" s="3">
        <v>562000</v>
      </c>
      <c r="H657" s="4">
        <v>915000</v>
      </c>
      <c r="I657" s="4">
        <v>840000</v>
      </c>
      <c r="J657" s="16">
        <f t="shared" si="20"/>
        <v>0.62811387900355875</v>
      </c>
      <c r="K657" s="16">
        <f t="shared" si="21"/>
        <v>-8.1967213114754078E-2</v>
      </c>
    </row>
    <row r="658" spans="1:11" ht="19.5" customHeight="1" x14ac:dyDescent="0.25">
      <c r="A658" s="2" t="s">
        <v>1690</v>
      </c>
      <c r="B658" s="2" t="s">
        <v>16</v>
      </c>
      <c r="C658" s="2" t="s">
        <v>1697</v>
      </c>
      <c r="D658" s="2" t="s">
        <v>1698</v>
      </c>
      <c r="E658" s="2" t="s">
        <v>1699</v>
      </c>
      <c r="F658" s="3">
        <v>10448610.460000001</v>
      </c>
      <c r="G658" s="3">
        <v>9387655</v>
      </c>
      <c r="H658" s="4">
        <v>1875000</v>
      </c>
      <c r="I658" s="4">
        <v>1875000</v>
      </c>
      <c r="J658" s="16">
        <f t="shared" si="20"/>
        <v>-0.80026960939659586</v>
      </c>
      <c r="K658" s="16">
        <f t="shared" si="21"/>
        <v>0</v>
      </c>
    </row>
    <row r="659" spans="1:11" ht="19.5" customHeight="1" x14ac:dyDescent="0.25">
      <c r="A659" s="2" t="s">
        <v>1690</v>
      </c>
      <c r="B659" s="2" t="s">
        <v>16</v>
      </c>
      <c r="C659" s="2" t="s">
        <v>1700</v>
      </c>
      <c r="D659" s="2" t="s">
        <v>1701</v>
      </c>
      <c r="E659" s="2" t="s">
        <v>1702</v>
      </c>
      <c r="F659" s="3">
        <v>1692873.73</v>
      </c>
      <c r="G659" s="3">
        <v>2035000</v>
      </c>
      <c r="H659" s="4">
        <v>2035000</v>
      </c>
      <c r="I659" s="4">
        <v>2035000</v>
      </c>
      <c r="J659" s="16">
        <f t="shared" si="20"/>
        <v>0</v>
      </c>
      <c r="K659" s="16">
        <f t="shared" si="21"/>
        <v>0</v>
      </c>
    </row>
    <row r="660" spans="1:11" ht="19.5" customHeight="1" x14ac:dyDescent="0.25">
      <c r="A660" s="2" t="s">
        <v>1690</v>
      </c>
      <c r="B660" s="2" t="s">
        <v>16</v>
      </c>
      <c r="C660" s="2" t="s">
        <v>1703</v>
      </c>
      <c r="D660" s="2" t="s">
        <v>1704</v>
      </c>
      <c r="E660" s="2" t="s">
        <v>1705</v>
      </c>
      <c r="F660" s="3">
        <v>528764.81999999995</v>
      </c>
      <c r="G660" s="3">
        <v>550000</v>
      </c>
      <c r="H660" s="4">
        <v>550000</v>
      </c>
      <c r="I660" s="4">
        <v>550000</v>
      </c>
      <c r="J660" s="16">
        <f t="shared" si="20"/>
        <v>0</v>
      </c>
      <c r="K660" s="16">
        <f t="shared" si="21"/>
        <v>0</v>
      </c>
    </row>
    <row r="661" spans="1:11" ht="19.5" customHeight="1" x14ac:dyDescent="0.25">
      <c r="A661" s="2" t="s">
        <v>1690</v>
      </c>
      <c r="B661" s="2" t="s">
        <v>16</v>
      </c>
      <c r="C661" s="2" t="s">
        <v>1703</v>
      </c>
      <c r="D661" s="2" t="s">
        <v>1706</v>
      </c>
      <c r="E661" s="2" t="s">
        <v>1707</v>
      </c>
      <c r="F661" s="3">
        <v>1081995.6499999999</v>
      </c>
      <c r="G661" s="3">
        <v>1550000</v>
      </c>
      <c r="H661" s="4">
        <v>1550000</v>
      </c>
      <c r="I661" s="4">
        <v>1550000</v>
      </c>
      <c r="J661" s="16">
        <f t="shared" si="20"/>
        <v>0</v>
      </c>
      <c r="K661" s="16">
        <f t="shared" si="21"/>
        <v>0</v>
      </c>
    </row>
    <row r="662" spans="1:11" ht="19.5" customHeight="1" x14ac:dyDescent="0.25">
      <c r="A662" s="2" t="s">
        <v>1690</v>
      </c>
      <c r="B662" s="2" t="s">
        <v>16</v>
      </c>
      <c r="C662" s="2" t="s">
        <v>35</v>
      </c>
      <c r="D662" s="2" t="s">
        <v>1708</v>
      </c>
      <c r="E662" s="2" t="s">
        <v>1709</v>
      </c>
      <c r="F662" s="3">
        <v>32896631.469999999</v>
      </c>
      <c r="G662" s="3">
        <v>108975138</v>
      </c>
      <c r="H662" s="4">
        <v>29000000</v>
      </c>
      <c r="I662" s="4">
        <v>0</v>
      </c>
      <c r="J662" s="16">
        <f t="shared" si="20"/>
        <v>-0.73388425532436585</v>
      </c>
      <c r="K662" s="16">
        <f t="shared" si="21"/>
        <v>-1</v>
      </c>
    </row>
    <row r="663" spans="1:11" ht="19.5" customHeight="1" x14ac:dyDescent="0.25">
      <c r="A663" s="2" t="s">
        <v>1690</v>
      </c>
      <c r="B663" s="2" t="s">
        <v>16</v>
      </c>
      <c r="C663" s="2" t="s">
        <v>1710</v>
      </c>
      <c r="D663" s="2" t="s">
        <v>1711</v>
      </c>
      <c r="E663" s="2" t="s">
        <v>1712</v>
      </c>
      <c r="F663" s="3">
        <v>4145523.41</v>
      </c>
      <c r="G663" s="3">
        <v>6000000</v>
      </c>
      <c r="H663" s="4">
        <v>4000000</v>
      </c>
      <c r="I663" s="4">
        <v>4000000</v>
      </c>
      <c r="J663" s="16">
        <f t="shared" si="20"/>
        <v>-0.33333333333333337</v>
      </c>
      <c r="K663" s="16">
        <f t="shared" si="21"/>
        <v>0</v>
      </c>
    </row>
    <row r="664" spans="1:11" ht="19.5" customHeight="1" x14ac:dyDescent="0.25">
      <c r="A664" s="2" t="s">
        <v>1690</v>
      </c>
      <c r="B664" s="2" t="s">
        <v>16</v>
      </c>
      <c r="C664" s="2" t="s">
        <v>1713</v>
      </c>
      <c r="D664" s="2" t="s">
        <v>1714</v>
      </c>
      <c r="E664" s="2" t="s">
        <v>1715</v>
      </c>
      <c r="F664" s="3">
        <v>422800.69</v>
      </c>
      <c r="G664" s="3">
        <v>850946</v>
      </c>
      <c r="H664" s="4">
        <v>850946</v>
      </c>
      <c r="I664" s="4">
        <v>850946</v>
      </c>
      <c r="J664" s="16">
        <f t="shared" si="20"/>
        <v>0</v>
      </c>
      <c r="K664" s="16">
        <f t="shared" si="21"/>
        <v>0</v>
      </c>
    </row>
    <row r="665" spans="1:11" ht="19.5" customHeight="1" x14ac:dyDescent="0.25">
      <c r="A665" s="2" t="s">
        <v>1690</v>
      </c>
      <c r="B665" s="2" t="s">
        <v>16</v>
      </c>
      <c r="C665" s="2" t="s">
        <v>1716</v>
      </c>
      <c r="D665" s="2" t="s">
        <v>1717</v>
      </c>
      <c r="E665" s="2" t="s">
        <v>1718</v>
      </c>
      <c r="F665" s="3">
        <v>68242.05</v>
      </c>
      <c r="G665" s="3">
        <v>80000</v>
      </c>
      <c r="H665" s="4">
        <v>80000</v>
      </c>
      <c r="I665" s="4">
        <v>80000</v>
      </c>
      <c r="J665" s="16">
        <f t="shared" si="20"/>
        <v>0</v>
      </c>
      <c r="K665" s="16">
        <f t="shared" si="21"/>
        <v>0</v>
      </c>
    </row>
    <row r="666" spans="1:11" ht="19.5" customHeight="1" x14ac:dyDescent="0.25">
      <c r="A666" s="2" t="s">
        <v>1690</v>
      </c>
      <c r="B666" s="2" t="s">
        <v>16</v>
      </c>
      <c r="C666" s="2" t="s">
        <v>1719</v>
      </c>
      <c r="D666" s="2" t="s">
        <v>1720</v>
      </c>
      <c r="E666" s="2" t="s">
        <v>1721</v>
      </c>
      <c r="F666" s="3">
        <v>63307.51</v>
      </c>
      <c r="G666" s="3">
        <v>600000</v>
      </c>
      <c r="H666" s="4">
        <v>900000</v>
      </c>
      <c r="I666" s="4">
        <v>900000</v>
      </c>
      <c r="J666" s="16">
        <f t="shared" si="20"/>
        <v>0.5</v>
      </c>
      <c r="K666" s="16">
        <f t="shared" si="21"/>
        <v>0</v>
      </c>
    </row>
    <row r="667" spans="1:11" ht="19.5" customHeight="1" x14ac:dyDescent="0.25">
      <c r="A667" s="2" t="s">
        <v>1690</v>
      </c>
      <c r="B667" s="2" t="s">
        <v>16</v>
      </c>
      <c r="C667" s="2" t="s">
        <v>1722</v>
      </c>
      <c r="D667" s="2" t="s">
        <v>1723</v>
      </c>
      <c r="E667" s="2" t="s">
        <v>1724</v>
      </c>
      <c r="F667" s="3">
        <v>649849.26</v>
      </c>
      <c r="G667" s="3">
        <v>1150000</v>
      </c>
      <c r="H667" s="4">
        <v>1150000</v>
      </c>
      <c r="I667" s="4">
        <v>1150000</v>
      </c>
      <c r="J667" s="16">
        <f t="shared" si="20"/>
        <v>0</v>
      </c>
      <c r="K667" s="16">
        <f t="shared" si="21"/>
        <v>0</v>
      </c>
    </row>
    <row r="668" spans="1:11" ht="19.5" customHeight="1" x14ac:dyDescent="0.25">
      <c r="A668" s="2" t="s">
        <v>1690</v>
      </c>
      <c r="B668" s="2" t="s">
        <v>16</v>
      </c>
      <c r="C668" s="2" t="s">
        <v>1725</v>
      </c>
      <c r="D668" s="2" t="s">
        <v>1726</v>
      </c>
      <c r="E668" s="2" t="s">
        <v>1727</v>
      </c>
      <c r="F668" s="3">
        <v>0</v>
      </c>
      <c r="G668" s="3">
        <v>334529</v>
      </c>
      <c r="H668" s="4">
        <v>0</v>
      </c>
      <c r="I668" s="4">
        <v>0</v>
      </c>
      <c r="J668" s="16">
        <f t="shared" si="20"/>
        <v>-1</v>
      </c>
      <c r="K668" s="16" t="str">
        <f t="shared" si="21"/>
        <v>--</v>
      </c>
    </row>
    <row r="669" spans="1:11" ht="19.5" customHeight="1" x14ac:dyDescent="0.25">
      <c r="A669" s="2" t="s">
        <v>1690</v>
      </c>
      <c r="B669" s="2" t="s">
        <v>16</v>
      </c>
      <c r="C669" s="2" t="s">
        <v>1728</v>
      </c>
      <c r="D669" s="2" t="s">
        <v>1729</v>
      </c>
      <c r="E669" s="2" t="s">
        <v>1730</v>
      </c>
      <c r="F669" s="3">
        <v>0</v>
      </c>
      <c r="G669" s="3">
        <v>5000</v>
      </c>
      <c r="H669" s="4">
        <v>10000</v>
      </c>
      <c r="I669" s="4">
        <v>10000</v>
      </c>
      <c r="J669" s="16">
        <f t="shared" si="20"/>
        <v>1</v>
      </c>
      <c r="K669" s="16">
        <f t="shared" si="21"/>
        <v>0</v>
      </c>
    </row>
    <row r="670" spans="1:11" ht="19.5" customHeight="1" x14ac:dyDescent="0.25">
      <c r="A670" s="2" t="s">
        <v>1690</v>
      </c>
      <c r="B670" s="2" t="s">
        <v>16</v>
      </c>
      <c r="C670" s="2" t="s">
        <v>1731</v>
      </c>
      <c r="D670" s="2" t="s">
        <v>1732</v>
      </c>
      <c r="E670" s="2" t="s">
        <v>1733</v>
      </c>
      <c r="F670" s="3">
        <v>48984.09</v>
      </c>
      <c r="G670" s="3">
        <v>500000</v>
      </c>
      <c r="H670" s="4">
        <v>1000000</v>
      </c>
      <c r="I670" s="4">
        <v>1000000</v>
      </c>
      <c r="J670" s="16">
        <f t="shared" si="20"/>
        <v>1</v>
      </c>
      <c r="K670" s="16">
        <f t="shared" si="21"/>
        <v>0</v>
      </c>
    </row>
    <row r="671" spans="1:11" ht="19.5" customHeight="1" x14ac:dyDescent="0.25">
      <c r="A671" s="2" t="s">
        <v>1690</v>
      </c>
      <c r="B671" s="2" t="s">
        <v>16</v>
      </c>
      <c r="C671" s="2" t="s">
        <v>1734</v>
      </c>
      <c r="D671" s="2" t="s">
        <v>1735</v>
      </c>
      <c r="E671" s="2" t="s">
        <v>275</v>
      </c>
      <c r="F671" s="3">
        <v>988041.21</v>
      </c>
      <c r="G671" s="3">
        <v>1258624</v>
      </c>
      <c r="H671" s="4">
        <v>1368624</v>
      </c>
      <c r="I671" s="4">
        <v>1378304</v>
      </c>
      <c r="J671" s="16">
        <f t="shared" si="20"/>
        <v>8.7397030407810439E-2</v>
      </c>
      <c r="K671" s="16">
        <f t="shared" si="21"/>
        <v>7.0727972036146447E-3</v>
      </c>
    </row>
    <row r="672" spans="1:11" ht="19.5" customHeight="1" x14ac:dyDescent="0.25">
      <c r="A672" s="2" t="s">
        <v>1690</v>
      </c>
      <c r="B672" s="2" t="s">
        <v>16</v>
      </c>
      <c r="C672" s="2" t="s">
        <v>1736</v>
      </c>
      <c r="D672" s="2" t="s">
        <v>1737</v>
      </c>
      <c r="E672" s="2" t="s">
        <v>1738</v>
      </c>
      <c r="F672" s="3">
        <v>176044.95</v>
      </c>
      <c r="G672" s="3">
        <v>273629</v>
      </c>
      <c r="H672" s="4">
        <v>287310</v>
      </c>
      <c r="I672" s="4">
        <v>287994</v>
      </c>
      <c r="J672" s="16">
        <f t="shared" si="20"/>
        <v>4.9998355437471886E-2</v>
      </c>
      <c r="K672" s="16">
        <f t="shared" si="21"/>
        <v>2.3807037694476563E-3</v>
      </c>
    </row>
    <row r="673" spans="1:11" ht="19.5" customHeight="1" x14ac:dyDescent="0.25">
      <c r="A673" s="2" t="s">
        <v>1690</v>
      </c>
      <c r="B673" s="2" t="s">
        <v>44</v>
      </c>
      <c r="C673" s="2" t="s">
        <v>1739</v>
      </c>
      <c r="D673" s="2" t="s">
        <v>1740</v>
      </c>
      <c r="E673" s="2" t="s">
        <v>1741</v>
      </c>
      <c r="F673" s="3">
        <v>29825.58</v>
      </c>
      <c r="G673" s="3">
        <v>0</v>
      </c>
      <c r="H673" s="4">
        <v>0</v>
      </c>
      <c r="I673" s="4">
        <v>0</v>
      </c>
      <c r="J673" s="16" t="str">
        <f t="shared" si="20"/>
        <v>--</v>
      </c>
      <c r="K673" s="16" t="str">
        <f t="shared" si="21"/>
        <v>--</v>
      </c>
    </row>
    <row r="674" spans="1:11" ht="19.5" customHeight="1" x14ac:dyDescent="0.25">
      <c r="A674" s="2" t="s">
        <v>1690</v>
      </c>
      <c r="B674" s="2" t="s">
        <v>44</v>
      </c>
      <c r="C674" s="2" t="s">
        <v>1742</v>
      </c>
      <c r="D674" s="2" t="s">
        <v>1743</v>
      </c>
      <c r="E674" s="2" t="s">
        <v>1744</v>
      </c>
      <c r="F674" s="3">
        <v>0</v>
      </c>
      <c r="G674" s="3">
        <v>0</v>
      </c>
      <c r="H674" s="4">
        <v>150000000</v>
      </c>
      <c r="I674" s="4">
        <v>150000000</v>
      </c>
      <c r="J674" s="16" t="str">
        <f t="shared" si="20"/>
        <v>--</v>
      </c>
      <c r="K674" s="16">
        <f t="shared" si="21"/>
        <v>0</v>
      </c>
    </row>
    <row r="675" spans="1:11" ht="19.5" customHeight="1" x14ac:dyDescent="0.25">
      <c r="A675" s="2" t="s">
        <v>1690</v>
      </c>
      <c r="B675" s="2" t="s">
        <v>44</v>
      </c>
      <c r="C675" s="2" t="s">
        <v>1742</v>
      </c>
      <c r="D675" s="2" t="s">
        <v>1745</v>
      </c>
      <c r="E675" s="2" t="s">
        <v>1746</v>
      </c>
      <c r="F675" s="3">
        <v>41772116.990000002</v>
      </c>
      <c r="G675" s="3">
        <v>219948672</v>
      </c>
      <c r="H675" s="4">
        <v>69948672</v>
      </c>
      <c r="I675" s="4">
        <v>69948672</v>
      </c>
      <c r="J675" s="16">
        <f t="shared" si="20"/>
        <v>-0.68197729332050705</v>
      </c>
      <c r="K675" s="16">
        <f t="shared" si="21"/>
        <v>0</v>
      </c>
    </row>
    <row r="676" spans="1:11" ht="19.5" customHeight="1" x14ac:dyDescent="0.25">
      <c r="A676" s="2" t="s">
        <v>1690</v>
      </c>
      <c r="B676" s="2" t="s">
        <v>44</v>
      </c>
      <c r="C676" s="2" t="s">
        <v>1747</v>
      </c>
      <c r="D676" s="2" t="s">
        <v>1748</v>
      </c>
      <c r="E676" s="2" t="s">
        <v>1749</v>
      </c>
      <c r="F676" s="3">
        <v>10028623.060000001</v>
      </c>
      <c r="G676" s="3">
        <v>0</v>
      </c>
      <c r="H676" s="4">
        <v>0</v>
      </c>
      <c r="I676" s="4">
        <v>0</v>
      </c>
      <c r="J676" s="16" t="str">
        <f t="shared" si="20"/>
        <v>--</v>
      </c>
      <c r="K676" s="16" t="str">
        <f t="shared" si="21"/>
        <v>--</v>
      </c>
    </row>
    <row r="677" spans="1:11" ht="19.5" customHeight="1" x14ac:dyDescent="0.25">
      <c r="A677" s="2" t="s">
        <v>1690</v>
      </c>
      <c r="B677" s="2" t="s">
        <v>44</v>
      </c>
      <c r="C677" s="2" t="s">
        <v>1750</v>
      </c>
      <c r="D677" s="2" t="s">
        <v>1751</v>
      </c>
      <c r="E677" s="2" t="s">
        <v>1752</v>
      </c>
      <c r="F677" s="3">
        <v>0</v>
      </c>
      <c r="G677" s="3">
        <v>10000</v>
      </c>
      <c r="H677" s="4">
        <v>30000</v>
      </c>
      <c r="I677" s="4">
        <v>30000</v>
      </c>
      <c r="J677" s="16">
        <f t="shared" si="20"/>
        <v>2</v>
      </c>
      <c r="K677" s="16">
        <f t="shared" si="21"/>
        <v>0</v>
      </c>
    </row>
    <row r="678" spans="1:11" ht="19.5" customHeight="1" x14ac:dyDescent="0.25">
      <c r="A678" s="2" t="s">
        <v>1690</v>
      </c>
      <c r="B678" s="2" t="s">
        <v>44</v>
      </c>
      <c r="C678" s="2" t="s">
        <v>1753</v>
      </c>
      <c r="D678" s="2" t="s">
        <v>1754</v>
      </c>
      <c r="E678" s="2" t="s">
        <v>1755</v>
      </c>
      <c r="F678" s="3">
        <v>5335635.29</v>
      </c>
      <c r="G678" s="4">
        <v>12500000</v>
      </c>
      <c r="H678" s="4">
        <v>12500000</v>
      </c>
      <c r="I678" s="4">
        <v>12500000</v>
      </c>
      <c r="J678" s="16">
        <f t="shared" si="20"/>
        <v>0</v>
      </c>
      <c r="K678" s="16">
        <f t="shared" si="21"/>
        <v>0</v>
      </c>
    </row>
    <row r="679" spans="1:11" ht="19.5" customHeight="1" x14ac:dyDescent="0.25">
      <c r="A679" s="2" t="s">
        <v>1690</v>
      </c>
      <c r="B679" s="2" t="s">
        <v>44</v>
      </c>
      <c r="C679" s="2" t="s">
        <v>1756</v>
      </c>
      <c r="D679" s="2" t="s">
        <v>1757</v>
      </c>
      <c r="E679" s="2" t="s">
        <v>1758</v>
      </c>
      <c r="F679" s="3">
        <v>0</v>
      </c>
      <c r="G679" s="3">
        <v>60000</v>
      </c>
      <c r="H679" s="4">
        <v>100000</v>
      </c>
      <c r="I679" s="4">
        <v>100000</v>
      </c>
      <c r="J679" s="16">
        <f t="shared" si="20"/>
        <v>0.66666666666666674</v>
      </c>
      <c r="K679" s="16">
        <f t="shared" si="21"/>
        <v>0</v>
      </c>
    </row>
    <row r="680" spans="1:11" ht="19.5" customHeight="1" x14ac:dyDescent="0.25">
      <c r="A680" s="2" t="s">
        <v>1690</v>
      </c>
      <c r="B680" s="2" t="s">
        <v>44</v>
      </c>
      <c r="C680" s="2" t="s">
        <v>1759</v>
      </c>
      <c r="D680" s="2" t="s">
        <v>1760</v>
      </c>
      <c r="E680" s="2" t="s">
        <v>1761</v>
      </c>
      <c r="F680" s="3">
        <v>1114813.77</v>
      </c>
      <c r="G680" s="3">
        <v>900000</v>
      </c>
      <c r="H680" s="4">
        <v>1400000</v>
      </c>
      <c r="I680" s="4">
        <v>1400000</v>
      </c>
      <c r="J680" s="16">
        <f t="shared" si="20"/>
        <v>0.55555555555555558</v>
      </c>
      <c r="K680" s="16">
        <f t="shared" si="21"/>
        <v>0</v>
      </c>
    </row>
    <row r="681" spans="1:11" ht="19.5" customHeight="1" x14ac:dyDescent="0.25">
      <c r="A681" s="2" t="s">
        <v>1690</v>
      </c>
      <c r="B681" s="2" t="s">
        <v>44</v>
      </c>
      <c r="C681" s="2" t="s">
        <v>1759</v>
      </c>
      <c r="D681" s="2" t="s">
        <v>1762</v>
      </c>
      <c r="E681" s="2" t="s">
        <v>1763</v>
      </c>
      <c r="F681" s="3">
        <v>397804.57</v>
      </c>
      <c r="G681" s="3">
        <v>800000</v>
      </c>
      <c r="H681" s="4">
        <v>800000</v>
      </c>
      <c r="I681" s="4">
        <v>800000</v>
      </c>
      <c r="J681" s="16">
        <f t="shared" si="20"/>
        <v>0</v>
      </c>
      <c r="K681" s="16">
        <f t="shared" si="21"/>
        <v>0</v>
      </c>
    </row>
    <row r="682" spans="1:11" ht="19.5" customHeight="1" x14ac:dyDescent="0.25">
      <c r="A682" s="2" t="s">
        <v>1690</v>
      </c>
      <c r="B682" s="2" t="s">
        <v>44</v>
      </c>
      <c r="C682" s="2" t="s">
        <v>1764</v>
      </c>
      <c r="D682" s="2" t="s">
        <v>1765</v>
      </c>
      <c r="E682" s="2" t="s">
        <v>1766</v>
      </c>
      <c r="F682" s="3">
        <v>11575.26</v>
      </c>
      <c r="G682" s="3">
        <v>15933842</v>
      </c>
      <c r="H682" s="4">
        <v>5000000</v>
      </c>
      <c r="I682" s="4">
        <v>850000</v>
      </c>
      <c r="J682" s="16">
        <f t="shared" si="20"/>
        <v>-0.68620248650639315</v>
      </c>
      <c r="K682" s="16">
        <f t="shared" si="21"/>
        <v>-0.83</v>
      </c>
    </row>
    <row r="683" spans="1:11" ht="19.5" customHeight="1" x14ac:dyDescent="0.25">
      <c r="A683" s="2" t="s">
        <v>1690</v>
      </c>
      <c r="B683" s="2" t="s">
        <v>44</v>
      </c>
      <c r="C683" s="2" t="s">
        <v>1767</v>
      </c>
      <c r="D683" s="2" t="s">
        <v>1768</v>
      </c>
      <c r="E683" s="2" t="s">
        <v>1769</v>
      </c>
      <c r="F683" s="3">
        <v>10453110.109999999</v>
      </c>
      <c r="G683" s="3">
        <v>12600000</v>
      </c>
      <c r="H683" s="4">
        <v>12600000</v>
      </c>
      <c r="I683" s="4">
        <v>12600000</v>
      </c>
      <c r="J683" s="16">
        <f t="shared" si="20"/>
        <v>0</v>
      </c>
      <c r="K683" s="16">
        <f t="shared" si="21"/>
        <v>0</v>
      </c>
    </row>
    <row r="684" spans="1:11" ht="19.5" customHeight="1" x14ac:dyDescent="0.25">
      <c r="A684" s="2" t="s">
        <v>1690</v>
      </c>
      <c r="B684" s="2" t="s">
        <v>54</v>
      </c>
      <c r="C684" s="2" t="s">
        <v>54</v>
      </c>
      <c r="D684" s="2" t="s">
        <v>1770</v>
      </c>
      <c r="E684" s="2" t="s">
        <v>1771</v>
      </c>
      <c r="F684" s="3">
        <v>3212077.77</v>
      </c>
      <c r="G684" s="3">
        <v>7850000</v>
      </c>
      <c r="H684" s="4">
        <v>13075000</v>
      </c>
      <c r="I684" s="4">
        <v>13155000</v>
      </c>
      <c r="J684" s="16">
        <f t="shared" si="20"/>
        <v>0.66560509554140124</v>
      </c>
      <c r="K684" s="16">
        <f t="shared" si="21"/>
        <v>6.1185468451243619E-3</v>
      </c>
    </row>
    <row r="685" spans="1:11" ht="19.5" customHeight="1" x14ac:dyDescent="0.25">
      <c r="A685" s="2" t="s">
        <v>1690</v>
      </c>
      <c r="B685" s="2" t="s">
        <v>54</v>
      </c>
      <c r="C685" s="2" t="s">
        <v>54</v>
      </c>
      <c r="D685" s="2" t="s">
        <v>1772</v>
      </c>
      <c r="E685" s="2" t="s">
        <v>212</v>
      </c>
      <c r="F685" s="3">
        <v>134495.15</v>
      </c>
      <c r="G685" s="3">
        <v>0</v>
      </c>
      <c r="H685" s="4">
        <v>0</v>
      </c>
      <c r="I685" s="4">
        <v>0</v>
      </c>
      <c r="J685" s="16" t="str">
        <f t="shared" si="20"/>
        <v>--</v>
      </c>
      <c r="K685" s="16" t="str">
        <f t="shared" si="21"/>
        <v>--</v>
      </c>
    </row>
    <row r="686" spans="1:11" ht="19.5" customHeight="1" x14ac:dyDescent="0.25">
      <c r="A686" s="2" t="s">
        <v>1690</v>
      </c>
      <c r="B686" s="2" t="s">
        <v>54</v>
      </c>
      <c r="C686" s="2" t="s">
        <v>54</v>
      </c>
      <c r="D686" s="2" t="s">
        <v>1773</v>
      </c>
      <c r="E686" s="2" t="s">
        <v>1774</v>
      </c>
      <c r="F686" s="3">
        <v>4530158.79</v>
      </c>
      <c r="G686" s="3">
        <v>5070000</v>
      </c>
      <c r="H686" s="4">
        <v>5878897</v>
      </c>
      <c r="I686" s="4">
        <v>5868428</v>
      </c>
      <c r="J686" s="16">
        <f t="shared" si="20"/>
        <v>0.1595457593688363</v>
      </c>
      <c r="K686" s="16">
        <f t="shared" si="21"/>
        <v>-1.7807762238393199E-3</v>
      </c>
    </row>
    <row r="687" spans="1:11" ht="19.5" customHeight="1" x14ac:dyDescent="0.25">
      <c r="A687" s="2" t="s">
        <v>1690</v>
      </c>
      <c r="B687" s="2" t="s">
        <v>54</v>
      </c>
      <c r="C687" s="2" t="s">
        <v>54</v>
      </c>
      <c r="D687" s="2" t="s">
        <v>1775</v>
      </c>
      <c r="E687" s="2" t="s">
        <v>1776</v>
      </c>
      <c r="F687" s="3">
        <v>2721782.66</v>
      </c>
      <c r="G687" s="3">
        <v>4000000</v>
      </c>
      <c r="H687" s="4">
        <v>0</v>
      </c>
      <c r="I687" s="4">
        <v>0</v>
      </c>
      <c r="J687" s="16">
        <f t="shared" si="20"/>
        <v>-1</v>
      </c>
      <c r="K687" s="16" t="str">
        <f t="shared" si="21"/>
        <v>--</v>
      </c>
    </row>
    <row r="688" spans="1:11" ht="19.5" customHeight="1" x14ac:dyDescent="0.25">
      <c r="A688" s="2" t="s">
        <v>1690</v>
      </c>
      <c r="B688" s="2" t="s">
        <v>54</v>
      </c>
      <c r="C688" s="2" t="s">
        <v>54</v>
      </c>
      <c r="D688" s="2" t="s">
        <v>1777</v>
      </c>
      <c r="E688" s="2" t="s">
        <v>1778</v>
      </c>
      <c r="F688" s="3">
        <v>250000</v>
      </c>
      <c r="G688" s="3">
        <v>250000</v>
      </c>
      <c r="H688" s="4">
        <v>0</v>
      </c>
      <c r="I688" s="4">
        <v>0</v>
      </c>
      <c r="J688" s="16">
        <f t="shared" si="20"/>
        <v>-1</v>
      </c>
      <c r="K688" s="16" t="str">
        <f t="shared" si="21"/>
        <v>--</v>
      </c>
    </row>
    <row r="689" spans="1:11" ht="19.5" customHeight="1" x14ac:dyDescent="0.25">
      <c r="A689" s="2" t="s">
        <v>1690</v>
      </c>
      <c r="B689" s="2" t="s">
        <v>54</v>
      </c>
      <c r="C689" s="2" t="s">
        <v>54</v>
      </c>
      <c r="D689" s="2" t="s">
        <v>1779</v>
      </c>
      <c r="E689" s="2" t="s">
        <v>1727</v>
      </c>
      <c r="F689" s="3">
        <v>23608.11</v>
      </c>
      <c r="G689" s="3">
        <v>3000000</v>
      </c>
      <c r="H689" s="4">
        <v>4250000</v>
      </c>
      <c r="I689" s="4">
        <v>4250000</v>
      </c>
      <c r="J689" s="16">
        <f t="shared" si="20"/>
        <v>0.41666666666666674</v>
      </c>
      <c r="K689" s="16">
        <f t="shared" si="21"/>
        <v>0</v>
      </c>
    </row>
    <row r="690" spans="1:11" ht="19.5" customHeight="1" x14ac:dyDescent="0.25">
      <c r="A690" s="2" t="s">
        <v>1690</v>
      </c>
      <c r="B690" s="2" t="s">
        <v>54</v>
      </c>
      <c r="C690" s="2" t="s">
        <v>54</v>
      </c>
      <c r="D690" s="2" t="s">
        <v>1780</v>
      </c>
      <c r="E690" s="2" t="s">
        <v>1781</v>
      </c>
      <c r="F690" s="3">
        <v>0</v>
      </c>
      <c r="G690" s="3">
        <v>1341433</v>
      </c>
      <c r="H690" s="4">
        <v>0</v>
      </c>
      <c r="I690" s="4">
        <v>0</v>
      </c>
      <c r="J690" s="16">
        <f t="shared" si="20"/>
        <v>-1</v>
      </c>
      <c r="K690" s="16" t="str">
        <f t="shared" si="21"/>
        <v>--</v>
      </c>
    </row>
    <row r="691" spans="1:11" ht="19.5" customHeight="1" x14ac:dyDescent="0.25">
      <c r="A691" s="2" t="s">
        <v>1690</v>
      </c>
      <c r="B691" s="2" t="s">
        <v>54</v>
      </c>
      <c r="C691" s="2" t="s">
        <v>54</v>
      </c>
      <c r="D691" s="2" t="s">
        <v>1782</v>
      </c>
      <c r="E691" s="2" t="s">
        <v>1783</v>
      </c>
      <c r="F691" s="3">
        <v>12705076.4</v>
      </c>
      <c r="G691" s="3">
        <v>13624913.32</v>
      </c>
      <c r="H691" s="4">
        <v>14545000</v>
      </c>
      <c r="I691" s="4">
        <v>14875000</v>
      </c>
      <c r="J691" s="16">
        <f t="shared" si="20"/>
        <v>6.7529727227651826E-2</v>
      </c>
      <c r="K691" s="16">
        <f t="shared" si="21"/>
        <v>2.2688209006531457E-2</v>
      </c>
    </row>
    <row r="692" spans="1:11" ht="19.5" customHeight="1" x14ac:dyDescent="0.25">
      <c r="A692" s="2" t="s">
        <v>1690</v>
      </c>
      <c r="B692" s="2" t="s">
        <v>54</v>
      </c>
      <c r="C692" s="2" t="s">
        <v>54</v>
      </c>
      <c r="D692" s="2" t="s">
        <v>1784</v>
      </c>
      <c r="E692" s="2" t="s">
        <v>1693</v>
      </c>
      <c r="F692" s="3">
        <v>992688.59</v>
      </c>
      <c r="G692" s="3">
        <v>2209200</v>
      </c>
      <c r="H692" s="4">
        <v>13320000</v>
      </c>
      <c r="I692" s="4">
        <v>13350000</v>
      </c>
      <c r="J692" s="16">
        <f t="shared" si="20"/>
        <v>5.0293318848451927</v>
      </c>
      <c r="K692" s="16">
        <f t="shared" si="21"/>
        <v>2.2522522522523403E-3</v>
      </c>
    </row>
    <row r="693" spans="1:11" ht="19.5" customHeight="1" x14ac:dyDescent="0.25">
      <c r="A693" s="2" t="s">
        <v>1690</v>
      </c>
      <c r="B693" s="2" t="s">
        <v>54</v>
      </c>
      <c r="C693" s="2" t="s">
        <v>54</v>
      </c>
      <c r="D693" s="2" t="s">
        <v>1785</v>
      </c>
      <c r="E693" s="2" t="s">
        <v>1786</v>
      </c>
      <c r="F693" s="3">
        <v>2822197.42</v>
      </c>
      <c r="G693" s="4">
        <v>3078200</v>
      </c>
      <c r="H693" s="4">
        <v>3376000</v>
      </c>
      <c r="I693" s="4">
        <v>3455000</v>
      </c>
      <c r="J693" s="16">
        <f t="shared" si="20"/>
        <v>9.6744850886882006E-2</v>
      </c>
      <c r="K693" s="16">
        <f t="shared" si="21"/>
        <v>2.3400473933649302E-2</v>
      </c>
    </row>
    <row r="694" spans="1:11" ht="19.5" customHeight="1" x14ac:dyDescent="0.25">
      <c r="A694" s="2" t="s">
        <v>1690</v>
      </c>
      <c r="B694" s="2" t="s">
        <v>54</v>
      </c>
      <c r="C694" s="2" t="s">
        <v>54</v>
      </c>
      <c r="D694" s="2" t="s">
        <v>1787</v>
      </c>
      <c r="E694" s="2" t="s">
        <v>1788</v>
      </c>
      <c r="F694" s="3">
        <v>58609.53</v>
      </c>
      <c r="G694" s="3">
        <v>495000</v>
      </c>
      <c r="H694" s="4">
        <v>500000</v>
      </c>
      <c r="I694" s="4">
        <v>500000</v>
      </c>
      <c r="J694" s="16">
        <f t="shared" si="20"/>
        <v>1.0101010101010166E-2</v>
      </c>
      <c r="K694" s="16">
        <f t="shared" si="21"/>
        <v>0</v>
      </c>
    </row>
    <row r="695" spans="1:11" ht="19.5" customHeight="1" x14ac:dyDescent="0.25">
      <c r="A695" s="2" t="s">
        <v>1690</v>
      </c>
      <c r="B695" s="2" t="s">
        <v>54</v>
      </c>
      <c r="C695" s="2" t="s">
        <v>54</v>
      </c>
      <c r="D695" s="2" t="s">
        <v>1789</v>
      </c>
      <c r="E695" s="2" t="s">
        <v>1790</v>
      </c>
      <c r="F695" s="3">
        <v>215667.46</v>
      </c>
      <c r="G695" s="3">
        <v>270000</v>
      </c>
      <c r="H695" s="4">
        <v>2705500</v>
      </c>
      <c r="I695" s="4">
        <v>2705500</v>
      </c>
      <c r="J695" s="16">
        <f t="shared" si="20"/>
        <v>9.0203703703703706</v>
      </c>
      <c r="K695" s="16">
        <f t="shared" si="21"/>
        <v>0</v>
      </c>
    </row>
    <row r="696" spans="1:11" ht="19.5" customHeight="1" x14ac:dyDescent="0.25">
      <c r="A696" s="2" t="s">
        <v>1791</v>
      </c>
      <c r="B696" s="2" t="s">
        <v>16</v>
      </c>
      <c r="C696" s="2" t="s">
        <v>1792</v>
      </c>
      <c r="D696" s="2" t="s">
        <v>1793</v>
      </c>
      <c r="E696" s="2" t="s">
        <v>1794</v>
      </c>
      <c r="F696" s="3">
        <v>950308.56</v>
      </c>
      <c r="G696" s="3">
        <v>1200000</v>
      </c>
      <c r="H696" s="4">
        <v>1200000</v>
      </c>
      <c r="I696" s="4">
        <v>1200000</v>
      </c>
      <c r="J696" s="16">
        <f t="shared" si="20"/>
        <v>0</v>
      </c>
      <c r="K696" s="16">
        <f t="shared" si="21"/>
        <v>0</v>
      </c>
    </row>
    <row r="697" spans="1:11" ht="19.5" customHeight="1" x14ac:dyDescent="0.25">
      <c r="A697" s="2" t="s">
        <v>1791</v>
      </c>
      <c r="B697" s="2" t="s">
        <v>16</v>
      </c>
      <c r="C697" s="2" t="s">
        <v>1795</v>
      </c>
      <c r="D697" s="2" t="s">
        <v>1796</v>
      </c>
      <c r="E697" s="2" t="s">
        <v>1797</v>
      </c>
      <c r="F697" s="3">
        <v>538640.88</v>
      </c>
      <c r="G697" s="3">
        <v>400000</v>
      </c>
      <c r="H697" s="4">
        <v>400000</v>
      </c>
      <c r="I697" s="4">
        <v>400000</v>
      </c>
      <c r="J697" s="16">
        <f t="shared" si="20"/>
        <v>0</v>
      </c>
      <c r="K697" s="16">
        <f t="shared" si="21"/>
        <v>0</v>
      </c>
    </row>
    <row r="698" spans="1:11" ht="19.5" customHeight="1" x14ac:dyDescent="0.25">
      <c r="A698" s="2" t="s">
        <v>1791</v>
      </c>
      <c r="B698" s="2" t="s">
        <v>16</v>
      </c>
      <c r="C698" s="2" t="s">
        <v>1798</v>
      </c>
      <c r="D698" s="2" t="s">
        <v>1799</v>
      </c>
      <c r="E698" s="2" t="s">
        <v>1800</v>
      </c>
      <c r="F698" s="3">
        <v>2429744.06</v>
      </c>
      <c r="G698" s="3">
        <v>2450000</v>
      </c>
      <c r="H698" s="4">
        <v>2450000</v>
      </c>
      <c r="I698" s="4">
        <v>2450000</v>
      </c>
      <c r="J698" s="16">
        <f t="shared" si="20"/>
        <v>0</v>
      </c>
      <c r="K698" s="16">
        <f t="shared" si="21"/>
        <v>0</v>
      </c>
    </row>
    <row r="699" spans="1:11" ht="19.5" customHeight="1" x14ac:dyDescent="0.25">
      <c r="A699" s="2" t="s">
        <v>1791</v>
      </c>
      <c r="B699" s="2" t="s">
        <v>16</v>
      </c>
      <c r="C699" s="2" t="s">
        <v>1801</v>
      </c>
      <c r="D699" s="2" t="s">
        <v>1802</v>
      </c>
      <c r="E699" s="2" t="s">
        <v>1803</v>
      </c>
      <c r="F699" s="4">
        <v>3351607.38</v>
      </c>
      <c r="G699" s="3">
        <v>4660000</v>
      </c>
      <c r="H699" s="4">
        <v>4660000</v>
      </c>
      <c r="I699" s="4">
        <v>4660000</v>
      </c>
      <c r="J699" s="16">
        <f t="shared" si="20"/>
        <v>0</v>
      </c>
      <c r="K699" s="16">
        <f t="shared" si="21"/>
        <v>0</v>
      </c>
    </row>
    <row r="700" spans="1:11" ht="19.5" customHeight="1" x14ac:dyDescent="0.25">
      <c r="A700" s="2" t="s">
        <v>1791</v>
      </c>
      <c r="B700" s="2" t="s">
        <v>16</v>
      </c>
      <c r="C700" s="2" t="s">
        <v>1804</v>
      </c>
      <c r="D700" s="2" t="s">
        <v>1805</v>
      </c>
      <c r="E700" s="2" t="s">
        <v>1806</v>
      </c>
      <c r="F700" s="3">
        <v>701983.67</v>
      </c>
      <c r="G700" s="3">
        <v>1300000</v>
      </c>
      <c r="H700" s="4">
        <v>1300000</v>
      </c>
      <c r="I700" s="4">
        <v>1300000</v>
      </c>
      <c r="J700" s="16">
        <f t="shared" si="20"/>
        <v>0</v>
      </c>
      <c r="K700" s="16">
        <f t="shared" si="21"/>
        <v>0</v>
      </c>
    </row>
    <row r="701" spans="1:11" ht="19.5" customHeight="1" x14ac:dyDescent="0.25">
      <c r="A701" s="2" t="s">
        <v>1791</v>
      </c>
      <c r="B701" s="2" t="s">
        <v>16</v>
      </c>
      <c r="C701" s="2" t="s">
        <v>35</v>
      </c>
      <c r="D701" s="2" t="s">
        <v>1807</v>
      </c>
      <c r="E701" s="2" t="s">
        <v>1808</v>
      </c>
      <c r="F701" s="3">
        <v>0</v>
      </c>
      <c r="G701" s="3">
        <v>117393143</v>
      </c>
      <c r="H701" s="4">
        <v>18000000</v>
      </c>
      <c r="I701" s="4">
        <v>0</v>
      </c>
      <c r="J701" s="16">
        <f t="shared" si="20"/>
        <v>-0.84666906822658294</v>
      </c>
      <c r="K701" s="16">
        <f t="shared" si="21"/>
        <v>-1</v>
      </c>
    </row>
    <row r="702" spans="1:11" ht="19.5" customHeight="1" x14ac:dyDescent="0.25">
      <c r="A702" s="2" t="s">
        <v>1791</v>
      </c>
      <c r="B702" s="2" t="s">
        <v>16</v>
      </c>
      <c r="C702" s="2" t="s">
        <v>1809</v>
      </c>
      <c r="D702" s="2" t="s">
        <v>1810</v>
      </c>
      <c r="E702" s="2" t="s">
        <v>1811</v>
      </c>
      <c r="F702" s="3">
        <v>2624902.33</v>
      </c>
      <c r="G702" s="3">
        <v>1860000</v>
      </c>
      <c r="H702" s="4">
        <v>1860000</v>
      </c>
      <c r="I702" s="4">
        <v>1860000</v>
      </c>
      <c r="J702" s="16">
        <f t="shared" si="20"/>
        <v>0</v>
      </c>
      <c r="K702" s="16">
        <f t="shared" si="21"/>
        <v>0</v>
      </c>
    </row>
    <row r="703" spans="1:11" ht="19.5" customHeight="1" x14ac:dyDescent="0.25">
      <c r="A703" s="2" t="s">
        <v>1791</v>
      </c>
      <c r="B703" s="2" t="s">
        <v>16</v>
      </c>
      <c r="C703" s="2" t="s">
        <v>1563</v>
      </c>
      <c r="D703" s="2" t="s">
        <v>1812</v>
      </c>
      <c r="E703" s="2" t="s">
        <v>1813</v>
      </c>
      <c r="F703" s="3">
        <v>5000000</v>
      </c>
      <c r="G703" s="3">
        <v>5000000</v>
      </c>
      <c r="H703" s="4">
        <v>5000000</v>
      </c>
      <c r="I703" s="4">
        <v>5000000</v>
      </c>
      <c r="J703" s="16">
        <f t="shared" si="20"/>
        <v>0</v>
      </c>
      <c r="K703" s="16">
        <f t="shared" si="21"/>
        <v>0</v>
      </c>
    </row>
    <row r="704" spans="1:11" ht="19.5" customHeight="1" x14ac:dyDescent="0.25">
      <c r="A704" s="2" t="s">
        <v>1791</v>
      </c>
      <c r="B704" s="2" t="s">
        <v>16</v>
      </c>
      <c r="C704" s="2" t="s">
        <v>1814</v>
      </c>
      <c r="D704" s="2" t="s">
        <v>1815</v>
      </c>
      <c r="E704" s="2" t="s">
        <v>1816</v>
      </c>
      <c r="F704" s="3">
        <v>213050.09</v>
      </c>
      <c r="G704" s="3">
        <v>0</v>
      </c>
      <c r="H704" s="4">
        <v>0</v>
      </c>
      <c r="I704" s="4">
        <v>0</v>
      </c>
      <c r="J704" s="16" t="str">
        <f t="shared" si="20"/>
        <v>--</v>
      </c>
      <c r="K704" s="16" t="str">
        <f t="shared" si="21"/>
        <v>--</v>
      </c>
    </row>
    <row r="705" spans="1:11" ht="19.5" customHeight="1" x14ac:dyDescent="0.25">
      <c r="A705" s="2" t="s">
        <v>1791</v>
      </c>
      <c r="B705" s="2" t="s">
        <v>44</v>
      </c>
      <c r="C705" s="2" t="s">
        <v>1817</v>
      </c>
      <c r="D705" s="2" t="s">
        <v>1818</v>
      </c>
      <c r="E705" s="2" t="s">
        <v>1819</v>
      </c>
      <c r="F705" s="3">
        <v>1560369.77</v>
      </c>
      <c r="G705" s="3">
        <v>3040000</v>
      </c>
      <c r="H705" s="4">
        <v>3040000</v>
      </c>
      <c r="I705" s="4">
        <v>3040000</v>
      </c>
      <c r="J705" s="16">
        <f t="shared" si="20"/>
        <v>0</v>
      </c>
      <c r="K705" s="16">
        <f t="shared" si="21"/>
        <v>0</v>
      </c>
    </row>
    <row r="706" spans="1:11" ht="19.5" customHeight="1" x14ac:dyDescent="0.25">
      <c r="A706" s="2" t="s">
        <v>1791</v>
      </c>
      <c r="B706" s="2" t="s">
        <v>44</v>
      </c>
      <c r="C706" s="2" t="s">
        <v>1820</v>
      </c>
      <c r="D706" s="2" t="s">
        <v>1821</v>
      </c>
      <c r="E706" s="2" t="s">
        <v>1822</v>
      </c>
      <c r="F706" s="3">
        <v>79040.59</v>
      </c>
      <c r="G706" s="3">
        <v>300000</v>
      </c>
      <c r="H706" s="4">
        <v>300000</v>
      </c>
      <c r="I706" s="4">
        <v>300000</v>
      </c>
      <c r="J706" s="16">
        <f t="shared" si="20"/>
        <v>0</v>
      </c>
      <c r="K706" s="16">
        <f t="shared" si="21"/>
        <v>0</v>
      </c>
    </row>
    <row r="707" spans="1:11" ht="19.5" customHeight="1" x14ac:dyDescent="0.25">
      <c r="A707" s="2" t="s">
        <v>1791</v>
      </c>
      <c r="B707" s="2" t="s">
        <v>54</v>
      </c>
      <c r="C707" s="2" t="s">
        <v>54</v>
      </c>
      <c r="D707" s="2" t="s">
        <v>1823</v>
      </c>
      <c r="E707" s="2" t="s">
        <v>1824</v>
      </c>
      <c r="F707" s="3">
        <v>1121092596.6600001</v>
      </c>
      <c r="G707" s="3">
        <v>1153962886</v>
      </c>
      <c r="H707" s="4">
        <v>1192004968</v>
      </c>
      <c r="I707" s="4">
        <v>1234125637</v>
      </c>
      <c r="J707" s="16">
        <f t="shared" ref="J707:J770" si="22">IFERROR(H707/G707-1,"--")</f>
        <v>3.2966469252634134E-2</v>
      </c>
      <c r="K707" s="16">
        <f t="shared" ref="K707:K770" si="23">IFERROR(I707/H707-1,"--")</f>
        <v>3.5335984438615187E-2</v>
      </c>
    </row>
    <row r="708" spans="1:11" ht="19.5" customHeight="1" x14ac:dyDescent="0.25">
      <c r="A708" s="2" t="s">
        <v>1791</v>
      </c>
      <c r="B708" s="2" t="s">
        <v>54</v>
      </c>
      <c r="C708" s="2" t="s">
        <v>54</v>
      </c>
      <c r="D708" s="2" t="s">
        <v>1825</v>
      </c>
      <c r="E708" s="2" t="s">
        <v>1826</v>
      </c>
      <c r="F708" s="3">
        <v>69216365.030000001</v>
      </c>
      <c r="G708" s="4">
        <v>70019786</v>
      </c>
      <c r="H708" s="4">
        <v>70019786</v>
      </c>
      <c r="I708" s="4">
        <v>70019786</v>
      </c>
      <c r="J708" s="16">
        <f t="shared" si="22"/>
        <v>0</v>
      </c>
      <c r="K708" s="16">
        <f t="shared" si="23"/>
        <v>0</v>
      </c>
    </row>
    <row r="709" spans="1:11" ht="19.5" customHeight="1" x14ac:dyDescent="0.25">
      <c r="A709" s="2" t="s">
        <v>1791</v>
      </c>
      <c r="B709" s="2" t="s">
        <v>54</v>
      </c>
      <c r="C709" s="2" t="s">
        <v>54</v>
      </c>
      <c r="D709" s="2" t="s">
        <v>1827</v>
      </c>
      <c r="E709" s="2" t="s">
        <v>1828</v>
      </c>
      <c r="F709" s="3">
        <v>61467571.869999997</v>
      </c>
      <c r="G709" s="4">
        <v>72940500</v>
      </c>
      <c r="H709" s="4">
        <v>85000000</v>
      </c>
      <c r="I709" s="4">
        <v>85000000</v>
      </c>
      <c r="J709" s="16">
        <f t="shared" si="22"/>
        <v>0.16533338817255161</v>
      </c>
      <c r="K709" s="16">
        <f t="shared" si="23"/>
        <v>0</v>
      </c>
    </row>
    <row r="710" spans="1:11" ht="19.5" customHeight="1" x14ac:dyDescent="0.25">
      <c r="A710" s="2" t="s">
        <v>1791</v>
      </c>
      <c r="B710" s="2" t="s">
        <v>54</v>
      </c>
      <c r="C710" s="2" t="s">
        <v>54</v>
      </c>
      <c r="D710" s="2" t="s">
        <v>1829</v>
      </c>
      <c r="E710" s="2" t="s">
        <v>1830</v>
      </c>
      <c r="F710" s="3">
        <v>59333786.340000004</v>
      </c>
      <c r="G710" s="3">
        <v>60444863</v>
      </c>
      <c r="H710" s="4">
        <v>67644863</v>
      </c>
      <c r="I710" s="4">
        <v>67644863</v>
      </c>
      <c r="J710" s="16">
        <f t="shared" si="22"/>
        <v>0.11911682221862252</v>
      </c>
      <c r="K710" s="16">
        <f t="shared" si="23"/>
        <v>0</v>
      </c>
    </row>
    <row r="711" spans="1:11" ht="19.5" customHeight="1" x14ac:dyDescent="0.25">
      <c r="A711" s="2" t="s">
        <v>1791</v>
      </c>
      <c r="B711" s="2" t="s">
        <v>54</v>
      </c>
      <c r="C711" s="2" t="s">
        <v>54</v>
      </c>
      <c r="D711" s="2" t="s">
        <v>1831</v>
      </c>
      <c r="E711" s="2" t="s">
        <v>1832</v>
      </c>
      <c r="F711" s="3">
        <v>9339026</v>
      </c>
      <c r="G711" s="3">
        <v>9340276</v>
      </c>
      <c r="H711" s="4">
        <v>9340276</v>
      </c>
      <c r="I711" s="4">
        <v>9340276</v>
      </c>
      <c r="J711" s="16">
        <f t="shared" si="22"/>
        <v>0</v>
      </c>
      <c r="K711" s="16">
        <f t="shared" si="23"/>
        <v>0</v>
      </c>
    </row>
    <row r="712" spans="1:11" ht="19.5" customHeight="1" x14ac:dyDescent="0.25">
      <c r="A712" s="2" t="s">
        <v>1791</v>
      </c>
      <c r="B712" s="2" t="s">
        <v>54</v>
      </c>
      <c r="C712" s="2" t="s">
        <v>54</v>
      </c>
      <c r="D712" s="2" t="s">
        <v>1833</v>
      </c>
      <c r="E712" s="2" t="s">
        <v>1834</v>
      </c>
      <c r="F712" s="3">
        <v>83072332</v>
      </c>
      <c r="G712" s="3">
        <v>83072332</v>
      </c>
      <c r="H712" s="4">
        <v>84757815</v>
      </c>
      <c r="I712" s="4">
        <v>88835863</v>
      </c>
      <c r="J712" s="16">
        <f t="shared" si="22"/>
        <v>2.0289342545481981E-2</v>
      </c>
      <c r="K712" s="16">
        <f t="shared" si="23"/>
        <v>4.8114123753662197E-2</v>
      </c>
    </row>
    <row r="713" spans="1:11" ht="19.5" customHeight="1" x14ac:dyDescent="0.25">
      <c r="A713" s="2" t="s">
        <v>1791</v>
      </c>
      <c r="B713" s="2" t="s">
        <v>54</v>
      </c>
      <c r="C713" s="2" t="s">
        <v>54</v>
      </c>
      <c r="D713" s="2" t="s">
        <v>1835</v>
      </c>
      <c r="E713" s="2" t="s">
        <v>1836</v>
      </c>
      <c r="F713" s="3">
        <v>84498737.189999998</v>
      </c>
      <c r="G713" s="3">
        <v>87273762</v>
      </c>
      <c r="H713" s="4">
        <v>96680240</v>
      </c>
      <c r="I713" s="4">
        <v>106525655</v>
      </c>
      <c r="J713" s="16">
        <f t="shared" si="22"/>
        <v>0.10778128253483565</v>
      </c>
      <c r="K713" s="16">
        <f t="shared" si="23"/>
        <v>0.10183482167607361</v>
      </c>
    </row>
    <row r="714" spans="1:11" ht="19.5" customHeight="1" x14ac:dyDescent="0.25">
      <c r="A714" s="2" t="s">
        <v>1791</v>
      </c>
      <c r="B714" s="2" t="s">
        <v>54</v>
      </c>
      <c r="C714" s="2" t="s">
        <v>54</v>
      </c>
      <c r="D714" s="2" t="s">
        <v>1837</v>
      </c>
      <c r="E714" s="2" t="s">
        <v>1838</v>
      </c>
      <c r="F714" s="3">
        <v>24993185.370000001</v>
      </c>
      <c r="G714" s="3">
        <v>24372000</v>
      </c>
      <c r="H714" s="4">
        <v>24658204</v>
      </c>
      <c r="I714" s="4">
        <v>25132130</v>
      </c>
      <c r="J714" s="16">
        <f t="shared" si="22"/>
        <v>1.1743147874610171E-2</v>
      </c>
      <c r="K714" s="16">
        <f t="shared" si="23"/>
        <v>1.9219810169467388E-2</v>
      </c>
    </row>
    <row r="715" spans="1:11" ht="19.5" customHeight="1" x14ac:dyDescent="0.25">
      <c r="A715" s="2" t="s">
        <v>1791</v>
      </c>
      <c r="B715" s="2" t="s">
        <v>54</v>
      </c>
      <c r="C715" s="2" t="s">
        <v>54</v>
      </c>
      <c r="D715" s="2" t="s">
        <v>1839</v>
      </c>
      <c r="E715" s="2" t="s">
        <v>1840</v>
      </c>
      <c r="F715" s="3">
        <v>286874303.80000001</v>
      </c>
      <c r="G715" s="4">
        <v>288946474</v>
      </c>
      <c r="H715" s="4">
        <v>290898936</v>
      </c>
      <c r="I715" s="4">
        <v>302940702</v>
      </c>
      <c r="J715" s="16">
        <f t="shared" si="22"/>
        <v>6.7571753791326739E-3</v>
      </c>
      <c r="K715" s="16">
        <f t="shared" si="23"/>
        <v>4.1395015621507714E-2</v>
      </c>
    </row>
    <row r="716" spans="1:11" ht="19.5" customHeight="1" x14ac:dyDescent="0.25">
      <c r="A716" s="2" t="s">
        <v>1791</v>
      </c>
      <c r="B716" s="2" t="s">
        <v>54</v>
      </c>
      <c r="C716" s="2" t="s">
        <v>54</v>
      </c>
      <c r="D716" s="2" t="s">
        <v>1841</v>
      </c>
      <c r="E716" s="2" t="s">
        <v>1842</v>
      </c>
      <c r="F716" s="3">
        <v>35607735.850000001</v>
      </c>
      <c r="G716" s="3">
        <v>33900490</v>
      </c>
      <c r="H716" s="4">
        <v>35541578</v>
      </c>
      <c r="I716" s="4">
        <v>35665119</v>
      </c>
      <c r="J716" s="16">
        <f t="shared" si="22"/>
        <v>4.8408975799464793E-2</v>
      </c>
      <c r="K716" s="16">
        <f t="shared" si="23"/>
        <v>3.4759570889058011E-3</v>
      </c>
    </row>
    <row r="717" spans="1:11" ht="19.5" customHeight="1" x14ac:dyDescent="0.25">
      <c r="A717" s="2" t="s">
        <v>1791</v>
      </c>
      <c r="B717" s="2" t="s">
        <v>243</v>
      </c>
      <c r="C717" s="2" t="s">
        <v>1843</v>
      </c>
      <c r="D717" s="2" t="s">
        <v>1844</v>
      </c>
      <c r="E717" s="2" t="s">
        <v>1845</v>
      </c>
      <c r="F717" s="3">
        <v>2777548.72</v>
      </c>
      <c r="G717" s="3">
        <v>2850000</v>
      </c>
      <c r="H717" s="4">
        <v>2850000</v>
      </c>
      <c r="I717" s="4">
        <v>2850000</v>
      </c>
      <c r="J717" s="16">
        <f t="shared" si="22"/>
        <v>0</v>
      </c>
      <c r="K717" s="16">
        <f t="shared" si="23"/>
        <v>0</v>
      </c>
    </row>
    <row r="718" spans="1:11" ht="19.5" customHeight="1" x14ac:dyDescent="0.25">
      <c r="A718" s="2" t="s">
        <v>1791</v>
      </c>
      <c r="B718" s="2" t="s">
        <v>243</v>
      </c>
      <c r="C718" s="2" t="s">
        <v>1846</v>
      </c>
      <c r="D718" s="2" t="s">
        <v>1847</v>
      </c>
      <c r="E718" s="2" t="s">
        <v>1848</v>
      </c>
      <c r="F718" s="3">
        <v>39016278.5</v>
      </c>
      <c r="G718" s="3">
        <v>46515000</v>
      </c>
      <c r="H718" s="4">
        <v>46515000</v>
      </c>
      <c r="I718" s="4">
        <v>46515000</v>
      </c>
      <c r="J718" s="16">
        <f t="shared" si="22"/>
        <v>0</v>
      </c>
      <c r="K718" s="16">
        <f t="shared" si="23"/>
        <v>0</v>
      </c>
    </row>
    <row r="719" spans="1:11" ht="19.5" customHeight="1" x14ac:dyDescent="0.25">
      <c r="A719" s="2" t="s">
        <v>1791</v>
      </c>
      <c r="B719" s="2" t="s">
        <v>243</v>
      </c>
      <c r="C719" s="2" t="s">
        <v>1849</v>
      </c>
      <c r="D719" s="2" t="s">
        <v>1850</v>
      </c>
      <c r="E719" s="2" t="s">
        <v>1851</v>
      </c>
      <c r="F719" s="3">
        <v>868176.66</v>
      </c>
      <c r="G719" s="3">
        <v>2000000</v>
      </c>
      <c r="H719" s="4">
        <v>2000000</v>
      </c>
      <c r="I719" s="4">
        <v>2000000</v>
      </c>
      <c r="J719" s="16">
        <f t="shared" si="22"/>
        <v>0</v>
      </c>
      <c r="K719" s="16">
        <f t="shared" si="23"/>
        <v>0</v>
      </c>
    </row>
    <row r="720" spans="1:11" ht="19.5" customHeight="1" x14ac:dyDescent="0.25">
      <c r="A720" s="2" t="s">
        <v>1791</v>
      </c>
      <c r="B720" s="2" t="s">
        <v>243</v>
      </c>
      <c r="C720" s="2" t="s">
        <v>1852</v>
      </c>
      <c r="D720" s="2" t="s">
        <v>1853</v>
      </c>
      <c r="E720" s="2" t="s">
        <v>1854</v>
      </c>
      <c r="F720" s="3">
        <v>493596.63</v>
      </c>
      <c r="G720" s="3">
        <v>980000</v>
      </c>
      <c r="H720" s="4">
        <v>980000</v>
      </c>
      <c r="I720" s="4">
        <v>980000</v>
      </c>
      <c r="J720" s="16">
        <f t="shared" si="22"/>
        <v>0</v>
      </c>
      <c r="K720" s="16">
        <f t="shared" si="23"/>
        <v>0</v>
      </c>
    </row>
    <row r="721" spans="1:11" ht="19.5" customHeight="1" x14ac:dyDescent="0.25">
      <c r="A721" s="2" t="s">
        <v>1791</v>
      </c>
      <c r="B721" s="2" t="s">
        <v>243</v>
      </c>
      <c r="C721" s="2" t="s">
        <v>1855</v>
      </c>
      <c r="D721" s="2" t="s">
        <v>1856</v>
      </c>
      <c r="E721" s="2" t="s">
        <v>1857</v>
      </c>
      <c r="F721" s="3">
        <v>535081.44999999995</v>
      </c>
      <c r="G721" s="3">
        <v>500000</v>
      </c>
      <c r="H721" s="4">
        <v>500000</v>
      </c>
      <c r="I721" s="4">
        <v>500000</v>
      </c>
      <c r="J721" s="16">
        <f t="shared" si="22"/>
        <v>0</v>
      </c>
      <c r="K721" s="16">
        <f t="shared" si="23"/>
        <v>0</v>
      </c>
    </row>
    <row r="722" spans="1:11" ht="19.5" customHeight="1" x14ac:dyDescent="0.25">
      <c r="A722" s="2" t="s">
        <v>1858</v>
      </c>
      <c r="B722" s="2" t="s">
        <v>16</v>
      </c>
      <c r="C722" s="2" t="s">
        <v>20</v>
      </c>
      <c r="D722" s="2" t="s">
        <v>1859</v>
      </c>
      <c r="E722" s="2" t="s">
        <v>22</v>
      </c>
      <c r="F722" s="3">
        <v>407208.15</v>
      </c>
      <c r="G722" s="3">
        <v>435046</v>
      </c>
      <c r="H722" s="4">
        <v>444238</v>
      </c>
      <c r="I722" s="4">
        <v>440278</v>
      </c>
      <c r="J722" s="16">
        <f t="shared" si="22"/>
        <v>2.1128800172855344E-2</v>
      </c>
      <c r="K722" s="16">
        <f t="shared" si="23"/>
        <v>-8.9141406183171901E-3</v>
      </c>
    </row>
    <row r="723" spans="1:11" ht="19.5" customHeight="1" x14ac:dyDescent="0.25">
      <c r="A723" s="2" t="s">
        <v>1858</v>
      </c>
      <c r="B723" s="2" t="s">
        <v>243</v>
      </c>
      <c r="C723" s="2" t="s">
        <v>1860</v>
      </c>
      <c r="D723" s="2" t="s">
        <v>1861</v>
      </c>
      <c r="E723" s="2" t="s">
        <v>1862</v>
      </c>
      <c r="F723" s="4">
        <v>20000</v>
      </c>
      <c r="G723" s="3">
        <v>30000</v>
      </c>
      <c r="H723" s="4">
        <v>30000</v>
      </c>
      <c r="I723" s="4">
        <v>30000</v>
      </c>
      <c r="J723" s="16">
        <f t="shared" si="22"/>
        <v>0</v>
      </c>
      <c r="K723" s="16">
        <f t="shared" si="23"/>
        <v>0</v>
      </c>
    </row>
    <row r="724" spans="1:11" ht="19.5" customHeight="1" x14ac:dyDescent="0.25">
      <c r="A724" s="2" t="s">
        <v>1863</v>
      </c>
      <c r="B724" s="2" t="s">
        <v>16</v>
      </c>
      <c r="C724" s="2" t="s">
        <v>1864</v>
      </c>
      <c r="D724" s="2" t="s">
        <v>1865</v>
      </c>
      <c r="E724" s="2" t="s">
        <v>1866</v>
      </c>
      <c r="F724" s="3">
        <v>775215.93</v>
      </c>
      <c r="G724" s="3">
        <v>995000</v>
      </c>
      <c r="H724" s="4">
        <v>720775</v>
      </c>
      <c r="I724" s="4">
        <v>771000</v>
      </c>
      <c r="J724" s="16">
        <f t="shared" si="22"/>
        <v>-0.27560301507537688</v>
      </c>
      <c r="K724" s="16">
        <f t="shared" si="23"/>
        <v>6.9681939578925434E-2</v>
      </c>
    </row>
    <row r="725" spans="1:11" ht="19.5" customHeight="1" x14ac:dyDescent="0.25">
      <c r="A725" s="2" t="s">
        <v>1863</v>
      </c>
      <c r="B725" s="2" t="s">
        <v>16</v>
      </c>
      <c r="C725" s="2" t="s">
        <v>1867</v>
      </c>
      <c r="D725" s="2" t="s">
        <v>1868</v>
      </c>
      <c r="E725" s="2" t="s">
        <v>1869</v>
      </c>
      <c r="F725" s="3">
        <v>8919253.4600000009</v>
      </c>
      <c r="G725" s="3">
        <v>11672589</v>
      </c>
      <c r="H725" s="4">
        <v>9810523</v>
      </c>
      <c r="I725" s="4">
        <v>9444887</v>
      </c>
      <c r="J725" s="16">
        <f t="shared" si="22"/>
        <v>-0.1595246778585282</v>
      </c>
      <c r="K725" s="16">
        <f t="shared" si="23"/>
        <v>-3.7269776545042488E-2</v>
      </c>
    </row>
    <row r="726" spans="1:11" ht="19.5" customHeight="1" x14ac:dyDescent="0.25">
      <c r="A726" s="2" t="s">
        <v>1863</v>
      </c>
      <c r="B726" s="2" t="s">
        <v>16</v>
      </c>
      <c r="C726" s="2" t="s">
        <v>35</v>
      </c>
      <c r="D726" s="2" t="s">
        <v>1870</v>
      </c>
      <c r="E726" s="2" t="s">
        <v>1871</v>
      </c>
      <c r="F726" s="3">
        <v>0</v>
      </c>
      <c r="G726" s="3">
        <v>4700000</v>
      </c>
      <c r="H726" s="4">
        <v>2000000</v>
      </c>
      <c r="I726" s="4">
        <v>0</v>
      </c>
      <c r="J726" s="16">
        <f t="shared" si="22"/>
        <v>-0.57446808510638303</v>
      </c>
      <c r="K726" s="16">
        <f t="shared" si="23"/>
        <v>-1</v>
      </c>
    </row>
    <row r="727" spans="1:11" ht="19.5" customHeight="1" x14ac:dyDescent="0.25">
      <c r="A727" s="2" t="s">
        <v>1863</v>
      </c>
      <c r="B727" s="2" t="s">
        <v>16</v>
      </c>
      <c r="C727" s="2" t="s">
        <v>1872</v>
      </c>
      <c r="D727" s="2" t="s">
        <v>1873</v>
      </c>
      <c r="E727" s="2" t="s">
        <v>1874</v>
      </c>
      <c r="F727" s="3">
        <v>51500</v>
      </c>
      <c r="G727" s="3">
        <v>1000000</v>
      </c>
      <c r="H727" s="4">
        <v>55800</v>
      </c>
      <c r="I727" s="4">
        <v>55800</v>
      </c>
      <c r="J727" s="16">
        <f t="shared" si="22"/>
        <v>-0.94420000000000004</v>
      </c>
      <c r="K727" s="16">
        <f t="shared" si="23"/>
        <v>0</v>
      </c>
    </row>
    <row r="728" spans="1:11" ht="19.5" customHeight="1" x14ac:dyDescent="0.25">
      <c r="A728" s="6" t="s">
        <v>1863</v>
      </c>
      <c r="B728" s="6" t="s">
        <v>16</v>
      </c>
      <c r="C728" s="6" t="s">
        <v>1875</v>
      </c>
      <c r="D728" s="7" t="s">
        <v>1876</v>
      </c>
      <c r="E728" s="6" t="s">
        <v>1877</v>
      </c>
      <c r="F728" s="9">
        <v>0</v>
      </c>
      <c r="G728" s="9">
        <v>0</v>
      </c>
      <c r="H728" s="4">
        <v>701752</v>
      </c>
      <c r="I728" s="4">
        <v>172541</v>
      </c>
      <c r="J728" s="16" t="str">
        <f t="shared" si="22"/>
        <v>--</v>
      </c>
      <c r="K728" s="16">
        <f t="shared" si="23"/>
        <v>-0.75412823903601267</v>
      </c>
    </row>
    <row r="729" spans="1:11" ht="19.5" customHeight="1" x14ac:dyDescent="0.25">
      <c r="A729" s="2" t="s">
        <v>1863</v>
      </c>
      <c r="B729" s="2" t="s">
        <v>16</v>
      </c>
      <c r="C729" s="2" t="s">
        <v>1878</v>
      </c>
      <c r="D729" s="2" t="s">
        <v>1879</v>
      </c>
      <c r="E729" s="2" t="s">
        <v>1880</v>
      </c>
      <c r="F729" s="3">
        <v>17</v>
      </c>
      <c r="G729" s="3">
        <v>70000</v>
      </c>
      <c r="H729" s="4">
        <v>0</v>
      </c>
      <c r="I729" s="4">
        <v>0</v>
      </c>
      <c r="J729" s="16">
        <f t="shared" si="22"/>
        <v>-1</v>
      </c>
      <c r="K729" s="16" t="str">
        <f t="shared" si="23"/>
        <v>--</v>
      </c>
    </row>
    <row r="730" spans="1:11" ht="19.5" customHeight="1" x14ac:dyDescent="0.25">
      <c r="A730" s="2" t="s">
        <v>1863</v>
      </c>
      <c r="B730" s="2" t="s">
        <v>16</v>
      </c>
      <c r="C730" s="2" t="s">
        <v>1881</v>
      </c>
      <c r="D730" s="2" t="s">
        <v>1882</v>
      </c>
      <c r="E730" s="2" t="s">
        <v>1883</v>
      </c>
      <c r="F730" s="3">
        <v>67028.2</v>
      </c>
      <c r="G730" s="3">
        <v>500000</v>
      </c>
      <c r="H730" s="4">
        <v>500000</v>
      </c>
      <c r="I730" s="4">
        <v>500000</v>
      </c>
      <c r="J730" s="16">
        <f t="shared" si="22"/>
        <v>0</v>
      </c>
      <c r="K730" s="16">
        <f t="shared" si="23"/>
        <v>0</v>
      </c>
    </row>
    <row r="731" spans="1:11" ht="19.5" customHeight="1" x14ac:dyDescent="0.25">
      <c r="A731" s="2" t="s">
        <v>1863</v>
      </c>
      <c r="B731" s="2" t="s">
        <v>813</v>
      </c>
      <c r="C731" s="2" t="s">
        <v>1884</v>
      </c>
      <c r="D731" s="2" t="s">
        <v>1885</v>
      </c>
      <c r="E731" s="2" t="s">
        <v>1886</v>
      </c>
      <c r="F731" s="3">
        <v>140360.78</v>
      </c>
      <c r="G731" s="3">
        <v>260856</v>
      </c>
      <c r="H731" s="4">
        <v>187286</v>
      </c>
      <c r="I731" s="4">
        <v>163224</v>
      </c>
      <c r="J731" s="16">
        <f t="shared" si="22"/>
        <v>-0.28203299904928392</v>
      </c>
      <c r="K731" s="16">
        <f t="shared" si="23"/>
        <v>-0.12847730209412345</v>
      </c>
    </row>
    <row r="732" spans="1:11" ht="19.5" customHeight="1" x14ac:dyDescent="0.25">
      <c r="A732" s="2" t="s">
        <v>1863</v>
      </c>
      <c r="B732" s="2" t="s">
        <v>813</v>
      </c>
      <c r="C732" s="2" t="s">
        <v>1884</v>
      </c>
      <c r="D732" s="2" t="s">
        <v>1887</v>
      </c>
      <c r="E732" s="2" t="s">
        <v>1888</v>
      </c>
      <c r="F732" s="3">
        <v>600736.64</v>
      </c>
      <c r="G732" s="3">
        <v>552706</v>
      </c>
      <c r="H732" s="4">
        <v>609411</v>
      </c>
      <c r="I732" s="4">
        <v>221420</v>
      </c>
      <c r="J732" s="16">
        <f t="shared" si="22"/>
        <v>0.10259523146121086</v>
      </c>
      <c r="K732" s="16">
        <f t="shared" si="23"/>
        <v>-0.63666556724443768</v>
      </c>
    </row>
    <row r="733" spans="1:11" ht="19.5" customHeight="1" x14ac:dyDescent="0.25">
      <c r="A733" s="2" t="s">
        <v>1863</v>
      </c>
      <c r="B733" s="2" t="s">
        <v>44</v>
      </c>
      <c r="C733" s="2" t="s">
        <v>1889</v>
      </c>
      <c r="D733" s="2" t="s">
        <v>1890</v>
      </c>
      <c r="E733" s="2" t="s">
        <v>1891</v>
      </c>
      <c r="F733" s="3">
        <v>809372.82</v>
      </c>
      <c r="G733" s="3">
        <v>930262</v>
      </c>
      <c r="H733" s="4">
        <v>903149</v>
      </c>
      <c r="I733" s="4">
        <v>922108</v>
      </c>
      <c r="J733" s="16">
        <f t="shared" si="22"/>
        <v>-2.914555254326201E-2</v>
      </c>
      <c r="K733" s="16">
        <f t="shared" si="23"/>
        <v>2.0992106507342623E-2</v>
      </c>
    </row>
    <row r="734" spans="1:11" ht="19.5" customHeight="1" x14ac:dyDescent="0.25">
      <c r="A734" s="2" t="s">
        <v>1863</v>
      </c>
      <c r="B734" s="2" t="s">
        <v>44</v>
      </c>
      <c r="C734" s="2" t="s">
        <v>1892</v>
      </c>
      <c r="D734" s="2" t="s">
        <v>1893</v>
      </c>
      <c r="E734" s="2" t="s">
        <v>1894</v>
      </c>
      <c r="F734" s="3">
        <v>2648870.48</v>
      </c>
      <c r="G734" s="4">
        <v>6232810</v>
      </c>
      <c r="H734" s="4">
        <v>3578278</v>
      </c>
      <c r="I734" s="4">
        <v>3578278</v>
      </c>
      <c r="J734" s="16">
        <f t="shared" si="22"/>
        <v>-0.42589650574941318</v>
      </c>
      <c r="K734" s="16">
        <f t="shared" si="23"/>
        <v>0</v>
      </c>
    </row>
    <row r="735" spans="1:11" ht="19.5" customHeight="1" x14ac:dyDescent="0.25">
      <c r="A735" s="2" t="s">
        <v>1863</v>
      </c>
      <c r="B735" s="2" t="s">
        <v>44</v>
      </c>
      <c r="C735" s="2" t="s">
        <v>1895</v>
      </c>
      <c r="D735" s="2" t="s">
        <v>1896</v>
      </c>
      <c r="E735" s="2" t="s">
        <v>1897</v>
      </c>
      <c r="F735" s="4">
        <v>30770446.399999999</v>
      </c>
      <c r="G735" s="3">
        <v>34986679</v>
      </c>
      <c r="H735" s="4">
        <v>27183376</v>
      </c>
      <c r="I735" s="4">
        <v>29957759</v>
      </c>
      <c r="J735" s="16">
        <f t="shared" si="22"/>
        <v>-0.22303640194029273</v>
      </c>
      <c r="K735" s="16">
        <f t="shared" si="23"/>
        <v>0.10206175274182283</v>
      </c>
    </row>
    <row r="736" spans="1:11" ht="19.5" customHeight="1" x14ac:dyDescent="0.25">
      <c r="A736" s="2" t="s">
        <v>1863</v>
      </c>
      <c r="B736" s="2" t="s">
        <v>54</v>
      </c>
      <c r="C736" s="2" t="s">
        <v>54</v>
      </c>
      <c r="D736" s="2" t="s">
        <v>1898</v>
      </c>
      <c r="E736" s="2" t="s">
        <v>1899</v>
      </c>
      <c r="F736" s="3">
        <v>32537797.5</v>
      </c>
      <c r="G736" s="4">
        <v>40445233</v>
      </c>
      <c r="H736" s="4">
        <v>45402392</v>
      </c>
      <c r="I736" s="4">
        <v>45393691</v>
      </c>
      <c r="J736" s="16">
        <f t="shared" si="22"/>
        <v>0.12256472845637956</v>
      </c>
      <c r="K736" s="16">
        <f t="shared" si="23"/>
        <v>-1.9164188529974258E-4</v>
      </c>
    </row>
    <row r="737" spans="1:11" ht="19.5" customHeight="1" x14ac:dyDescent="0.25">
      <c r="A737" s="2" t="s">
        <v>1863</v>
      </c>
      <c r="B737" s="2" t="s">
        <v>54</v>
      </c>
      <c r="C737" s="2" t="s">
        <v>54</v>
      </c>
      <c r="D737" s="2" t="s">
        <v>1900</v>
      </c>
      <c r="E737" s="2" t="s">
        <v>1901</v>
      </c>
      <c r="F737" s="3">
        <v>118497.15</v>
      </c>
      <c r="G737" s="3">
        <v>120829</v>
      </c>
      <c r="H737" s="4">
        <v>129332</v>
      </c>
      <c r="I737" s="4">
        <v>135813</v>
      </c>
      <c r="J737" s="16">
        <f t="shared" si="22"/>
        <v>7.0372178864345436E-2</v>
      </c>
      <c r="K737" s="16">
        <f t="shared" si="23"/>
        <v>5.0111341354034611E-2</v>
      </c>
    </row>
    <row r="738" spans="1:11" ht="19.5" customHeight="1" x14ac:dyDescent="0.25">
      <c r="A738" s="2" t="s">
        <v>1863</v>
      </c>
      <c r="B738" s="2" t="s">
        <v>54</v>
      </c>
      <c r="C738" s="2" t="s">
        <v>54</v>
      </c>
      <c r="D738" s="2" t="s">
        <v>1902</v>
      </c>
      <c r="E738" s="2" t="s">
        <v>1903</v>
      </c>
      <c r="F738" s="4">
        <v>3605186.93</v>
      </c>
      <c r="G738" s="3">
        <v>4102802</v>
      </c>
      <c r="H738" s="4">
        <v>4395439</v>
      </c>
      <c r="I738" s="4">
        <v>4197659</v>
      </c>
      <c r="J738" s="16">
        <f t="shared" si="22"/>
        <v>7.132613272587851E-2</v>
      </c>
      <c r="K738" s="16">
        <f t="shared" si="23"/>
        <v>-4.4996643111188672E-2</v>
      </c>
    </row>
    <row r="739" spans="1:11" ht="19.5" customHeight="1" x14ac:dyDescent="0.25">
      <c r="A739" s="2" t="s">
        <v>1863</v>
      </c>
      <c r="B739" s="2" t="s">
        <v>54</v>
      </c>
      <c r="C739" s="2" t="s">
        <v>54</v>
      </c>
      <c r="D739" s="2" t="s">
        <v>1904</v>
      </c>
      <c r="E739" s="2" t="s">
        <v>1905</v>
      </c>
      <c r="F739" s="3">
        <v>0</v>
      </c>
      <c r="G739" s="3">
        <v>0</v>
      </c>
      <c r="H739" s="4">
        <v>1500000</v>
      </c>
      <c r="I739" s="4">
        <v>1500000</v>
      </c>
      <c r="J739" s="16" t="str">
        <f t="shared" si="22"/>
        <v>--</v>
      </c>
      <c r="K739" s="16">
        <f t="shared" si="23"/>
        <v>0</v>
      </c>
    </row>
    <row r="740" spans="1:11" ht="19.5" customHeight="1" x14ac:dyDescent="0.25">
      <c r="A740" s="2" t="s">
        <v>1863</v>
      </c>
      <c r="B740" s="2" t="s">
        <v>54</v>
      </c>
      <c r="C740" s="2" t="s">
        <v>54</v>
      </c>
      <c r="D740" s="2" t="s">
        <v>1906</v>
      </c>
      <c r="E740" s="2" t="s">
        <v>1907</v>
      </c>
      <c r="F740" s="3">
        <v>4973458.76</v>
      </c>
      <c r="G740" s="3">
        <v>5470142</v>
      </c>
      <c r="H740" s="4">
        <v>5375000</v>
      </c>
      <c r="I740" s="4">
        <v>5000000</v>
      </c>
      <c r="J740" s="16">
        <f t="shared" si="22"/>
        <v>-1.7392967129555292E-2</v>
      </c>
      <c r="K740" s="16">
        <f t="shared" si="23"/>
        <v>-6.9767441860465129E-2</v>
      </c>
    </row>
    <row r="741" spans="1:11" ht="19.5" customHeight="1" x14ac:dyDescent="0.25">
      <c r="A741" s="2" t="s">
        <v>1908</v>
      </c>
      <c r="B741" s="2" t="s">
        <v>16</v>
      </c>
      <c r="C741" s="2" t="s">
        <v>1909</v>
      </c>
      <c r="D741" s="2" t="s">
        <v>1910</v>
      </c>
      <c r="E741" s="2" t="s">
        <v>1911</v>
      </c>
      <c r="F741" s="3">
        <v>1403553.48</v>
      </c>
      <c r="G741" s="3">
        <v>1463161</v>
      </c>
      <c r="H741" s="4">
        <v>1538933</v>
      </c>
      <c r="I741" s="4">
        <v>1416746</v>
      </c>
      <c r="J741" s="16">
        <f t="shared" si="22"/>
        <v>5.1786508798416619E-2</v>
      </c>
      <c r="K741" s="16">
        <f t="shared" si="23"/>
        <v>-7.9397218722322527E-2</v>
      </c>
    </row>
    <row r="742" spans="1:11" ht="19.5" customHeight="1" x14ac:dyDescent="0.25">
      <c r="A742" s="2" t="s">
        <v>1908</v>
      </c>
      <c r="B742" s="2" t="s">
        <v>16</v>
      </c>
      <c r="C742" s="2" t="s">
        <v>1912</v>
      </c>
      <c r="D742" s="2" t="s">
        <v>1913</v>
      </c>
      <c r="E742" s="2" t="s">
        <v>1803</v>
      </c>
      <c r="F742" s="3">
        <v>2621618.0099999998</v>
      </c>
      <c r="G742" s="3">
        <v>3292983</v>
      </c>
      <c r="H742" s="4">
        <v>2964749</v>
      </c>
      <c r="I742" s="4">
        <v>2546450</v>
      </c>
      <c r="J742" s="16">
        <f t="shared" si="22"/>
        <v>-9.9676797602659906E-2</v>
      </c>
      <c r="K742" s="16">
        <f t="shared" si="23"/>
        <v>-0.14109086469040044</v>
      </c>
    </row>
    <row r="743" spans="1:11" ht="19.5" customHeight="1" x14ac:dyDescent="0.25">
      <c r="A743" s="2" t="s">
        <v>1908</v>
      </c>
      <c r="B743" s="2" t="s">
        <v>16</v>
      </c>
      <c r="C743" s="2" t="s">
        <v>1914</v>
      </c>
      <c r="D743" s="2" t="s">
        <v>1915</v>
      </c>
      <c r="E743" s="2" t="s">
        <v>1916</v>
      </c>
      <c r="F743" s="3">
        <v>13864.61</v>
      </c>
      <c r="G743" s="3">
        <v>20300</v>
      </c>
      <c r="H743" s="4">
        <v>20300</v>
      </c>
      <c r="I743" s="4">
        <v>20300</v>
      </c>
      <c r="J743" s="16">
        <f t="shared" si="22"/>
        <v>0</v>
      </c>
      <c r="K743" s="16">
        <f t="shared" si="23"/>
        <v>0</v>
      </c>
    </row>
    <row r="744" spans="1:11" ht="19.5" customHeight="1" x14ac:dyDescent="0.25">
      <c r="A744" s="2" t="s">
        <v>1908</v>
      </c>
      <c r="B744" s="2" t="s">
        <v>16</v>
      </c>
      <c r="C744" s="2" t="s">
        <v>1917</v>
      </c>
      <c r="D744" s="2" t="s">
        <v>1918</v>
      </c>
      <c r="E744" s="2" t="s">
        <v>1919</v>
      </c>
      <c r="F744" s="3">
        <v>101491.96</v>
      </c>
      <c r="G744" s="3">
        <v>153968</v>
      </c>
      <c r="H744" s="4">
        <v>153968</v>
      </c>
      <c r="I744" s="4">
        <v>90968</v>
      </c>
      <c r="J744" s="16">
        <f t="shared" si="22"/>
        <v>0</v>
      </c>
      <c r="K744" s="16">
        <f t="shared" si="23"/>
        <v>-0.40917593266133223</v>
      </c>
    </row>
    <row r="745" spans="1:11" ht="19.5" customHeight="1" x14ac:dyDescent="0.25">
      <c r="A745" s="2" t="s">
        <v>1908</v>
      </c>
      <c r="B745" s="2" t="s">
        <v>16</v>
      </c>
      <c r="C745" s="2" t="s">
        <v>1920</v>
      </c>
      <c r="D745" s="2" t="s">
        <v>1921</v>
      </c>
      <c r="E745" s="2" t="s">
        <v>1922</v>
      </c>
      <c r="F745" s="3">
        <v>33915</v>
      </c>
      <c r="G745" s="3">
        <v>110063</v>
      </c>
      <c r="H745" s="4">
        <v>109663</v>
      </c>
      <c r="I745" s="4">
        <v>109663</v>
      </c>
      <c r="J745" s="16">
        <f t="shared" si="22"/>
        <v>-3.6342821838402095E-3</v>
      </c>
      <c r="K745" s="16">
        <f t="shared" si="23"/>
        <v>0</v>
      </c>
    </row>
    <row r="746" spans="1:11" ht="19.5" customHeight="1" x14ac:dyDescent="0.25">
      <c r="A746" s="2" t="s">
        <v>1908</v>
      </c>
      <c r="B746" s="2" t="s">
        <v>16</v>
      </c>
      <c r="C746" s="2" t="s">
        <v>1923</v>
      </c>
      <c r="D746" s="2" t="s">
        <v>1924</v>
      </c>
      <c r="E746" s="2" t="s">
        <v>1925</v>
      </c>
      <c r="F746" s="3">
        <v>41253.599999999999</v>
      </c>
      <c r="G746" s="3">
        <v>59000</v>
      </c>
      <c r="H746" s="4">
        <v>59000</v>
      </c>
      <c r="I746" s="4">
        <v>59000</v>
      </c>
      <c r="J746" s="16">
        <f t="shared" si="22"/>
        <v>0</v>
      </c>
      <c r="K746" s="16">
        <f t="shared" si="23"/>
        <v>0</v>
      </c>
    </row>
    <row r="747" spans="1:11" ht="19.5" customHeight="1" x14ac:dyDescent="0.25">
      <c r="A747" s="2" t="s">
        <v>1908</v>
      </c>
      <c r="B747" s="2" t="s">
        <v>44</v>
      </c>
      <c r="C747" s="2" t="s">
        <v>1926</v>
      </c>
      <c r="D747" s="2" t="s">
        <v>1927</v>
      </c>
      <c r="E747" s="2" t="s">
        <v>1928</v>
      </c>
      <c r="F747" s="3">
        <v>709557.98</v>
      </c>
      <c r="G747" s="3">
        <v>925890</v>
      </c>
      <c r="H747" s="4">
        <v>974805</v>
      </c>
      <c r="I747" s="4">
        <v>987656</v>
      </c>
      <c r="J747" s="16">
        <f t="shared" si="22"/>
        <v>5.2830249813692776E-2</v>
      </c>
      <c r="K747" s="16">
        <f t="shared" si="23"/>
        <v>1.3183149450402887E-2</v>
      </c>
    </row>
    <row r="748" spans="1:11" ht="19.5" customHeight="1" x14ac:dyDescent="0.25">
      <c r="A748" s="2" t="s">
        <v>1908</v>
      </c>
      <c r="B748" s="2" t="s">
        <v>44</v>
      </c>
      <c r="C748" s="2" t="s">
        <v>1926</v>
      </c>
      <c r="D748" s="2" t="s">
        <v>1929</v>
      </c>
      <c r="E748" s="2" t="s">
        <v>1930</v>
      </c>
      <c r="F748" s="3">
        <v>1788963.29</v>
      </c>
      <c r="G748" s="3">
        <v>4099482</v>
      </c>
      <c r="H748" s="4">
        <v>2289557</v>
      </c>
      <c r="I748" s="4">
        <v>2294382</v>
      </c>
      <c r="J748" s="16">
        <f t="shared" si="22"/>
        <v>-0.44150090182125445</v>
      </c>
      <c r="K748" s="16">
        <f t="shared" si="23"/>
        <v>2.1073945745835321E-3</v>
      </c>
    </row>
    <row r="749" spans="1:11" ht="19.5" customHeight="1" x14ac:dyDescent="0.25">
      <c r="A749" s="2" t="s">
        <v>1908</v>
      </c>
      <c r="B749" s="2" t="s">
        <v>44</v>
      </c>
      <c r="C749" s="2" t="s">
        <v>1926</v>
      </c>
      <c r="D749" s="2" t="s">
        <v>1931</v>
      </c>
      <c r="E749" s="2" t="s">
        <v>1932</v>
      </c>
      <c r="F749" s="3">
        <v>930720.73</v>
      </c>
      <c r="G749" s="3">
        <v>930000</v>
      </c>
      <c r="H749" s="4">
        <v>930000</v>
      </c>
      <c r="I749" s="4">
        <v>930000</v>
      </c>
      <c r="J749" s="16">
        <f t="shared" si="22"/>
        <v>0</v>
      </c>
      <c r="K749" s="16">
        <f t="shared" si="23"/>
        <v>0</v>
      </c>
    </row>
    <row r="750" spans="1:11" ht="19.5" customHeight="1" x14ac:dyDescent="0.25">
      <c r="A750" s="2" t="s">
        <v>1908</v>
      </c>
      <c r="B750" s="2" t="s">
        <v>44</v>
      </c>
      <c r="C750" s="2" t="s">
        <v>1926</v>
      </c>
      <c r="D750" s="2" t="s">
        <v>1933</v>
      </c>
      <c r="E750" s="2" t="s">
        <v>1934</v>
      </c>
      <c r="F750" s="4">
        <v>875683.6</v>
      </c>
      <c r="G750" s="3">
        <v>2100000</v>
      </c>
      <c r="H750" s="4">
        <v>3386344</v>
      </c>
      <c r="I750" s="4">
        <v>3449344</v>
      </c>
      <c r="J750" s="16">
        <f t="shared" si="22"/>
        <v>0.61254476190476193</v>
      </c>
      <c r="K750" s="16">
        <f t="shared" si="23"/>
        <v>1.8604134724647059E-2</v>
      </c>
    </row>
    <row r="751" spans="1:11" ht="19.5" customHeight="1" x14ac:dyDescent="0.25">
      <c r="A751" s="2" t="s">
        <v>1908</v>
      </c>
      <c r="B751" s="2" t="s">
        <v>44</v>
      </c>
      <c r="C751" s="2" t="s">
        <v>1935</v>
      </c>
      <c r="D751" s="2" t="s">
        <v>1936</v>
      </c>
      <c r="E751" s="2" t="s">
        <v>1937</v>
      </c>
      <c r="F751" s="3">
        <v>1673499.16</v>
      </c>
      <c r="G751" s="3">
        <v>2226998</v>
      </c>
      <c r="H751" s="4">
        <v>1907500</v>
      </c>
      <c r="I751" s="4">
        <v>1907501</v>
      </c>
      <c r="J751" s="16">
        <f t="shared" si="22"/>
        <v>-0.14346577769715108</v>
      </c>
      <c r="K751" s="16">
        <f t="shared" si="23"/>
        <v>5.2424639584991439E-7</v>
      </c>
    </row>
    <row r="752" spans="1:11" ht="19.5" customHeight="1" x14ac:dyDescent="0.25">
      <c r="A752" s="2" t="s">
        <v>1908</v>
      </c>
      <c r="B752" s="2" t="s">
        <v>54</v>
      </c>
      <c r="C752" s="2" t="s">
        <v>54</v>
      </c>
      <c r="D752" s="2" t="s">
        <v>1938</v>
      </c>
      <c r="E752" s="2" t="s">
        <v>1939</v>
      </c>
      <c r="F752" s="3">
        <v>164110813.16999999</v>
      </c>
      <c r="G752" s="3">
        <v>159359501</v>
      </c>
      <c r="H752" s="4">
        <v>166636645</v>
      </c>
      <c r="I752" s="4">
        <v>169044852</v>
      </c>
      <c r="J752" s="16">
        <f t="shared" si="22"/>
        <v>4.5664952226475597E-2</v>
      </c>
      <c r="K752" s="16">
        <f t="shared" si="23"/>
        <v>1.4451845210877945E-2</v>
      </c>
    </row>
    <row r="753" spans="1:11" ht="19.5" customHeight="1" x14ac:dyDescent="0.25">
      <c r="A753" s="2" t="s">
        <v>1908</v>
      </c>
      <c r="B753" s="2" t="s">
        <v>54</v>
      </c>
      <c r="C753" s="2" t="s">
        <v>54</v>
      </c>
      <c r="D753" s="2" t="s">
        <v>1940</v>
      </c>
      <c r="E753" s="2" t="s">
        <v>1941</v>
      </c>
      <c r="F753" s="3">
        <v>14502130.029999999</v>
      </c>
      <c r="G753" s="3">
        <v>16438156</v>
      </c>
      <c r="H753" s="4">
        <v>16250000</v>
      </c>
      <c r="I753" s="4">
        <v>18900000</v>
      </c>
      <c r="J753" s="16">
        <f t="shared" si="22"/>
        <v>-1.1446296044398174E-2</v>
      </c>
      <c r="K753" s="16">
        <f t="shared" si="23"/>
        <v>0.16307692307692312</v>
      </c>
    </row>
    <row r="754" spans="1:11" ht="19.5" customHeight="1" x14ac:dyDescent="0.25">
      <c r="A754" s="2" t="s">
        <v>1908</v>
      </c>
      <c r="B754" s="2" t="s">
        <v>54</v>
      </c>
      <c r="C754" s="2" t="s">
        <v>54</v>
      </c>
      <c r="D754" s="2" t="s">
        <v>1942</v>
      </c>
      <c r="E754" s="2" t="s">
        <v>1943</v>
      </c>
      <c r="F754" s="3">
        <v>16702727</v>
      </c>
      <c r="G754" s="3">
        <v>16702728</v>
      </c>
      <c r="H754" s="4">
        <v>16702728</v>
      </c>
      <c r="I754" s="4">
        <v>16702728</v>
      </c>
      <c r="J754" s="16">
        <f t="shared" si="22"/>
        <v>0</v>
      </c>
      <c r="K754" s="16">
        <f t="shared" si="23"/>
        <v>0</v>
      </c>
    </row>
    <row r="755" spans="1:11" ht="19.5" customHeight="1" x14ac:dyDescent="0.25">
      <c r="A755" s="2" t="s">
        <v>1908</v>
      </c>
      <c r="B755" s="2" t="s">
        <v>54</v>
      </c>
      <c r="C755" s="2" t="s">
        <v>54</v>
      </c>
      <c r="D755" s="2" t="s">
        <v>1944</v>
      </c>
      <c r="E755" s="2" t="s">
        <v>1945</v>
      </c>
      <c r="F755" s="3">
        <v>9390191.6999999993</v>
      </c>
      <c r="G755" s="3">
        <v>9463750</v>
      </c>
      <c r="H755" s="4">
        <v>9899086</v>
      </c>
      <c r="I755" s="4">
        <v>10050852</v>
      </c>
      <c r="J755" s="16">
        <f t="shared" si="22"/>
        <v>4.6000369832254639E-2</v>
      </c>
      <c r="K755" s="16">
        <f t="shared" si="23"/>
        <v>1.5331314426402676E-2</v>
      </c>
    </row>
    <row r="756" spans="1:11" ht="19.5" customHeight="1" x14ac:dyDescent="0.25">
      <c r="A756" s="2" t="s">
        <v>1908</v>
      </c>
      <c r="B756" s="2" t="s">
        <v>54</v>
      </c>
      <c r="C756" s="2" t="s">
        <v>54</v>
      </c>
      <c r="D756" s="2" t="s">
        <v>1946</v>
      </c>
      <c r="E756" s="2" t="s">
        <v>1838</v>
      </c>
      <c r="F756" s="3">
        <v>12450515.640000001</v>
      </c>
      <c r="G756" s="3">
        <v>12449753</v>
      </c>
      <c r="H756" s="4">
        <v>13741605</v>
      </c>
      <c r="I756" s="4">
        <v>14036850</v>
      </c>
      <c r="J756" s="16">
        <f t="shared" si="22"/>
        <v>0.10376527148771553</v>
      </c>
      <c r="K756" s="16">
        <f t="shared" si="23"/>
        <v>2.1485481499431858E-2</v>
      </c>
    </row>
    <row r="757" spans="1:11" ht="19.5" customHeight="1" x14ac:dyDescent="0.25">
      <c r="A757" s="2" t="s">
        <v>1947</v>
      </c>
      <c r="B757" s="2" t="s">
        <v>54</v>
      </c>
      <c r="C757" s="2" t="s">
        <v>54</v>
      </c>
      <c r="D757" s="2" t="s">
        <v>1948</v>
      </c>
      <c r="E757" s="2" t="s">
        <v>22</v>
      </c>
      <c r="F757" s="4">
        <v>497136.25</v>
      </c>
      <c r="G757" s="3">
        <v>651000</v>
      </c>
      <c r="H757" s="4">
        <v>651000</v>
      </c>
      <c r="I757" s="4">
        <v>651000</v>
      </c>
      <c r="J757" s="16">
        <f t="shared" si="22"/>
        <v>0</v>
      </c>
      <c r="K757" s="16">
        <f t="shared" si="23"/>
        <v>0</v>
      </c>
    </row>
    <row r="758" spans="1:11" ht="19.5" customHeight="1" x14ac:dyDescent="0.25">
      <c r="A758" s="2" t="s">
        <v>1949</v>
      </c>
      <c r="B758" s="2" t="s">
        <v>16</v>
      </c>
      <c r="C758" s="2" t="s">
        <v>1950</v>
      </c>
      <c r="D758" s="2" t="s">
        <v>1951</v>
      </c>
      <c r="E758" s="2" t="s">
        <v>1952</v>
      </c>
      <c r="F758" s="3">
        <v>556049.18000000005</v>
      </c>
      <c r="G758" s="3">
        <v>1000000</v>
      </c>
      <c r="H758" s="4">
        <v>1000000</v>
      </c>
      <c r="I758" s="4">
        <v>1000000</v>
      </c>
      <c r="J758" s="16">
        <f t="shared" si="22"/>
        <v>0</v>
      </c>
      <c r="K758" s="16">
        <f t="shared" si="23"/>
        <v>0</v>
      </c>
    </row>
    <row r="759" spans="1:11" ht="19.5" customHeight="1" x14ac:dyDescent="0.25">
      <c r="A759" s="2" t="s">
        <v>1949</v>
      </c>
      <c r="B759" s="2" t="s">
        <v>16</v>
      </c>
      <c r="C759" s="2" t="s">
        <v>1953</v>
      </c>
      <c r="D759" s="2" t="s">
        <v>1954</v>
      </c>
      <c r="E759" s="2" t="s">
        <v>1955</v>
      </c>
      <c r="F759" s="3">
        <v>961019.78</v>
      </c>
      <c r="G759" s="3">
        <v>1000000</v>
      </c>
      <c r="H759" s="4">
        <v>0</v>
      </c>
      <c r="I759" s="4">
        <v>0</v>
      </c>
      <c r="J759" s="16">
        <f t="shared" si="22"/>
        <v>-1</v>
      </c>
      <c r="K759" s="16" t="str">
        <f t="shared" si="23"/>
        <v>--</v>
      </c>
    </row>
    <row r="760" spans="1:11" ht="19.5" customHeight="1" x14ac:dyDescent="0.25">
      <c r="A760" s="2" t="s">
        <v>1949</v>
      </c>
      <c r="B760" s="2" t="s">
        <v>16</v>
      </c>
      <c r="C760" s="2" t="s">
        <v>1956</v>
      </c>
      <c r="D760" s="2" t="s">
        <v>1957</v>
      </c>
      <c r="E760" s="2" t="s">
        <v>1958</v>
      </c>
      <c r="F760" s="3">
        <v>12653068.35</v>
      </c>
      <c r="G760" s="3">
        <v>14000000</v>
      </c>
      <c r="H760" s="4">
        <v>14000000</v>
      </c>
      <c r="I760" s="4">
        <v>14000000</v>
      </c>
      <c r="J760" s="16">
        <f t="shared" si="22"/>
        <v>0</v>
      </c>
      <c r="K760" s="16">
        <f t="shared" si="23"/>
        <v>0</v>
      </c>
    </row>
    <row r="761" spans="1:11" ht="19.5" customHeight="1" x14ac:dyDescent="0.25">
      <c r="A761" s="2" t="s">
        <v>1949</v>
      </c>
      <c r="B761" s="2" t="s">
        <v>16</v>
      </c>
      <c r="C761" s="2" t="s">
        <v>1959</v>
      </c>
      <c r="D761" s="2" t="s">
        <v>1960</v>
      </c>
      <c r="E761" s="2" t="s">
        <v>1961</v>
      </c>
      <c r="F761" s="3">
        <v>130517.25</v>
      </c>
      <c r="G761" s="3">
        <v>1300000</v>
      </c>
      <c r="H761" s="4">
        <v>1300000</v>
      </c>
      <c r="I761" s="4">
        <v>1300000</v>
      </c>
      <c r="J761" s="16">
        <f t="shared" si="22"/>
        <v>0</v>
      </c>
      <c r="K761" s="16">
        <f t="shared" si="23"/>
        <v>0</v>
      </c>
    </row>
    <row r="762" spans="1:11" ht="19.5" customHeight="1" x14ac:dyDescent="0.25">
      <c r="A762" s="2" t="s">
        <v>1949</v>
      </c>
      <c r="B762" s="2" t="s">
        <v>16</v>
      </c>
      <c r="C762" s="2" t="s">
        <v>35</v>
      </c>
      <c r="D762" s="2" t="s">
        <v>1962</v>
      </c>
      <c r="E762" s="2" t="s">
        <v>1963</v>
      </c>
      <c r="F762" s="3">
        <v>0</v>
      </c>
      <c r="G762" s="3">
        <v>34554566</v>
      </c>
      <c r="H762" s="4">
        <v>0</v>
      </c>
      <c r="I762" s="4">
        <v>0</v>
      </c>
      <c r="J762" s="16">
        <f t="shared" si="22"/>
        <v>-1</v>
      </c>
      <c r="K762" s="16" t="str">
        <f t="shared" si="23"/>
        <v>--</v>
      </c>
    </row>
    <row r="763" spans="1:11" ht="19.5" customHeight="1" x14ac:dyDescent="0.25">
      <c r="A763" s="2" t="s">
        <v>1949</v>
      </c>
      <c r="B763" s="2" t="s">
        <v>16</v>
      </c>
      <c r="C763" s="2" t="s">
        <v>35</v>
      </c>
      <c r="D763" s="2" t="s">
        <v>1964</v>
      </c>
      <c r="E763" s="2" t="s">
        <v>1965</v>
      </c>
      <c r="F763" s="3">
        <v>0</v>
      </c>
      <c r="G763" s="3">
        <v>28827451</v>
      </c>
      <c r="H763" s="4">
        <v>0</v>
      </c>
      <c r="I763" s="4">
        <v>0</v>
      </c>
      <c r="J763" s="16">
        <f t="shared" si="22"/>
        <v>-1</v>
      </c>
      <c r="K763" s="16" t="str">
        <f t="shared" si="23"/>
        <v>--</v>
      </c>
    </row>
    <row r="764" spans="1:11" ht="19.5" customHeight="1" x14ac:dyDescent="0.25">
      <c r="A764" s="2" t="s">
        <v>1949</v>
      </c>
      <c r="B764" s="2" t="s">
        <v>16</v>
      </c>
      <c r="C764" s="2" t="s">
        <v>35</v>
      </c>
      <c r="D764" s="2" t="s">
        <v>1966</v>
      </c>
      <c r="E764" s="2" t="s">
        <v>1967</v>
      </c>
      <c r="F764" s="3">
        <v>0</v>
      </c>
      <c r="G764" s="3">
        <v>24586588</v>
      </c>
      <c r="H764" s="4">
        <v>0</v>
      </c>
      <c r="I764" s="4">
        <v>0</v>
      </c>
      <c r="J764" s="16">
        <f t="shared" si="22"/>
        <v>-1</v>
      </c>
      <c r="K764" s="16" t="str">
        <f t="shared" si="23"/>
        <v>--</v>
      </c>
    </row>
    <row r="765" spans="1:11" ht="19.5" customHeight="1" x14ac:dyDescent="0.25">
      <c r="A765" s="2" t="s">
        <v>1949</v>
      </c>
      <c r="B765" s="2" t="s">
        <v>16</v>
      </c>
      <c r="C765" s="2" t="s">
        <v>35</v>
      </c>
      <c r="D765" s="2" t="s">
        <v>1968</v>
      </c>
      <c r="E765" s="2" t="s">
        <v>1969</v>
      </c>
      <c r="F765" s="3">
        <v>0</v>
      </c>
      <c r="G765" s="3">
        <v>50000000</v>
      </c>
      <c r="H765" s="4">
        <v>0</v>
      </c>
      <c r="I765" s="4">
        <v>0</v>
      </c>
      <c r="J765" s="16">
        <f t="shared" si="22"/>
        <v>-1</v>
      </c>
      <c r="K765" s="16" t="str">
        <f t="shared" si="23"/>
        <v>--</v>
      </c>
    </row>
    <row r="766" spans="1:11" ht="19.5" customHeight="1" x14ac:dyDescent="0.25">
      <c r="A766" s="2" t="s">
        <v>1949</v>
      </c>
      <c r="B766" s="2" t="s">
        <v>16</v>
      </c>
      <c r="C766" s="2" t="s">
        <v>35</v>
      </c>
      <c r="D766" s="2" t="s">
        <v>1970</v>
      </c>
      <c r="E766" s="2" t="s">
        <v>1971</v>
      </c>
      <c r="F766" s="3">
        <v>0</v>
      </c>
      <c r="G766" s="3">
        <v>12031395</v>
      </c>
      <c r="H766" s="4">
        <v>0</v>
      </c>
      <c r="I766" s="4">
        <v>0</v>
      </c>
      <c r="J766" s="16">
        <f t="shared" si="22"/>
        <v>-1</v>
      </c>
      <c r="K766" s="16" t="str">
        <f t="shared" si="23"/>
        <v>--</v>
      </c>
    </row>
    <row r="767" spans="1:11" ht="19.5" customHeight="1" x14ac:dyDescent="0.25">
      <c r="A767" s="2" t="s">
        <v>1949</v>
      </c>
      <c r="B767" s="2" t="s">
        <v>16</v>
      </c>
      <c r="C767" s="2" t="s">
        <v>1972</v>
      </c>
      <c r="D767" s="2" t="s">
        <v>1973</v>
      </c>
      <c r="E767" s="2" t="s">
        <v>1974</v>
      </c>
      <c r="F767" s="3">
        <v>0</v>
      </c>
      <c r="G767" s="3">
        <v>2000000</v>
      </c>
      <c r="H767" s="4">
        <v>2000000</v>
      </c>
      <c r="I767" s="4">
        <v>2000000</v>
      </c>
      <c r="J767" s="16">
        <f t="shared" si="22"/>
        <v>0</v>
      </c>
      <c r="K767" s="16">
        <f t="shared" si="23"/>
        <v>0</v>
      </c>
    </row>
    <row r="768" spans="1:11" ht="19.5" customHeight="1" x14ac:dyDescent="0.25">
      <c r="A768" s="2" t="s">
        <v>1949</v>
      </c>
      <c r="B768" s="2" t="s">
        <v>16</v>
      </c>
      <c r="C768" s="2" t="s">
        <v>1975</v>
      </c>
      <c r="D768" s="2" t="s">
        <v>1976</v>
      </c>
      <c r="E768" s="2" t="s">
        <v>1977</v>
      </c>
      <c r="F768" s="3">
        <v>968260.05</v>
      </c>
      <c r="G768" s="3">
        <v>1250000</v>
      </c>
      <c r="H768" s="4">
        <v>1250000</v>
      </c>
      <c r="I768" s="4">
        <v>1250000</v>
      </c>
      <c r="J768" s="16">
        <f t="shared" si="22"/>
        <v>0</v>
      </c>
      <c r="K768" s="16">
        <f t="shared" si="23"/>
        <v>0</v>
      </c>
    </row>
    <row r="769" spans="1:11" ht="19.5" customHeight="1" x14ac:dyDescent="0.25">
      <c r="A769" s="2" t="s">
        <v>1949</v>
      </c>
      <c r="B769" s="2" t="s">
        <v>16</v>
      </c>
      <c r="C769" s="2" t="s">
        <v>1978</v>
      </c>
      <c r="D769" s="2" t="s">
        <v>1979</v>
      </c>
      <c r="E769" s="2" t="s">
        <v>1980</v>
      </c>
      <c r="F769" s="3">
        <v>0</v>
      </c>
      <c r="G769" s="3">
        <v>550000</v>
      </c>
      <c r="H769" s="4">
        <v>550000</v>
      </c>
      <c r="I769" s="4">
        <v>550000</v>
      </c>
      <c r="J769" s="16">
        <f t="shared" si="22"/>
        <v>0</v>
      </c>
      <c r="K769" s="16">
        <f t="shared" si="23"/>
        <v>0</v>
      </c>
    </row>
    <row r="770" spans="1:11" ht="19.5" customHeight="1" x14ac:dyDescent="0.25">
      <c r="A770" s="2" t="s">
        <v>1949</v>
      </c>
      <c r="B770" s="2" t="s">
        <v>16</v>
      </c>
      <c r="C770" s="2" t="s">
        <v>1981</v>
      </c>
      <c r="D770" s="2" t="s">
        <v>1982</v>
      </c>
      <c r="E770" s="2" t="s">
        <v>1983</v>
      </c>
      <c r="F770" s="3">
        <v>119041.79</v>
      </c>
      <c r="G770" s="3">
        <v>175000</v>
      </c>
      <c r="H770" s="4">
        <v>175000</v>
      </c>
      <c r="I770" s="4">
        <v>175000</v>
      </c>
      <c r="J770" s="16">
        <f t="shared" si="22"/>
        <v>0</v>
      </c>
      <c r="K770" s="16">
        <f t="shared" si="23"/>
        <v>0</v>
      </c>
    </row>
    <row r="771" spans="1:11" ht="19.5" customHeight="1" x14ac:dyDescent="0.25">
      <c r="A771" s="2" t="s">
        <v>1949</v>
      </c>
      <c r="B771" s="2" t="s">
        <v>16</v>
      </c>
      <c r="C771" s="2" t="s">
        <v>1984</v>
      </c>
      <c r="D771" s="2" t="s">
        <v>1985</v>
      </c>
      <c r="E771" s="2" t="s">
        <v>1986</v>
      </c>
      <c r="F771" s="3">
        <v>238544.41</v>
      </c>
      <c r="G771" s="3">
        <v>0</v>
      </c>
      <c r="H771" s="4">
        <v>0</v>
      </c>
      <c r="I771" s="4">
        <v>0</v>
      </c>
      <c r="J771" s="16" t="str">
        <f t="shared" ref="J771:J834" si="24">IFERROR(H771/G771-1,"--")</f>
        <v>--</v>
      </c>
      <c r="K771" s="16" t="str">
        <f t="shared" ref="K771:K834" si="25">IFERROR(I771/H771-1,"--")</f>
        <v>--</v>
      </c>
    </row>
    <row r="772" spans="1:11" ht="19.5" customHeight="1" x14ac:dyDescent="0.25">
      <c r="A772" s="2" t="s">
        <v>1949</v>
      </c>
      <c r="B772" s="2" t="s">
        <v>16</v>
      </c>
      <c r="C772" s="2" t="s">
        <v>1987</v>
      </c>
      <c r="D772" s="2" t="s">
        <v>1988</v>
      </c>
      <c r="E772" s="6" t="s">
        <v>1989</v>
      </c>
      <c r="F772" s="3">
        <v>274775371.13999999</v>
      </c>
      <c r="G772" s="3">
        <v>400000000</v>
      </c>
      <c r="H772" s="4">
        <v>500000000</v>
      </c>
      <c r="I772" s="4">
        <v>600000000</v>
      </c>
      <c r="J772" s="16">
        <f t="shared" si="24"/>
        <v>0.25</v>
      </c>
      <c r="K772" s="16">
        <f t="shared" si="25"/>
        <v>0.19999999999999996</v>
      </c>
    </row>
    <row r="773" spans="1:11" ht="19.5" customHeight="1" x14ac:dyDescent="0.25">
      <c r="A773" s="2" t="s">
        <v>1949</v>
      </c>
      <c r="B773" s="2" t="s">
        <v>16</v>
      </c>
      <c r="C773" s="2" t="s">
        <v>1990</v>
      </c>
      <c r="D773" s="2" t="s">
        <v>1991</v>
      </c>
      <c r="E773" s="2" t="s">
        <v>1992</v>
      </c>
      <c r="F773" s="3">
        <v>0</v>
      </c>
      <c r="G773" s="3">
        <v>20000000</v>
      </c>
      <c r="H773" s="4">
        <v>50000000</v>
      </c>
      <c r="I773" s="4">
        <v>0</v>
      </c>
      <c r="J773" s="16">
        <f t="shared" si="24"/>
        <v>1.5</v>
      </c>
      <c r="K773" s="16">
        <f t="shared" si="25"/>
        <v>-1</v>
      </c>
    </row>
    <row r="774" spans="1:11" ht="19.5" customHeight="1" x14ac:dyDescent="0.25">
      <c r="A774" s="2" t="s">
        <v>1949</v>
      </c>
      <c r="B774" s="2" t="s">
        <v>16</v>
      </c>
      <c r="C774" s="2" t="s">
        <v>1993</v>
      </c>
      <c r="D774" s="2" t="s">
        <v>1994</v>
      </c>
      <c r="E774" s="2" t="s">
        <v>1995</v>
      </c>
      <c r="F774" s="3">
        <v>1175382.6599999999</v>
      </c>
      <c r="G774" s="3">
        <v>600000</v>
      </c>
      <c r="H774" s="4">
        <v>600000</v>
      </c>
      <c r="I774" s="4">
        <v>600000</v>
      </c>
      <c r="J774" s="16">
        <f t="shared" si="24"/>
        <v>0</v>
      </c>
      <c r="K774" s="16">
        <f t="shared" si="25"/>
        <v>0</v>
      </c>
    </row>
    <row r="775" spans="1:11" ht="19.5" customHeight="1" x14ac:dyDescent="0.25">
      <c r="A775" s="2" t="s">
        <v>1949</v>
      </c>
      <c r="B775" s="2" t="s">
        <v>44</v>
      </c>
      <c r="C775" s="2" t="s">
        <v>1996</v>
      </c>
      <c r="D775" s="2" t="s">
        <v>1997</v>
      </c>
      <c r="E775" s="2" t="s">
        <v>1998</v>
      </c>
      <c r="F775" s="3">
        <v>8985875.6500000004</v>
      </c>
      <c r="G775" s="3">
        <v>11897473</v>
      </c>
      <c r="H775" s="4">
        <v>12254397</v>
      </c>
      <c r="I775" s="4">
        <v>12611321</v>
      </c>
      <c r="J775" s="16">
        <f t="shared" si="24"/>
        <v>2.9999984030222304E-2</v>
      </c>
      <c r="K775" s="16">
        <f t="shared" si="25"/>
        <v>2.9126198539185522E-2</v>
      </c>
    </row>
    <row r="776" spans="1:11" ht="19.5" customHeight="1" x14ac:dyDescent="0.25">
      <c r="A776" s="2" t="s">
        <v>1949</v>
      </c>
      <c r="B776" s="2" t="s">
        <v>44</v>
      </c>
      <c r="C776" s="2" t="s">
        <v>1999</v>
      </c>
      <c r="D776" s="2" t="s">
        <v>2000</v>
      </c>
      <c r="E776" s="2" t="s">
        <v>2001</v>
      </c>
      <c r="F776" s="3">
        <v>1416626.7</v>
      </c>
      <c r="G776" s="3">
        <v>2000000</v>
      </c>
      <c r="H776" s="4">
        <v>2000000</v>
      </c>
      <c r="I776" s="4">
        <v>2000000</v>
      </c>
      <c r="J776" s="16">
        <f t="shared" si="24"/>
        <v>0</v>
      </c>
      <c r="K776" s="16">
        <f t="shared" si="25"/>
        <v>0</v>
      </c>
    </row>
    <row r="777" spans="1:11" ht="19.5" customHeight="1" x14ac:dyDescent="0.25">
      <c r="A777" s="2" t="s">
        <v>1949</v>
      </c>
      <c r="B777" s="2" t="s">
        <v>44</v>
      </c>
      <c r="C777" s="2" t="s">
        <v>2002</v>
      </c>
      <c r="D777" s="2" t="s">
        <v>2003</v>
      </c>
      <c r="E777" s="2" t="s">
        <v>2004</v>
      </c>
      <c r="F777" s="3">
        <v>93448.58</v>
      </c>
      <c r="G777" s="3">
        <v>295500</v>
      </c>
      <c r="H777" s="4">
        <v>295500</v>
      </c>
      <c r="I777" s="4">
        <v>295500</v>
      </c>
      <c r="J777" s="16">
        <f t="shared" si="24"/>
        <v>0</v>
      </c>
      <c r="K777" s="16">
        <f t="shared" si="25"/>
        <v>0</v>
      </c>
    </row>
    <row r="778" spans="1:11" ht="19.5" customHeight="1" x14ac:dyDescent="0.25">
      <c r="A778" s="2" t="s">
        <v>1949</v>
      </c>
      <c r="B778" s="2" t="s">
        <v>44</v>
      </c>
      <c r="C778" s="2" t="s">
        <v>2005</v>
      </c>
      <c r="D778" s="2" t="s">
        <v>2006</v>
      </c>
      <c r="E778" s="2" t="s">
        <v>2007</v>
      </c>
      <c r="F778" s="3">
        <v>11711873.470000001</v>
      </c>
      <c r="G778" s="3">
        <v>17000000</v>
      </c>
      <c r="H778" s="4">
        <v>17000000</v>
      </c>
      <c r="I778" s="4">
        <v>0</v>
      </c>
      <c r="J778" s="16">
        <f t="shared" si="24"/>
        <v>0</v>
      </c>
      <c r="K778" s="16">
        <f t="shared" si="25"/>
        <v>-1</v>
      </c>
    </row>
    <row r="779" spans="1:11" ht="19.5" customHeight="1" x14ac:dyDescent="0.25">
      <c r="A779" s="2" t="s">
        <v>1949</v>
      </c>
      <c r="B779" s="2" t="s">
        <v>44</v>
      </c>
      <c r="C779" s="2" t="s">
        <v>2008</v>
      </c>
      <c r="D779" s="2" t="s">
        <v>2009</v>
      </c>
      <c r="E779" s="2" t="s">
        <v>2010</v>
      </c>
      <c r="F779" s="3">
        <v>13702139.75</v>
      </c>
      <c r="G779" s="3">
        <v>12555000</v>
      </c>
      <c r="H779" s="4">
        <v>14000000</v>
      </c>
      <c r="I779" s="4">
        <v>14000000</v>
      </c>
      <c r="J779" s="16">
        <f t="shared" si="24"/>
        <v>0.11509358821186777</v>
      </c>
      <c r="K779" s="16">
        <f t="shared" si="25"/>
        <v>0</v>
      </c>
    </row>
    <row r="780" spans="1:11" ht="19.5" customHeight="1" x14ac:dyDescent="0.25">
      <c r="A780" s="2" t="s">
        <v>1949</v>
      </c>
      <c r="B780" s="2" t="s">
        <v>44</v>
      </c>
      <c r="C780" s="2" t="s">
        <v>2011</v>
      </c>
      <c r="D780" s="2" t="s">
        <v>2012</v>
      </c>
      <c r="E780" s="2" t="s">
        <v>2013</v>
      </c>
      <c r="F780" s="3">
        <v>1908328.8</v>
      </c>
      <c r="G780" s="4">
        <v>2700000</v>
      </c>
      <c r="H780" s="4">
        <v>2700000</v>
      </c>
      <c r="I780" s="4">
        <v>2700000</v>
      </c>
      <c r="J780" s="16">
        <f t="shared" si="24"/>
        <v>0</v>
      </c>
      <c r="K780" s="16">
        <f t="shared" si="25"/>
        <v>0</v>
      </c>
    </row>
    <row r="781" spans="1:11" ht="19.5" customHeight="1" x14ac:dyDescent="0.25">
      <c r="A781" s="2" t="s">
        <v>1949</v>
      </c>
      <c r="B781" s="2" t="s">
        <v>44</v>
      </c>
      <c r="C781" s="2" t="s">
        <v>2014</v>
      </c>
      <c r="D781" s="2" t="s">
        <v>2015</v>
      </c>
      <c r="E781" s="2" t="s">
        <v>2016</v>
      </c>
      <c r="F781" s="3">
        <v>3248043.85</v>
      </c>
      <c r="G781" s="3">
        <v>3300000</v>
      </c>
      <c r="H781" s="4">
        <v>3600000</v>
      </c>
      <c r="I781" s="4">
        <v>3600000</v>
      </c>
      <c r="J781" s="16">
        <f t="shared" si="24"/>
        <v>9.0909090909090828E-2</v>
      </c>
      <c r="K781" s="16">
        <f t="shared" si="25"/>
        <v>0</v>
      </c>
    </row>
    <row r="782" spans="1:11" ht="19.5" customHeight="1" x14ac:dyDescent="0.25">
      <c r="A782" s="2" t="s">
        <v>1949</v>
      </c>
      <c r="B782" s="2" t="s">
        <v>44</v>
      </c>
      <c r="C782" s="2" t="s">
        <v>2017</v>
      </c>
      <c r="D782" s="2" t="s">
        <v>2018</v>
      </c>
      <c r="E782" s="2" t="s">
        <v>2019</v>
      </c>
      <c r="F782" s="3">
        <v>13004728.560000001</v>
      </c>
      <c r="G782" s="3">
        <v>12511000</v>
      </c>
      <c r="H782" s="4">
        <v>2000000</v>
      </c>
      <c r="I782" s="4">
        <v>0</v>
      </c>
      <c r="J782" s="16">
        <f t="shared" si="24"/>
        <v>-0.84014067620493971</v>
      </c>
      <c r="K782" s="16">
        <f t="shared" si="25"/>
        <v>-1</v>
      </c>
    </row>
    <row r="783" spans="1:11" ht="19.5" customHeight="1" x14ac:dyDescent="0.25">
      <c r="A783" s="2" t="s">
        <v>1949</v>
      </c>
      <c r="B783" s="2" t="s">
        <v>44</v>
      </c>
      <c r="C783" s="2" t="s">
        <v>2020</v>
      </c>
      <c r="D783" s="2" t="s">
        <v>2021</v>
      </c>
      <c r="E783" s="2" t="s">
        <v>2022</v>
      </c>
      <c r="F783" s="3">
        <v>32565919.620000001</v>
      </c>
      <c r="G783" s="3">
        <v>196342299</v>
      </c>
      <c r="H783" s="4">
        <v>60000000</v>
      </c>
      <c r="I783" s="4">
        <v>30000000</v>
      </c>
      <c r="J783" s="16">
        <f t="shared" si="24"/>
        <v>-0.69441123840563768</v>
      </c>
      <c r="K783" s="16">
        <f t="shared" si="25"/>
        <v>-0.5</v>
      </c>
    </row>
    <row r="784" spans="1:11" ht="19.5" customHeight="1" x14ac:dyDescent="0.25">
      <c r="A784" s="2" t="s">
        <v>1949</v>
      </c>
      <c r="B784" s="2" t="s">
        <v>44</v>
      </c>
      <c r="C784" s="2" t="s">
        <v>2023</v>
      </c>
      <c r="D784" s="2" t="s">
        <v>2024</v>
      </c>
      <c r="E784" s="2" t="s">
        <v>2025</v>
      </c>
      <c r="F784" s="3">
        <v>3636217.29</v>
      </c>
      <c r="G784" s="3">
        <v>5145074</v>
      </c>
      <c r="H784" s="4">
        <v>5145074</v>
      </c>
      <c r="I784" s="4">
        <v>5145074</v>
      </c>
      <c r="J784" s="16">
        <f t="shared" si="24"/>
        <v>0</v>
      </c>
      <c r="K784" s="16">
        <f t="shared" si="25"/>
        <v>0</v>
      </c>
    </row>
    <row r="785" spans="1:11" ht="19.5" customHeight="1" x14ac:dyDescent="0.25">
      <c r="A785" s="2" t="s">
        <v>1949</v>
      </c>
      <c r="B785" s="2" t="s">
        <v>44</v>
      </c>
      <c r="C785" s="2" t="s">
        <v>2026</v>
      </c>
      <c r="D785" s="2" t="s">
        <v>2027</v>
      </c>
      <c r="E785" s="2" t="s">
        <v>2028</v>
      </c>
      <c r="F785" s="3">
        <v>2550019.56</v>
      </c>
      <c r="G785" s="3">
        <v>7056327</v>
      </c>
      <c r="H785" s="4">
        <v>7056327</v>
      </c>
      <c r="I785" s="4">
        <v>7056327</v>
      </c>
      <c r="J785" s="16">
        <f t="shared" si="24"/>
        <v>0</v>
      </c>
      <c r="K785" s="16">
        <f t="shared" si="25"/>
        <v>0</v>
      </c>
    </row>
    <row r="786" spans="1:11" ht="19.5" customHeight="1" x14ac:dyDescent="0.25">
      <c r="A786" s="2" t="s">
        <v>1949</v>
      </c>
      <c r="B786" s="2" t="s">
        <v>44</v>
      </c>
      <c r="C786" s="2" t="s">
        <v>2029</v>
      </c>
      <c r="D786" s="2" t="s">
        <v>2030</v>
      </c>
      <c r="E786" s="2" t="s">
        <v>2031</v>
      </c>
      <c r="F786" s="3">
        <v>33590714.979999997</v>
      </c>
      <c r="G786" s="3">
        <v>40042720</v>
      </c>
      <c r="H786" s="4">
        <v>40042720</v>
      </c>
      <c r="I786" s="4">
        <v>40042720</v>
      </c>
      <c r="J786" s="16">
        <f t="shared" si="24"/>
        <v>0</v>
      </c>
      <c r="K786" s="16">
        <f t="shared" si="25"/>
        <v>0</v>
      </c>
    </row>
    <row r="787" spans="1:11" ht="19.5" customHeight="1" x14ac:dyDescent="0.25">
      <c r="A787" s="2" t="s">
        <v>1949</v>
      </c>
      <c r="B787" s="2" t="s">
        <v>44</v>
      </c>
      <c r="C787" s="2" t="s">
        <v>2032</v>
      </c>
      <c r="D787" s="2" t="s">
        <v>2033</v>
      </c>
      <c r="E787" s="2" t="s">
        <v>2034</v>
      </c>
      <c r="F787" s="3">
        <v>0</v>
      </c>
      <c r="G787" s="3">
        <v>14630000</v>
      </c>
      <c r="H787" s="4">
        <v>14630000</v>
      </c>
      <c r="I787" s="4">
        <v>14630000</v>
      </c>
      <c r="J787" s="16">
        <f t="shared" si="24"/>
        <v>0</v>
      </c>
      <c r="K787" s="16">
        <f t="shared" si="25"/>
        <v>0</v>
      </c>
    </row>
    <row r="788" spans="1:11" ht="19.5" customHeight="1" x14ac:dyDescent="0.25">
      <c r="A788" s="2" t="s">
        <v>1949</v>
      </c>
      <c r="B788" s="2" t="s">
        <v>44</v>
      </c>
      <c r="C788" s="2" t="s">
        <v>550</v>
      </c>
      <c r="D788" s="2" t="s">
        <v>2035</v>
      </c>
      <c r="E788" s="2" t="s">
        <v>2036</v>
      </c>
      <c r="F788" s="4">
        <v>0</v>
      </c>
      <c r="G788" s="3">
        <v>6000000</v>
      </c>
      <c r="H788" s="4">
        <v>0</v>
      </c>
      <c r="I788" s="4">
        <v>0</v>
      </c>
      <c r="J788" s="16">
        <f t="shared" si="24"/>
        <v>-1</v>
      </c>
      <c r="K788" s="16" t="str">
        <f t="shared" si="25"/>
        <v>--</v>
      </c>
    </row>
    <row r="789" spans="1:11" ht="19.5" customHeight="1" x14ac:dyDescent="0.25">
      <c r="A789" s="2" t="s">
        <v>1949</v>
      </c>
      <c r="B789" s="2" t="s">
        <v>44</v>
      </c>
      <c r="C789" s="2" t="s">
        <v>550</v>
      </c>
      <c r="D789" s="2" t="s">
        <v>2037</v>
      </c>
      <c r="E789" s="2" t="s">
        <v>2038</v>
      </c>
      <c r="F789" s="3">
        <v>0</v>
      </c>
      <c r="G789" s="3">
        <v>53385025</v>
      </c>
      <c r="H789" s="4">
        <v>0</v>
      </c>
      <c r="I789" s="4">
        <v>0</v>
      </c>
      <c r="J789" s="16">
        <f t="shared" si="24"/>
        <v>-1</v>
      </c>
      <c r="K789" s="16" t="str">
        <f t="shared" si="25"/>
        <v>--</v>
      </c>
    </row>
    <row r="790" spans="1:11" ht="19.5" customHeight="1" x14ac:dyDescent="0.25">
      <c r="A790" s="2" t="s">
        <v>1949</v>
      </c>
      <c r="B790" s="2" t="s">
        <v>44</v>
      </c>
      <c r="C790" s="2" t="s">
        <v>550</v>
      </c>
      <c r="D790" s="2" t="s">
        <v>2039</v>
      </c>
      <c r="E790" s="2" t="s">
        <v>2040</v>
      </c>
      <c r="F790" s="4">
        <v>0</v>
      </c>
      <c r="G790" s="3">
        <v>154896274</v>
      </c>
      <c r="H790" s="4">
        <v>0</v>
      </c>
      <c r="I790" s="4">
        <v>0</v>
      </c>
      <c r="J790" s="16">
        <f t="shared" si="24"/>
        <v>-1</v>
      </c>
      <c r="K790" s="16" t="str">
        <f t="shared" si="25"/>
        <v>--</v>
      </c>
    </row>
    <row r="791" spans="1:11" ht="19.5" customHeight="1" x14ac:dyDescent="0.25">
      <c r="A791" s="2" t="s">
        <v>1949</v>
      </c>
      <c r="B791" s="2" t="s">
        <v>44</v>
      </c>
      <c r="C791" s="2" t="s">
        <v>2041</v>
      </c>
      <c r="D791" s="2" t="s">
        <v>2042</v>
      </c>
      <c r="E791" s="2" t="s">
        <v>2043</v>
      </c>
      <c r="F791" s="3">
        <v>16843899.48</v>
      </c>
      <c r="G791" s="3">
        <v>863156100</v>
      </c>
      <c r="H791" s="4">
        <v>57250000</v>
      </c>
      <c r="I791" s="4">
        <v>75250000</v>
      </c>
      <c r="J791" s="16">
        <f t="shared" si="24"/>
        <v>-0.93367364257751295</v>
      </c>
      <c r="K791" s="16">
        <f t="shared" si="25"/>
        <v>0.31441048034934505</v>
      </c>
    </row>
    <row r="792" spans="1:11" ht="19.5" customHeight="1" x14ac:dyDescent="0.25">
      <c r="A792" s="2" t="s">
        <v>1949</v>
      </c>
      <c r="B792" s="2" t="s">
        <v>44</v>
      </c>
      <c r="C792" s="2" t="s">
        <v>2044</v>
      </c>
      <c r="D792" s="2" t="s">
        <v>2045</v>
      </c>
      <c r="E792" s="2" t="s">
        <v>2046</v>
      </c>
      <c r="F792" s="3">
        <v>320468968.14999998</v>
      </c>
      <c r="G792" s="3">
        <v>430837000</v>
      </c>
      <c r="H792" s="4">
        <v>430837000</v>
      </c>
      <c r="I792" s="4">
        <v>430837000</v>
      </c>
      <c r="J792" s="16">
        <f t="shared" si="24"/>
        <v>0</v>
      </c>
      <c r="K792" s="16">
        <f t="shared" si="25"/>
        <v>0</v>
      </c>
    </row>
    <row r="793" spans="1:11" ht="19.5" customHeight="1" x14ac:dyDescent="0.25">
      <c r="A793" s="2" t="s">
        <v>1949</v>
      </c>
      <c r="B793" s="2" t="s">
        <v>44</v>
      </c>
      <c r="C793" s="2" t="s">
        <v>2047</v>
      </c>
      <c r="D793" s="2" t="s">
        <v>2048</v>
      </c>
      <c r="E793" s="2" t="s">
        <v>2049</v>
      </c>
      <c r="F793" s="3">
        <v>120667124.09</v>
      </c>
      <c r="G793" s="3">
        <v>163350081</v>
      </c>
      <c r="H793" s="4">
        <v>163350081</v>
      </c>
      <c r="I793" s="4">
        <v>163350081</v>
      </c>
      <c r="J793" s="16">
        <f t="shared" si="24"/>
        <v>0</v>
      </c>
      <c r="K793" s="16">
        <f t="shared" si="25"/>
        <v>0</v>
      </c>
    </row>
    <row r="794" spans="1:11" ht="19.5" customHeight="1" x14ac:dyDescent="0.25">
      <c r="A794" s="2" t="s">
        <v>1949</v>
      </c>
      <c r="B794" s="2" t="s">
        <v>44</v>
      </c>
      <c r="C794" s="2" t="s">
        <v>2050</v>
      </c>
      <c r="D794" s="2" t="s">
        <v>2051</v>
      </c>
      <c r="E794" s="2" t="s">
        <v>2052</v>
      </c>
      <c r="F794" s="3">
        <v>89947311.090000004</v>
      </c>
      <c r="G794" s="3">
        <v>113328580</v>
      </c>
      <c r="H794" s="4">
        <v>113328580</v>
      </c>
      <c r="I794" s="4">
        <v>113328580</v>
      </c>
      <c r="J794" s="16">
        <f t="shared" si="24"/>
        <v>0</v>
      </c>
      <c r="K794" s="16">
        <f t="shared" si="25"/>
        <v>0</v>
      </c>
    </row>
    <row r="795" spans="1:11" ht="19.5" customHeight="1" x14ac:dyDescent="0.25">
      <c r="A795" s="2" t="s">
        <v>1949</v>
      </c>
      <c r="B795" s="2" t="s">
        <v>44</v>
      </c>
      <c r="C795" s="2" t="s">
        <v>2053</v>
      </c>
      <c r="D795" s="2" t="s">
        <v>2054</v>
      </c>
      <c r="E795" s="2" t="s">
        <v>2055</v>
      </c>
      <c r="F795" s="3">
        <v>42698847.520000003</v>
      </c>
      <c r="G795" s="4">
        <v>46000000</v>
      </c>
      <c r="H795" s="4">
        <v>46000000</v>
      </c>
      <c r="I795" s="4">
        <v>46000000</v>
      </c>
      <c r="J795" s="16">
        <f t="shared" si="24"/>
        <v>0</v>
      </c>
      <c r="K795" s="16">
        <f t="shared" si="25"/>
        <v>0</v>
      </c>
    </row>
    <row r="796" spans="1:11" ht="19.5" customHeight="1" x14ac:dyDescent="0.25">
      <c r="A796" s="2" t="s">
        <v>1949</v>
      </c>
      <c r="B796" s="2" t="s">
        <v>44</v>
      </c>
      <c r="C796" s="2" t="s">
        <v>2056</v>
      </c>
      <c r="D796" s="2" t="s">
        <v>2057</v>
      </c>
      <c r="E796" s="2" t="s">
        <v>2058</v>
      </c>
      <c r="F796" s="3">
        <v>558595818.71000004</v>
      </c>
      <c r="G796" s="3">
        <v>600000000</v>
      </c>
      <c r="H796" s="4">
        <v>600000000</v>
      </c>
      <c r="I796" s="4">
        <v>600000000</v>
      </c>
      <c r="J796" s="16">
        <f t="shared" si="24"/>
        <v>0</v>
      </c>
      <c r="K796" s="16">
        <f t="shared" si="25"/>
        <v>0</v>
      </c>
    </row>
    <row r="797" spans="1:11" ht="19.5" customHeight="1" x14ac:dyDescent="0.25">
      <c r="A797" s="2" t="s">
        <v>1949</v>
      </c>
      <c r="B797" s="2" t="s">
        <v>44</v>
      </c>
      <c r="C797" s="2" t="s">
        <v>2059</v>
      </c>
      <c r="D797" s="2" t="s">
        <v>2060</v>
      </c>
      <c r="E797" s="2" t="s">
        <v>2061</v>
      </c>
      <c r="F797" s="3">
        <v>472087005.63999999</v>
      </c>
      <c r="G797" s="3">
        <v>481000000</v>
      </c>
      <c r="H797" s="4">
        <v>490000000</v>
      </c>
      <c r="I797" s="4">
        <v>500000000</v>
      </c>
      <c r="J797" s="16">
        <f t="shared" si="24"/>
        <v>1.8711018711018657E-2</v>
      </c>
      <c r="K797" s="16">
        <f t="shared" si="25"/>
        <v>2.0408163265306145E-2</v>
      </c>
    </row>
    <row r="798" spans="1:11" ht="19.5" customHeight="1" x14ac:dyDescent="0.25">
      <c r="A798" s="2" t="s">
        <v>1949</v>
      </c>
      <c r="B798" s="2" t="s">
        <v>44</v>
      </c>
      <c r="C798" s="2" t="s">
        <v>2062</v>
      </c>
      <c r="D798" s="2" t="s">
        <v>2063</v>
      </c>
      <c r="E798" s="2" t="s">
        <v>2064</v>
      </c>
      <c r="F798" s="4">
        <v>1405935.52</v>
      </c>
      <c r="G798" s="3">
        <v>7000000</v>
      </c>
      <c r="H798" s="4">
        <v>4500000</v>
      </c>
      <c r="I798" s="4">
        <v>4500000</v>
      </c>
      <c r="J798" s="16">
        <f t="shared" si="24"/>
        <v>-0.3571428571428571</v>
      </c>
      <c r="K798" s="16">
        <f t="shared" si="25"/>
        <v>0</v>
      </c>
    </row>
    <row r="799" spans="1:11" ht="19.5" customHeight="1" x14ac:dyDescent="0.25">
      <c r="A799" s="2" t="s">
        <v>1949</v>
      </c>
      <c r="B799" s="2" t="s">
        <v>44</v>
      </c>
      <c r="C799" s="2" t="s">
        <v>2065</v>
      </c>
      <c r="D799" s="2" t="s">
        <v>2066</v>
      </c>
      <c r="E799" s="2" t="s">
        <v>2067</v>
      </c>
      <c r="F799" s="3">
        <v>38655550.689999998</v>
      </c>
      <c r="G799" s="3">
        <v>47500000</v>
      </c>
      <c r="H799" s="4">
        <v>43000000</v>
      </c>
      <c r="I799" s="4">
        <v>43000000</v>
      </c>
      <c r="J799" s="16">
        <f t="shared" si="24"/>
        <v>-9.4736842105263119E-2</v>
      </c>
      <c r="K799" s="16">
        <f t="shared" si="25"/>
        <v>0</v>
      </c>
    </row>
    <row r="800" spans="1:11" ht="19.5" customHeight="1" x14ac:dyDescent="0.25">
      <c r="A800" s="2" t="s">
        <v>1949</v>
      </c>
      <c r="B800" s="2" t="s">
        <v>44</v>
      </c>
      <c r="C800" s="2" t="s">
        <v>2068</v>
      </c>
      <c r="D800" s="2" t="s">
        <v>2069</v>
      </c>
      <c r="E800" s="2" t="s">
        <v>2070</v>
      </c>
      <c r="F800" s="3">
        <v>69880483.129999995</v>
      </c>
      <c r="G800" s="3">
        <v>85000000</v>
      </c>
      <c r="H800" s="4">
        <v>77000000</v>
      </c>
      <c r="I800" s="4">
        <v>77000000</v>
      </c>
      <c r="J800" s="16">
        <f t="shared" si="24"/>
        <v>-9.4117647058823528E-2</v>
      </c>
      <c r="K800" s="16">
        <f t="shared" si="25"/>
        <v>0</v>
      </c>
    </row>
    <row r="801" spans="1:11" ht="19.5" customHeight="1" x14ac:dyDescent="0.25">
      <c r="A801" s="2" t="s">
        <v>1949</v>
      </c>
      <c r="B801" s="2" t="s">
        <v>44</v>
      </c>
      <c r="C801" s="2" t="s">
        <v>2071</v>
      </c>
      <c r="D801" s="2" t="s">
        <v>2072</v>
      </c>
      <c r="E801" s="2" t="s">
        <v>2073</v>
      </c>
      <c r="F801" s="3">
        <v>9648759.5600000005</v>
      </c>
      <c r="G801" s="3">
        <v>10500000</v>
      </c>
      <c r="H801" s="4">
        <v>11000000</v>
      </c>
      <c r="I801" s="4">
        <v>11000000</v>
      </c>
      <c r="J801" s="16">
        <f t="shared" si="24"/>
        <v>4.7619047619047672E-2</v>
      </c>
      <c r="K801" s="16">
        <f t="shared" si="25"/>
        <v>0</v>
      </c>
    </row>
    <row r="802" spans="1:11" ht="19.5" customHeight="1" x14ac:dyDescent="0.25">
      <c r="A802" s="2" t="s">
        <v>1949</v>
      </c>
      <c r="B802" s="2" t="s">
        <v>44</v>
      </c>
      <c r="C802" s="2" t="s">
        <v>2074</v>
      </c>
      <c r="D802" s="2" t="s">
        <v>2075</v>
      </c>
      <c r="E802" s="2" t="s">
        <v>2076</v>
      </c>
      <c r="F802" s="3">
        <v>2404276.77</v>
      </c>
      <c r="G802" s="3">
        <v>3600000</v>
      </c>
      <c r="H802" s="4">
        <v>3600000</v>
      </c>
      <c r="I802" s="4">
        <v>3600000</v>
      </c>
      <c r="J802" s="16">
        <f t="shared" si="24"/>
        <v>0</v>
      </c>
      <c r="K802" s="16">
        <f t="shared" si="25"/>
        <v>0</v>
      </c>
    </row>
    <row r="803" spans="1:11" ht="19.5" customHeight="1" x14ac:dyDescent="0.25">
      <c r="A803" s="2" t="s">
        <v>1949</v>
      </c>
      <c r="B803" s="2" t="s">
        <v>44</v>
      </c>
      <c r="C803" s="2" t="s">
        <v>2077</v>
      </c>
      <c r="D803" s="2" t="s">
        <v>2078</v>
      </c>
      <c r="E803" s="2" t="s">
        <v>2079</v>
      </c>
      <c r="F803" s="3">
        <v>11138932.470000001</v>
      </c>
      <c r="G803" s="3">
        <v>12000000</v>
      </c>
      <c r="H803" s="4">
        <v>12000000</v>
      </c>
      <c r="I803" s="4">
        <v>12000000</v>
      </c>
      <c r="J803" s="16">
        <f t="shared" si="24"/>
        <v>0</v>
      </c>
      <c r="K803" s="16">
        <f t="shared" si="25"/>
        <v>0</v>
      </c>
    </row>
    <row r="804" spans="1:11" ht="19.5" customHeight="1" x14ac:dyDescent="0.25">
      <c r="A804" s="2" t="s">
        <v>1949</v>
      </c>
      <c r="B804" s="2" t="s">
        <v>44</v>
      </c>
      <c r="C804" s="2" t="s">
        <v>2080</v>
      </c>
      <c r="D804" s="2" t="s">
        <v>2081</v>
      </c>
      <c r="E804" s="2" t="s">
        <v>2082</v>
      </c>
      <c r="F804" s="3">
        <v>7829552.9800000004</v>
      </c>
      <c r="G804" s="3">
        <v>10900000</v>
      </c>
      <c r="H804" s="4">
        <v>10900000</v>
      </c>
      <c r="I804" s="4">
        <v>10900000</v>
      </c>
      <c r="J804" s="16">
        <f t="shared" si="24"/>
        <v>0</v>
      </c>
      <c r="K804" s="16">
        <f t="shared" si="25"/>
        <v>0</v>
      </c>
    </row>
    <row r="805" spans="1:11" ht="19.5" customHeight="1" x14ac:dyDescent="0.25">
      <c r="A805" s="2" t="s">
        <v>1949</v>
      </c>
      <c r="B805" s="2" t="s">
        <v>54</v>
      </c>
      <c r="C805" s="2" t="s">
        <v>54</v>
      </c>
      <c r="D805" s="2" t="s">
        <v>2083</v>
      </c>
      <c r="E805" s="2" t="s">
        <v>22</v>
      </c>
      <c r="F805" s="3">
        <v>14417846.109999999</v>
      </c>
      <c r="G805" s="3">
        <v>15440623</v>
      </c>
      <c r="H805" s="4">
        <v>14383592</v>
      </c>
      <c r="I805" s="4">
        <v>14686404</v>
      </c>
      <c r="J805" s="16">
        <f t="shared" si="24"/>
        <v>-6.8457794740536038E-2</v>
      </c>
      <c r="K805" s="16">
        <f t="shared" si="25"/>
        <v>2.1052599378514003E-2</v>
      </c>
    </row>
    <row r="806" spans="1:11" ht="19.5" customHeight="1" x14ac:dyDescent="0.25">
      <c r="A806" s="2" t="s">
        <v>1949</v>
      </c>
      <c r="B806" s="2" t="s">
        <v>54</v>
      </c>
      <c r="C806" s="2" t="s">
        <v>54</v>
      </c>
      <c r="D806" s="2" t="s">
        <v>2084</v>
      </c>
      <c r="E806" s="2" t="s">
        <v>2010</v>
      </c>
      <c r="F806" s="3">
        <v>64246811.520000003</v>
      </c>
      <c r="G806" s="4">
        <v>68116789</v>
      </c>
      <c r="H806" s="4">
        <v>68116789</v>
      </c>
      <c r="I806" s="4">
        <v>68116789</v>
      </c>
      <c r="J806" s="16">
        <f t="shared" si="24"/>
        <v>0</v>
      </c>
      <c r="K806" s="16">
        <f t="shared" si="25"/>
        <v>0</v>
      </c>
    </row>
    <row r="807" spans="1:11" ht="19.5" customHeight="1" x14ac:dyDescent="0.25">
      <c r="A807" s="2" t="s">
        <v>1949</v>
      </c>
      <c r="B807" s="2" t="s">
        <v>54</v>
      </c>
      <c r="C807" s="2" t="s">
        <v>54</v>
      </c>
      <c r="D807" s="2" t="s">
        <v>2085</v>
      </c>
      <c r="E807" s="2" t="s">
        <v>2086</v>
      </c>
      <c r="F807" s="3">
        <v>3880138.17</v>
      </c>
      <c r="G807" s="3">
        <v>3909499</v>
      </c>
      <c r="H807" s="4">
        <v>3680482</v>
      </c>
      <c r="I807" s="4">
        <v>3680482</v>
      </c>
      <c r="J807" s="16">
        <f t="shared" si="24"/>
        <v>-5.8579628745268897E-2</v>
      </c>
      <c r="K807" s="16">
        <f t="shared" si="25"/>
        <v>0</v>
      </c>
    </row>
    <row r="808" spans="1:11" ht="19.5" customHeight="1" x14ac:dyDescent="0.25">
      <c r="A808" s="2" t="s">
        <v>1949</v>
      </c>
      <c r="B808" s="2" t="s">
        <v>54</v>
      </c>
      <c r="C808" s="2" t="s">
        <v>54</v>
      </c>
      <c r="D808" s="2" t="s">
        <v>2087</v>
      </c>
      <c r="E808" s="2" t="s">
        <v>2088</v>
      </c>
      <c r="F808" s="3">
        <v>2220911.35</v>
      </c>
      <c r="G808" s="3">
        <v>2337711</v>
      </c>
      <c r="H808" s="4">
        <v>2337711</v>
      </c>
      <c r="I808" s="4">
        <v>2337711</v>
      </c>
      <c r="J808" s="16">
        <f t="shared" si="24"/>
        <v>0</v>
      </c>
      <c r="K808" s="16">
        <f t="shared" si="25"/>
        <v>0</v>
      </c>
    </row>
    <row r="809" spans="1:11" ht="19.5" customHeight="1" x14ac:dyDescent="0.25">
      <c r="A809" s="2" t="s">
        <v>1949</v>
      </c>
      <c r="B809" s="2" t="s">
        <v>54</v>
      </c>
      <c r="C809" s="2" t="s">
        <v>54</v>
      </c>
      <c r="D809" s="2" t="s">
        <v>2089</v>
      </c>
      <c r="E809" s="2" t="s">
        <v>2090</v>
      </c>
      <c r="F809" s="3">
        <v>446002.64</v>
      </c>
      <c r="G809" s="3">
        <v>450950</v>
      </c>
      <c r="H809" s="4">
        <v>450950</v>
      </c>
      <c r="I809" s="4">
        <v>450950</v>
      </c>
      <c r="J809" s="16">
        <f t="shared" si="24"/>
        <v>0</v>
      </c>
      <c r="K809" s="16">
        <f t="shared" si="25"/>
        <v>0</v>
      </c>
    </row>
    <row r="810" spans="1:11" ht="19.5" customHeight="1" x14ac:dyDescent="0.25">
      <c r="A810" s="2" t="s">
        <v>1949</v>
      </c>
      <c r="B810" s="2" t="s">
        <v>54</v>
      </c>
      <c r="C810" s="2" t="s">
        <v>54</v>
      </c>
      <c r="D810" s="2" t="s">
        <v>2091</v>
      </c>
      <c r="E810" s="2" t="s">
        <v>2092</v>
      </c>
      <c r="F810" s="3">
        <v>15311956.880000001</v>
      </c>
      <c r="G810" s="3">
        <v>15107422</v>
      </c>
      <c r="H810" s="4">
        <v>15107422</v>
      </c>
      <c r="I810" s="4">
        <v>15107422</v>
      </c>
      <c r="J810" s="16">
        <f t="shared" si="24"/>
        <v>0</v>
      </c>
      <c r="K810" s="16">
        <f t="shared" si="25"/>
        <v>0</v>
      </c>
    </row>
    <row r="811" spans="1:11" ht="19.5" customHeight="1" x14ac:dyDescent="0.25">
      <c r="A811" s="2" t="s">
        <v>1949</v>
      </c>
      <c r="B811" s="2" t="s">
        <v>54</v>
      </c>
      <c r="C811" s="2" t="s">
        <v>54</v>
      </c>
      <c r="D811" s="2" t="s">
        <v>2093</v>
      </c>
      <c r="E811" s="2" t="s">
        <v>2094</v>
      </c>
      <c r="F811" s="3">
        <v>3762858.43</v>
      </c>
      <c r="G811" s="3">
        <v>3883525</v>
      </c>
      <c r="H811" s="4">
        <v>3883525</v>
      </c>
      <c r="I811" s="4">
        <v>3883525</v>
      </c>
      <c r="J811" s="16">
        <f t="shared" si="24"/>
        <v>0</v>
      </c>
      <c r="K811" s="16">
        <f t="shared" si="25"/>
        <v>0</v>
      </c>
    </row>
    <row r="812" spans="1:11" ht="19.5" customHeight="1" x14ac:dyDescent="0.25">
      <c r="A812" s="2" t="s">
        <v>1949</v>
      </c>
      <c r="B812" s="2" t="s">
        <v>54</v>
      </c>
      <c r="C812" s="2" t="s">
        <v>54</v>
      </c>
      <c r="D812" s="2" t="s">
        <v>2095</v>
      </c>
      <c r="E812" s="2" t="s">
        <v>2096</v>
      </c>
      <c r="F812" s="3">
        <v>53174048.280000001</v>
      </c>
      <c r="G812" s="3">
        <v>51848365</v>
      </c>
      <c r="H812" s="4">
        <v>56282168</v>
      </c>
      <c r="I812" s="4">
        <v>56282168</v>
      </c>
      <c r="J812" s="16">
        <f t="shared" si="24"/>
        <v>8.5514808422599176E-2</v>
      </c>
      <c r="K812" s="16">
        <f t="shared" si="25"/>
        <v>0</v>
      </c>
    </row>
    <row r="813" spans="1:11" ht="19.5" customHeight="1" x14ac:dyDescent="0.25">
      <c r="A813" s="2" t="s">
        <v>1949</v>
      </c>
      <c r="B813" s="2" t="s">
        <v>54</v>
      </c>
      <c r="C813" s="2" t="s">
        <v>54</v>
      </c>
      <c r="D813" s="2" t="s">
        <v>2097</v>
      </c>
      <c r="E813" s="2" t="s">
        <v>1986</v>
      </c>
      <c r="F813" s="4">
        <v>6006714.7599999998</v>
      </c>
      <c r="G813" s="3">
        <v>5815320</v>
      </c>
      <c r="H813" s="4">
        <v>7168977</v>
      </c>
      <c r="I813" s="4">
        <v>7197050</v>
      </c>
      <c r="J813" s="16">
        <f t="shared" si="24"/>
        <v>0.23277429273023675</v>
      </c>
      <c r="K813" s="16">
        <f t="shared" si="25"/>
        <v>3.9159004136852804E-3</v>
      </c>
    </row>
    <row r="814" spans="1:11" ht="19.5" customHeight="1" x14ac:dyDescent="0.25">
      <c r="A814" s="2" t="s">
        <v>1949</v>
      </c>
      <c r="B814" s="2" t="s">
        <v>54</v>
      </c>
      <c r="C814" s="2" t="s">
        <v>54</v>
      </c>
      <c r="D814" s="2" t="s">
        <v>2098</v>
      </c>
      <c r="E814" s="2" t="s">
        <v>2099</v>
      </c>
      <c r="F814" s="3">
        <v>1957299.26</v>
      </c>
      <c r="G814" s="3">
        <v>2127153</v>
      </c>
      <c r="H814" s="4">
        <v>2127153</v>
      </c>
      <c r="I814" s="4">
        <v>2127153</v>
      </c>
      <c r="J814" s="16">
        <f t="shared" si="24"/>
        <v>0</v>
      </c>
      <c r="K814" s="16">
        <f t="shared" si="25"/>
        <v>0</v>
      </c>
    </row>
    <row r="815" spans="1:11" ht="19.5" customHeight="1" x14ac:dyDescent="0.25">
      <c r="A815" s="2" t="s">
        <v>1949</v>
      </c>
      <c r="B815" s="2" t="s">
        <v>54</v>
      </c>
      <c r="C815" s="2" t="s">
        <v>54</v>
      </c>
      <c r="D815" s="2" t="s">
        <v>2100</v>
      </c>
      <c r="E815" s="2" t="s">
        <v>2101</v>
      </c>
      <c r="F815" s="4">
        <v>7969216.2999999998</v>
      </c>
      <c r="G815" s="3">
        <v>8174415</v>
      </c>
      <c r="H815" s="4">
        <v>8174415</v>
      </c>
      <c r="I815" s="4">
        <v>8174415</v>
      </c>
      <c r="J815" s="16">
        <f t="shared" si="24"/>
        <v>0</v>
      </c>
      <c r="K815" s="16">
        <f t="shared" si="25"/>
        <v>0</v>
      </c>
    </row>
    <row r="816" spans="1:11" ht="19.5" customHeight="1" x14ac:dyDescent="0.25">
      <c r="A816" s="2" t="s">
        <v>1949</v>
      </c>
      <c r="B816" s="2" t="s">
        <v>54</v>
      </c>
      <c r="C816" s="2" t="s">
        <v>54</v>
      </c>
      <c r="D816" s="2" t="s">
        <v>2102</v>
      </c>
      <c r="E816" s="2" t="s">
        <v>2103</v>
      </c>
      <c r="F816" s="3">
        <v>5797579.3799999999</v>
      </c>
      <c r="G816" s="3">
        <v>9473208</v>
      </c>
      <c r="H816" s="4">
        <v>3457740</v>
      </c>
      <c r="I816" s="4">
        <v>3457740</v>
      </c>
      <c r="J816" s="16">
        <f t="shared" si="24"/>
        <v>-0.63499798589875778</v>
      </c>
      <c r="K816" s="16">
        <f t="shared" si="25"/>
        <v>0</v>
      </c>
    </row>
    <row r="817" spans="1:11" ht="19.5" customHeight="1" x14ac:dyDescent="0.25">
      <c r="A817" s="2" t="s">
        <v>1949</v>
      </c>
      <c r="B817" s="2" t="s">
        <v>54</v>
      </c>
      <c r="C817" s="2" t="s">
        <v>54</v>
      </c>
      <c r="D817" s="2" t="s">
        <v>2104</v>
      </c>
      <c r="E817" s="2" t="s">
        <v>2105</v>
      </c>
      <c r="F817" s="3">
        <v>4135135.67</v>
      </c>
      <c r="G817" s="3">
        <v>4412546</v>
      </c>
      <c r="H817" s="4">
        <v>3412546</v>
      </c>
      <c r="I817" s="4">
        <v>3412546</v>
      </c>
      <c r="J817" s="16">
        <f t="shared" si="24"/>
        <v>-0.22662653261858345</v>
      </c>
      <c r="K817" s="16">
        <f t="shared" si="25"/>
        <v>0</v>
      </c>
    </row>
    <row r="818" spans="1:11" ht="19.5" customHeight="1" x14ac:dyDescent="0.25">
      <c r="A818" s="6" t="s">
        <v>1949</v>
      </c>
      <c r="B818" s="6" t="s">
        <v>54</v>
      </c>
      <c r="C818" s="6" t="s">
        <v>54</v>
      </c>
      <c r="D818" s="7" t="s">
        <v>2106</v>
      </c>
      <c r="E818" s="6" t="s">
        <v>2107</v>
      </c>
      <c r="F818" s="4">
        <v>0</v>
      </c>
      <c r="G818" s="4">
        <v>0</v>
      </c>
      <c r="H818" s="4">
        <v>320000</v>
      </c>
      <c r="I818" s="4">
        <v>0</v>
      </c>
      <c r="J818" s="16" t="str">
        <f t="shared" si="24"/>
        <v>--</v>
      </c>
      <c r="K818" s="16">
        <f t="shared" si="25"/>
        <v>-1</v>
      </c>
    </row>
    <row r="819" spans="1:11" ht="19.5" customHeight="1" x14ac:dyDescent="0.25">
      <c r="A819" s="2" t="s">
        <v>1949</v>
      </c>
      <c r="B819" s="2" t="s">
        <v>54</v>
      </c>
      <c r="C819" s="2" t="s">
        <v>54</v>
      </c>
      <c r="D819" s="2" t="s">
        <v>2108</v>
      </c>
      <c r="E819" s="2" t="s">
        <v>2109</v>
      </c>
      <c r="F819" s="3">
        <v>4875255.41</v>
      </c>
      <c r="G819" s="4">
        <v>4881854</v>
      </c>
      <c r="H819" s="4">
        <v>4881854</v>
      </c>
      <c r="I819" s="4">
        <v>4881854</v>
      </c>
      <c r="J819" s="16">
        <f t="shared" si="24"/>
        <v>0</v>
      </c>
      <c r="K819" s="16">
        <f t="shared" si="25"/>
        <v>0</v>
      </c>
    </row>
    <row r="820" spans="1:11" ht="19.5" customHeight="1" x14ac:dyDescent="0.25">
      <c r="A820" s="2" t="s">
        <v>1949</v>
      </c>
      <c r="B820" s="2" t="s">
        <v>54</v>
      </c>
      <c r="C820" s="2" t="s">
        <v>54</v>
      </c>
      <c r="D820" s="2" t="s">
        <v>2110</v>
      </c>
      <c r="E820" s="2" t="s">
        <v>2111</v>
      </c>
      <c r="F820" s="3">
        <v>0</v>
      </c>
      <c r="G820" s="3">
        <v>4000000</v>
      </c>
      <c r="H820" s="4">
        <v>20500000</v>
      </c>
      <c r="I820" s="4">
        <v>20500000</v>
      </c>
      <c r="J820" s="16">
        <f t="shared" si="24"/>
        <v>4.125</v>
      </c>
      <c r="K820" s="16">
        <f t="shared" si="25"/>
        <v>0</v>
      </c>
    </row>
    <row r="821" spans="1:11" ht="19.5" customHeight="1" x14ac:dyDescent="0.25">
      <c r="A821" s="2" t="s">
        <v>1949</v>
      </c>
      <c r="B821" s="2" t="s">
        <v>54</v>
      </c>
      <c r="C821" s="2" t="s">
        <v>54</v>
      </c>
      <c r="D821" s="2" t="s">
        <v>2112</v>
      </c>
      <c r="E821" s="2" t="s">
        <v>2113</v>
      </c>
      <c r="F821" s="3">
        <v>504259659.94</v>
      </c>
      <c r="G821" s="3">
        <v>518959661</v>
      </c>
      <c r="H821" s="4">
        <v>656379809</v>
      </c>
      <c r="I821" s="4">
        <v>680379809</v>
      </c>
      <c r="J821" s="16">
        <f t="shared" si="24"/>
        <v>0.26479928658655427</v>
      </c>
      <c r="K821" s="16">
        <f t="shared" si="25"/>
        <v>3.6564196020234307E-2</v>
      </c>
    </row>
    <row r="822" spans="1:11" ht="19.5" customHeight="1" x14ac:dyDescent="0.25">
      <c r="A822" s="6" t="s">
        <v>1949</v>
      </c>
      <c r="B822" s="6" t="s">
        <v>54</v>
      </c>
      <c r="C822" s="6" t="s">
        <v>54</v>
      </c>
      <c r="D822" s="7" t="s">
        <v>2114</v>
      </c>
      <c r="E822" s="6" t="s">
        <v>2115</v>
      </c>
      <c r="F822" s="4">
        <v>0</v>
      </c>
      <c r="G822" s="4">
        <v>0</v>
      </c>
      <c r="H822" s="4">
        <v>0</v>
      </c>
      <c r="I822" s="4">
        <v>0</v>
      </c>
      <c r="J822" s="16" t="str">
        <f t="shared" si="24"/>
        <v>--</v>
      </c>
      <c r="K822" s="16" t="str">
        <f t="shared" si="25"/>
        <v>--</v>
      </c>
    </row>
    <row r="823" spans="1:11" ht="19.5" customHeight="1" x14ac:dyDescent="0.25">
      <c r="A823" s="2" t="s">
        <v>1949</v>
      </c>
      <c r="B823" s="2" t="s">
        <v>54</v>
      </c>
      <c r="C823" s="2" t="s">
        <v>54</v>
      </c>
      <c r="D823" s="2" t="s">
        <v>2116</v>
      </c>
      <c r="E823" s="2" t="s">
        <v>2117</v>
      </c>
      <c r="F823" s="3">
        <v>8963500</v>
      </c>
      <c r="G823" s="4">
        <v>8963500</v>
      </c>
      <c r="H823" s="4">
        <v>8963500</v>
      </c>
      <c r="I823" s="4">
        <v>8963500</v>
      </c>
      <c r="J823" s="16">
        <f t="shared" si="24"/>
        <v>0</v>
      </c>
      <c r="K823" s="16">
        <f t="shared" si="25"/>
        <v>0</v>
      </c>
    </row>
    <row r="824" spans="1:11" ht="19.5" customHeight="1" x14ac:dyDescent="0.25">
      <c r="A824" s="2" t="s">
        <v>1949</v>
      </c>
      <c r="B824" s="2" t="s">
        <v>54</v>
      </c>
      <c r="C824" s="2" t="s">
        <v>54</v>
      </c>
      <c r="D824" s="2" t="s">
        <v>2118</v>
      </c>
      <c r="E824" s="2" t="s">
        <v>2119</v>
      </c>
      <c r="F824" s="3">
        <v>154097443.72999999</v>
      </c>
      <c r="G824" s="3">
        <v>152537577</v>
      </c>
      <c r="H824" s="4">
        <v>156744175</v>
      </c>
      <c r="I824" s="4">
        <v>158591274</v>
      </c>
      <c r="J824" s="16">
        <f t="shared" si="24"/>
        <v>2.757745391484745E-2</v>
      </c>
      <c r="K824" s="16">
        <f t="shared" si="25"/>
        <v>1.1784163590130126E-2</v>
      </c>
    </row>
    <row r="825" spans="1:11" ht="19.5" customHeight="1" x14ac:dyDescent="0.25">
      <c r="A825" s="2" t="s">
        <v>1949</v>
      </c>
      <c r="B825" s="2" t="s">
        <v>54</v>
      </c>
      <c r="C825" s="2" t="s">
        <v>54</v>
      </c>
      <c r="D825" s="2" t="s">
        <v>2120</v>
      </c>
      <c r="E825" s="2" t="s">
        <v>2121</v>
      </c>
      <c r="F825" s="3">
        <v>62223627.649999999</v>
      </c>
      <c r="G825" s="4">
        <v>68912770</v>
      </c>
      <c r="H825" s="4">
        <v>70813735</v>
      </c>
      <c r="I825" s="4">
        <v>71647683</v>
      </c>
      <c r="J825" s="16">
        <f t="shared" si="24"/>
        <v>2.7585090542725288E-2</v>
      </c>
      <c r="K825" s="16">
        <f t="shared" si="25"/>
        <v>1.1776641918407549E-2</v>
      </c>
    </row>
    <row r="826" spans="1:11" ht="19.5" customHeight="1" x14ac:dyDescent="0.25">
      <c r="A826" s="2" t="s">
        <v>1949</v>
      </c>
      <c r="B826" s="2" t="s">
        <v>54</v>
      </c>
      <c r="C826" s="2" t="s">
        <v>54</v>
      </c>
      <c r="D826" s="2" t="s">
        <v>2122</v>
      </c>
      <c r="E826" s="2" t="s">
        <v>2123</v>
      </c>
      <c r="F826" s="3">
        <v>151855257.84999999</v>
      </c>
      <c r="G826" s="3">
        <v>152850000</v>
      </c>
      <c r="H826" s="4">
        <v>180850000</v>
      </c>
      <c r="I826" s="4">
        <v>185850000</v>
      </c>
      <c r="J826" s="16">
        <f t="shared" si="24"/>
        <v>0.18318613019299956</v>
      </c>
      <c r="K826" s="16">
        <f t="shared" si="25"/>
        <v>2.7647221454243809E-2</v>
      </c>
    </row>
    <row r="827" spans="1:11" ht="19.5" customHeight="1" x14ac:dyDescent="0.25">
      <c r="A827" s="2" t="s">
        <v>1949</v>
      </c>
      <c r="B827" s="2" t="s">
        <v>54</v>
      </c>
      <c r="C827" s="2" t="s">
        <v>54</v>
      </c>
      <c r="D827" s="2" t="s">
        <v>2124</v>
      </c>
      <c r="E827" s="2" t="s">
        <v>2125</v>
      </c>
      <c r="F827" s="3">
        <v>9367733.7400000002</v>
      </c>
      <c r="G827" s="3">
        <v>9680892</v>
      </c>
      <c r="H827" s="4">
        <v>14090892</v>
      </c>
      <c r="I827" s="4">
        <v>18290892</v>
      </c>
      <c r="J827" s="16">
        <f t="shared" si="24"/>
        <v>0.45553653526968385</v>
      </c>
      <c r="K827" s="16">
        <f t="shared" si="25"/>
        <v>0.29806487765288381</v>
      </c>
    </row>
    <row r="828" spans="1:11" ht="19.5" customHeight="1" x14ac:dyDescent="0.25">
      <c r="A828" s="2" t="s">
        <v>1949</v>
      </c>
      <c r="B828" s="2" t="s">
        <v>54</v>
      </c>
      <c r="C828" s="2" t="s">
        <v>54</v>
      </c>
      <c r="D828" s="2" t="s">
        <v>2126</v>
      </c>
      <c r="E828" s="6" t="s">
        <v>1989</v>
      </c>
      <c r="F828" s="3">
        <v>6687924225.4399996</v>
      </c>
      <c r="G828" s="3">
        <v>6671702177</v>
      </c>
      <c r="H828" s="4">
        <v>6937998712</v>
      </c>
      <c r="I828" s="4">
        <v>7079848712</v>
      </c>
      <c r="J828" s="16">
        <f t="shared" si="24"/>
        <v>3.991433189539384E-2</v>
      </c>
      <c r="K828" s="16">
        <f t="shared" si="25"/>
        <v>2.0445377101995676E-2</v>
      </c>
    </row>
    <row r="829" spans="1:11" ht="19.5" customHeight="1" x14ac:dyDescent="0.25">
      <c r="A829" s="2" t="s">
        <v>1949</v>
      </c>
      <c r="B829" s="2" t="s">
        <v>54</v>
      </c>
      <c r="C829" s="2" t="s">
        <v>54</v>
      </c>
      <c r="D829" s="2" t="s">
        <v>2127</v>
      </c>
      <c r="E829" s="2" t="s">
        <v>2128</v>
      </c>
      <c r="F829" s="3">
        <v>1337707.92</v>
      </c>
      <c r="G829" s="3">
        <v>1132172</v>
      </c>
      <c r="H829" s="4">
        <v>1552172</v>
      </c>
      <c r="I829" s="4">
        <v>1552172</v>
      </c>
      <c r="J829" s="16">
        <f t="shared" si="24"/>
        <v>0.37096836876375683</v>
      </c>
      <c r="K829" s="16">
        <f t="shared" si="25"/>
        <v>0</v>
      </c>
    </row>
    <row r="830" spans="1:11" ht="19.5" customHeight="1" x14ac:dyDescent="0.25">
      <c r="A830" s="2" t="s">
        <v>1949</v>
      </c>
      <c r="B830" s="2" t="s">
        <v>54</v>
      </c>
      <c r="C830" s="2" t="s">
        <v>54</v>
      </c>
      <c r="D830" s="2" t="s">
        <v>2129</v>
      </c>
      <c r="E830" s="2" t="s">
        <v>2130</v>
      </c>
      <c r="F830" s="3">
        <v>8123300.1100000003</v>
      </c>
      <c r="G830" s="3">
        <v>9652210</v>
      </c>
      <c r="H830" s="4">
        <v>9752210</v>
      </c>
      <c r="I830" s="4">
        <v>9752210</v>
      </c>
      <c r="J830" s="16">
        <f t="shared" si="24"/>
        <v>1.0360321625824565E-2</v>
      </c>
      <c r="K830" s="16">
        <f t="shared" si="25"/>
        <v>0</v>
      </c>
    </row>
    <row r="831" spans="1:11" ht="19.5" customHeight="1" x14ac:dyDescent="0.25">
      <c r="A831" s="2" t="s">
        <v>1949</v>
      </c>
      <c r="B831" s="2" t="s">
        <v>54</v>
      </c>
      <c r="C831" s="2" t="s">
        <v>54</v>
      </c>
      <c r="D831" s="2" t="s">
        <v>2131</v>
      </c>
      <c r="E831" s="2" t="s">
        <v>2132</v>
      </c>
      <c r="F831" s="3">
        <v>50908627.289999999</v>
      </c>
      <c r="G831" s="3">
        <v>85000000</v>
      </c>
      <c r="H831" s="4">
        <v>0</v>
      </c>
      <c r="I831" s="4">
        <v>0</v>
      </c>
      <c r="J831" s="16">
        <f t="shared" si="24"/>
        <v>-1</v>
      </c>
      <c r="K831" s="16" t="str">
        <f t="shared" si="25"/>
        <v>--</v>
      </c>
    </row>
    <row r="832" spans="1:11" ht="19.5" customHeight="1" x14ac:dyDescent="0.25">
      <c r="A832" s="2" t="s">
        <v>1949</v>
      </c>
      <c r="B832" s="2" t="s">
        <v>54</v>
      </c>
      <c r="C832" s="2" t="s">
        <v>54</v>
      </c>
      <c r="D832" s="2" t="s">
        <v>2133</v>
      </c>
      <c r="E832" s="2" t="s">
        <v>2134</v>
      </c>
      <c r="F832" s="3">
        <v>18148016</v>
      </c>
      <c r="G832" s="3">
        <v>18128526</v>
      </c>
      <c r="H832" s="4">
        <v>17464102</v>
      </c>
      <c r="I832" s="4">
        <v>15238834</v>
      </c>
      <c r="J832" s="16">
        <f t="shared" si="24"/>
        <v>-3.6650745901790405E-2</v>
      </c>
      <c r="K832" s="16">
        <f t="shared" si="25"/>
        <v>-0.12741954896965213</v>
      </c>
    </row>
    <row r="833" spans="1:11" ht="19.5" customHeight="1" x14ac:dyDescent="0.25">
      <c r="A833" s="2" t="s">
        <v>1949</v>
      </c>
      <c r="B833" s="2" t="s">
        <v>54</v>
      </c>
      <c r="C833" s="2" t="s">
        <v>54</v>
      </c>
      <c r="D833" s="2" t="s">
        <v>2135</v>
      </c>
      <c r="E833" s="2" t="s">
        <v>2136</v>
      </c>
      <c r="F833" s="3">
        <v>240700</v>
      </c>
      <c r="G833" s="3">
        <v>200000</v>
      </c>
      <c r="H833" s="4">
        <v>250000</v>
      </c>
      <c r="I833" s="4">
        <v>250000</v>
      </c>
      <c r="J833" s="16">
        <f t="shared" si="24"/>
        <v>0.25</v>
      </c>
      <c r="K833" s="16">
        <f t="shared" si="25"/>
        <v>0</v>
      </c>
    </row>
    <row r="834" spans="1:11" ht="19.5" customHeight="1" x14ac:dyDescent="0.25">
      <c r="A834" s="2" t="s">
        <v>1949</v>
      </c>
      <c r="B834" s="2" t="s">
        <v>54</v>
      </c>
      <c r="C834" s="2" t="s">
        <v>54</v>
      </c>
      <c r="D834" s="2" t="s">
        <v>2137</v>
      </c>
      <c r="E834" s="2" t="s">
        <v>2138</v>
      </c>
      <c r="F834" s="3">
        <v>138109.74</v>
      </c>
      <c r="G834" s="3">
        <v>0</v>
      </c>
      <c r="H834" s="4">
        <v>0</v>
      </c>
      <c r="I834" s="4">
        <v>0</v>
      </c>
      <c r="J834" s="16" t="str">
        <f t="shared" si="24"/>
        <v>--</v>
      </c>
      <c r="K834" s="16" t="str">
        <f t="shared" si="25"/>
        <v>--</v>
      </c>
    </row>
    <row r="835" spans="1:11" ht="19.5" customHeight="1" x14ac:dyDescent="0.25">
      <c r="A835" s="2" t="s">
        <v>1949</v>
      </c>
      <c r="B835" s="2" t="s">
        <v>54</v>
      </c>
      <c r="C835" s="2" t="s">
        <v>54</v>
      </c>
      <c r="D835" s="2" t="s">
        <v>2139</v>
      </c>
      <c r="E835" s="2" t="s">
        <v>2140</v>
      </c>
      <c r="F835" s="3">
        <v>0</v>
      </c>
      <c r="G835" s="4">
        <v>0</v>
      </c>
      <c r="H835" s="4">
        <v>0</v>
      </c>
      <c r="I835" s="4">
        <v>0</v>
      </c>
      <c r="J835" s="16" t="str">
        <f t="shared" ref="J835:J898" si="26">IFERROR(H835/G835-1,"--")</f>
        <v>--</v>
      </c>
      <c r="K835" s="16" t="str">
        <f t="shared" ref="K835:K898" si="27">IFERROR(I835/H835-1,"--")</f>
        <v>--</v>
      </c>
    </row>
    <row r="836" spans="1:11" ht="19.5" customHeight="1" x14ac:dyDescent="0.25">
      <c r="A836" s="2" t="s">
        <v>1949</v>
      </c>
      <c r="B836" s="2" t="s">
        <v>54</v>
      </c>
      <c r="C836" s="2" t="s">
        <v>54</v>
      </c>
      <c r="D836" s="2" t="s">
        <v>2141</v>
      </c>
      <c r="E836" s="2" t="s">
        <v>612</v>
      </c>
      <c r="F836" s="3">
        <v>1083150</v>
      </c>
      <c r="G836" s="3">
        <v>500000</v>
      </c>
      <c r="H836" s="4">
        <v>3800000</v>
      </c>
      <c r="I836" s="4">
        <v>3800000</v>
      </c>
      <c r="J836" s="16">
        <f t="shared" si="26"/>
        <v>6.6</v>
      </c>
      <c r="K836" s="16">
        <f t="shared" si="27"/>
        <v>0</v>
      </c>
    </row>
    <row r="837" spans="1:11" ht="19.5" customHeight="1" x14ac:dyDescent="0.25">
      <c r="A837" s="2" t="s">
        <v>1949</v>
      </c>
      <c r="B837" s="2" t="s">
        <v>54</v>
      </c>
      <c r="C837" s="2" t="s">
        <v>54</v>
      </c>
      <c r="D837" s="2" t="s">
        <v>2142</v>
      </c>
      <c r="E837" s="2" t="s">
        <v>2143</v>
      </c>
      <c r="F837" s="3">
        <v>273967.8</v>
      </c>
      <c r="G837" s="3">
        <v>297978</v>
      </c>
      <c r="H837" s="4">
        <v>297978</v>
      </c>
      <c r="I837" s="4">
        <v>297978</v>
      </c>
      <c r="J837" s="16">
        <f t="shared" si="26"/>
        <v>0</v>
      </c>
      <c r="K837" s="16">
        <f t="shared" si="27"/>
        <v>0</v>
      </c>
    </row>
    <row r="838" spans="1:11" ht="19.5" customHeight="1" x14ac:dyDescent="0.25">
      <c r="A838" s="2" t="s">
        <v>1949</v>
      </c>
      <c r="B838" s="2" t="s">
        <v>243</v>
      </c>
      <c r="C838" s="2" t="s">
        <v>2144</v>
      </c>
      <c r="D838" s="2" t="s">
        <v>2145</v>
      </c>
      <c r="E838" s="2" t="s">
        <v>2086</v>
      </c>
      <c r="F838" s="3">
        <v>6903932.3399999999</v>
      </c>
      <c r="G838" s="3">
        <v>8047645</v>
      </c>
      <c r="H838" s="4">
        <v>8289074</v>
      </c>
      <c r="I838" s="4">
        <v>8537746</v>
      </c>
      <c r="J838" s="16">
        <f t="shared" si="26"/>
        <v>2.9999956509016101E-2</v>
      </c>
      <c r="K838" s="16">
        <f t="shared" si="27"/>
        <v>2.999997345903771E-2</v>
      </c>
    </row>
    <row r="839" spans="1:11" ht="19.5" customHeight="1" x14ac:dyDescent="0.25">
      <c r="A839" s="2" t="s">
        <v>1949</v>
      </c>
      <c r="B839" s="2" t="s">
        <v>243</v>
      </c>
      <c r="C839" s="2" t="s">
        <v>2146</v>
      </c>
      <c r="D839" s="2" t="s">
        <v>2147</v>
      </c>
      <c r="E839" s="2" t="s">
        <v>2148</v>
      </c>
      <c r="F839" s="3">
        <v>7580358.9100000001</v>
      </c>
      <c r="G839" s="3">
        <v>7856766</v>
      </c>
      <c r="H839" s="4">
        <v>7856766</v>
      </c>
      <c r="I839" s="4">
        <v>7856766</v>
      </c>
      <c r="J839" s="16">
        <f t="shared" si="26"/>
        <v>0</v>
      </c>
      <c r="K839" s="16">
        <f t="shared" si="27"/>
        <v>0</v>
      </c>
    </row>
    <row r="840" spans="1:11" ht="19.5" customHeight="1" x14ac:dyDescent="0.25">
      <c r="A840" s="2" t="s">
        <v>1949</v>
      </c>
      <c r="B840" s="2" t="s">
        <v>243</v>
      </c>
      <c r="C840" s="2" t="s">
        <v>2149</v>
      </c>
      <c r="D840" s="2" t="s">
        <v>2150</v>
      </c>
      <c r="E840" s="2" t="s">
        <v>2151</v>
      </c>
      <c r="F840" s="3">
        <v>4380013.8600000003</v>
      </c>
      <c r="G840" s="3">
        <v>5500000</v>
      </c>
      <c r="H840" s="4">
        <v>5000000</v>
      </c>
      <c r="I840" s="4">
        <v>5000000</v>
      </c>
      <c r="J840" s="16">
        <f t="shared" si="26"/>
        <v>-9.0909090909090939E-2</v>
      </c>
      <c r="K840" s="16">
        <f t="shared" si="27"/>
        <v>0</v>
      </c>
    </row>
    <row r="841" spans="1:11" ht="19.5" customHeight="1" x14ac:dyDescent="0.25">
      <c r="A841" s="2" t="s">
        <v>1949</v>
      </c>
      <c r="B841" s="2" t="s">
        <v>2152</v>
      </c>
      <c r="C841" s="2" t="s">
        <v>2153</v>
      </c>
      <c r="D841" s="2" t="s">
        <v>2154</v>
      </c>
      <c r="E841" s="2" t="s">
        <v>2155</v>
      </c>
      <c r="F841" s="3">
        <v>863894.8</v>
      </c>
      <c r="G841" s="3">
        <v>0</v>
      </c>
      <c r="H841" s="4">
        <v>0</v>
      </c>
      <c r="I841" s="4">
        <v>0</v>
      </c>
      <c r="J841" s="16" t="str">
        <f t="shared" si="26"/>
        <v>--</v>
      </c>
      <c r="K841" s="16" t="str">
        <f t="shared" si="27"/>
        <v>--</v>
      </c>
    </row>
    <row r="842" spans="1:11" ht="19.5" customHeight="1" x14ac:dyDescent="0.25">
      <c r="A842" s="2" t="s">
        <v>1949</v>
      </c>
      <c r="B842" s="2" t="s">
        <v>2152</v>
      </c>
      <c r="C842" s="2" t="s">
        <v>2153</v>
      </c>
      <c r="D842" s="2" t="s">
        <v>2156</v>
      </c>
      <c r="E842" s="2" t="s">
        <v>2157</v>
      </c>
      <c r="F842" s="3">
        <v>0</v>
      </c>
      <c r="G842" s="3">
        <v>3000000</v>
      </c>
      <c r="H842" s="4">
        <v>0</v>
      </c>
      <c r="I842" s="4">
        <v>0</v>
      </c>
      <c r="J842" s="16">
        <f t="shared" si="26"/>
        <v>-1</v>
      </c>
      <c r="K842" s="16" t="str">
        <f t="shared" si="27"/>
        <v>--</v>
      </c>
    </row>
    <row r="843" spans="1:11" ht="19.5" customHeight="1" x14ac:dyDescent="0.25">
      <c r="A843" s="2" t="s">
        <v>1949</v>
      </c>
      <c r="B843" s="2" t="s">
        <v>2152</v>
      </c>
      <c r="C843" s="2" t="s">
        <v>2153</v>
      </c>
      <c r="D843" s="2" t="s">
        <v>2158</v>
      </c>
      <c r="E843" s="6" t="s">
        <v>1989</v>
      </c>
      <c r="F843" s="3">
        <v>1081399999.98</v>
      </c>
      <c r="G843" s="3">
        <v>1249900000</v>
      </c>
      <c r="H843" s="4">
        <v>1264200000</v>
      </c>
      <c r="I843" s="4">
        <v>1242500000</v>
      </c>
      <c r="J843" s="16">
        <f t="shared" si="26"/>
        <v>1.1440915273221774E-2</v>
      </c>
      <c r="K843" s="16">
        <f t="shared" si="27"/>
        <v>-1.7165005537098543E-2</v>
      </c>
    </row>
    <row r="844" spans="1:11" ht="19.5" customHeight="1" x14ac:dyDescent="0.25">
      <c r="A844" s="2" t="s">
        <v>1949</v>
      </c>
      <c r="B844" s="2" t="s">
        <v>2152</v>
      </c>
      <c r="C844" s="2" t="s">
        <v>2153</v>
      </c>
      <c r="D844" s="2" t="s">
        <v>2159</v>
      </c>
      <c r="E844" s="2" t="s">
        <v>2160</v>
      </c>
      <c r="F844" s="3">
        <v>1444200</v>
      </c>
      <c r="G844" s="3">
        <v>1200000</v>
      </c>
      <c r="H844" s="4">
        <v>1500000</v>
      </c>
      <c r="I844" s="4">
        <v>1500000</v>
      </c>
      <c r="J844" s="16">
        <f t="shared" si="26"/>
        <v>0.25</v>
      </c>
      <c r="K844" s="16">
        <f t="shared" si="27"/>
        <v>0</v>
      </c>
    </row>
    <row r="845" spans="1:11" ht="19.5" customHeight="1" x14ac:dyDescent="0.25">
      <c r="A845" s="6" t="s">
        <v>1949</v>
      </c>
      <c r="B845" s="6" t="s">
        <v>2152</v>
      </c>
      <c r="C845" s="6" t="s">
        <v>2153</v>
      </c>
      <c r="D845" s="7" t="s">
        <v>2161</v>
      </c>
      <c r="E845" s="6" t="s">
        <v>2128</v>
      </c>
      <c r="F845" s="4">
        <v>0</v>
      </c>
      <c r="G845" s="4">
        <v>0</v>
      </c>
      <c r="H845" s="4">
        <v>0</v>
      </c>
      <c r="I845" s="4">
        <v>0</v>
      </c>
      <c r="J845" s="16" t="str">
        <f t="shared" si="26"/>
        <v>--</v>
      </c>
      <c r="K845" s="16" t="str">
        <f t="shared" si="27"/>
        <v>--</v>
      </c>
    </row>
    <row r="846" spans="1:11" ht="19.5" customHeight="1" x14ac:dyDescent="0.25">
      <c r="A846" s="2" t="s">
        <v>1949</v>
      </c>
      <c r="B846" s="2" t="s">
        <v>2152</v>
      </c>
      <c r="C846" s="2" t="s">
        <v>2153</v>
      </c>
      <c r="D846" s="2" t="s">
        <v>2162</v>
      </c>
      <c r="E846" s="2" t="s">
        <v>2163</v>
      </c>
      <c r="F846" s="3">
        <v>1499267.48</v>
      </c>
      <c r="G846" s="3">
        <v>0</v>
      </c>
      <c r="H846" s="4">
        <v>0</v>
      </c>
      <c r="I846" s="4">
        <v>0</v>
      </c>
      <c r="J846" s="16" t="str">
        <f t="shared" si="26"/>
        <v>--</v>
      </c>
      <c r="K846" s="16" t="str">
        <f t="shared" si="27"/>
        <v>--</v>
      </c>
    </row>
    <row r="847" spans="1:11" ht="19.5" customHeight="1" x14ac:dyDescent="0.25">
      <c r="A847" s="2" t="s">
        <v>1949</v>
      </c>
      <c r="B847" s="2" t="s">
        <v>2152</v>
      </c>
      <c r="C847" s="2" t="s">
        <v>2153</v>
      </c>
      <c r="D847" s="2" t="s">
        <v>2164</v>
      </c>
      <c r="E847" s="2" t="s">
        <v>2140</v>
      </c>
      <c r="F847" s="4">
        <v>30000000</v>
      </c>
      <c r="G847" s="3">
        <v>30000000</v>
      </c>
      <c r="H847" s="4">
        <v>54000000</v>
      </c>
      <c r="I847" s="4">
        <v>54000000</v>
      </c>
      <c r="J847" s="16">
        <f t="shared" si="26"/>
        <v>0.8</v>
      </c>
      <c r="K847" s="16">
        <f t="shared" si="27"/>
        <v>0</v>
      </c>
    </row>
    <row r="848" spans="1:11" ht="19.5" customHeight="1" x14ac:dyDescent="0.25">
      <c r="A848" s="2" t="s">
        <v>1949</v>
      </c>
      <c r="B848" s="2" t="s">
        <v>2152</v>
      </c>
      <c r="C848" s="2" t="s">
        <v>2153</v>
      </c>
      <c r="D848" s="2" t="s">
        <v>2165</v>
      </c>
      <c r="E848" s="2" t="s">
        <v>2166</v>
      </c>
      <c r="F848" s="4">
        <v>15500000</v>
      </c>
      <c r="G848" s="3">
        <v>23000000</v>
      </c>
      <c r="H848" s="4">
        <v>0</v>
      </c>
      <c r="I848" s="4">
        <v>0</v>
      </c>
      <c r="J848" s="16">
        <f t="shared" si="26"/>
        <v>-1</v>
      </c>
      <c r="K848" s="16" t="str">
        <f t="shared" si="27"/>
        <v>--</v>
      </c>
    </row>
    <row r="849" spans="1:11" ht="19.5" customHeight="1" x14ac:dyDescent="0.25">
      <c r="A849" s="2" t="s">
        <v>1949</v>
      </c>
      <c r="B849" s="2" t="s">
        <v>2152</v>
      </c>
      <c r="C849" s="2" t="s">
        <v>2153</v>
      </c>
      <c r="D849" s="2" t="s">
        <v>2167</v>
      </c>
      <c r="E849" s="2" t="s">
        <v>2168</v>
      </c>
      <c r="F849" s="3">
        <v>20595619.649999999</v>
      </c>
      <c r="G849" s="3">
        <v>20600000</v>
      </c>
      <c r="H849" s="4">
        <v>42000000</v>
      </c>
      <c r="I849" s="4">
        <v>42000000</v>
      </c>
      <c r="J849" s="16">
        <f t="shared" si="26"/>
        <v>1.0388349514563107</v>
      </c>
      <c r="K849" s="16">
        <f t="shared" si="27"/>
        <v>0</v>
      </c>
    </row>
    <row r="850" spans="1:11" ht="19.5" customHeight="1" x14ac:dyDescent="0.25">
      <c r="A850" s="2" t="s">
        <v>2169</v>
      </c>
      <c r="B850" s="2" t="s">
        <v>16</v>
      </c>
      <c r="C850" s="2" t="s">
        <v>2170</v>
      </c>
      <c r="D850" s="2" t="s">
        <v>2171</v>
      </c>
      <c r="E850" s="2" t="s">
        <v>2172</v>
      </c>
      <c r="F850" s="3">
        <v>145315.63</v>
      </c>
      <c r="G850" s="3">
        <v>199460</v>
      </c>
      <c r="H850" s="4">
        <v>207460</v>
      </c>
      <c r="I850" s="4">
        <v>207460</v>
      </c>
      <c r="J850" s="16">
        <f t="shared" si="26"/>
        <v>4.0108292389451572E-2</v>
      </c>
      <c r="K850" s="16">
        <f t="shared" si="27"/>
        <v>0</v>
      </c>
    </row>
    <row r="851" spans="1:11" ht="19.5" customHeight="1" x14ac:dyDescent="0.25">
      <c r="A851" s="2" t="s">
        <v>2169</v>
      </c>
      <c r="B851" s="2" t="s">
        <v>54</v>
      </c>
      <c r="C851" s="2" t="s">
        <v>54</v>
      </c>
      <c r="D851" s="2" t="s">
        <v>2173</v>
      </c>
      <c r="E851" s="2" t="s">
        <v>22</v>
      </c>
      <c r="F851" s="3">
        <v>436419.51</v>
      </c>
      <c r="G851" s="3">
        <v>404765</v>
      </c>
      <c r="H851" s="4">
        <v>394765</v>
      </c>
      <c r="I851" s="4">
        <v>394765</v>
      </c>
      <c r="J851" s="16">
        <f t="shared" si="26"/>
        <v>-2.4705693427050313E-2</v>
      </c>
      <c r="K851" s="16">
        <f t="shared" si="27"/>
        <v>0</v>
      </c>
    </row>
    <row r="852" spans="1:11" ht="19.5" customHeight="1" x14ac:dyDescent="0.25">
      <c r="A852" s="2" t="s">
        <v>2174</v>
      </c>
      <c r="B852" s="2" t="s">
        <v>16</v>
      </c>
      <c r="C852" s="2" t="s">
        <v>20</v>
      </c>
      <c r="D852" s="2" t="s">
        <v>2175</v>
      </c>
      <c r="E852" s="2" t="s">
        <v>22</v>
      </c>
      <c r="F852" s="3">
        <v>1049946.24</v>
      </c>
      <c r="G852" s="3">
        <v>1312259</v>
      </c>
      <c r="H852" s="4">
        <v>1312259</v>
      </c>
      <c r="I852" s="4">
        <v>1312259</v>
      </c>
      <c r="J852" s="16">
        <f t="shared" si="26"/>
        <v>0</v>
      </c>
      <c r="K852" s="16">
        <f t="shared" si="27"/>
        <v>0</v>
      </c>
    </row>
    <row r="853" spans="1:11" ht="19.5" customHeight="1" x14ac:dyDescent="0.25">
      <c r="A853" s="2" t="s">
        <v>2176</v>
      </c>
      <c r="B853" s="2" t="s">
        <v>248</v>
      </c>
      <c r="C853" s="2" t="s">
        <v>2177</v>
      </c>
      <c r="D853" s="2" t="s">
        <v>2178</v>
      </c>
      <c r="E853" s="2" t="s">
        <v>2179</v>
      </c>
      <c r="F853" s="3">
        <v>140.46</v>
      </c>
      <c r="G853" s="3">
        <v>0</v>
      </c>
      <c r="H853" s="4">
        <v>0</v>
      </c>
      <c r="I853" s="4">
        <v>0</v>
      </c>
      <c r="J853" s="16" t="str">
        <f t="shared" si="26"/>
        <v>--</v>
      </c>
      <c r="K853" s="16" t="str">
        <f t="shared" si="27"/>
        <v>--</v>
      </c>
    </row>
    <row r="854" spans="1:11" ht="19.5" customHeight="1" x14ac:dyDescent="0.25">
      <c r="A854" s="2" t="s">
        <v>2176</v>
      </c>
      <c r="B854" s="2" t="s">
        <v>16</v>
      </c>
      <c r="C854" s="2" t="s">
        <v>2180</v>
      </c>
      <c r="D854" s="2" t="s">
        <v>2181</v>
      </c>
      <c r="E854" s="2" t="s">
        <v>2182</v>
      </c>
      <c r="F854" s="3">
        <v>1556.14</v>
      </c>
      <c r="G854" s="3">
        <v>25000</v>
      </c>
      <c r="H854" s="4">
        <v>50000</v>
      </c>
      <c r="I854" s="4">
        <v>50000</v>
      </c>
      <c r="J854" s="16">
        <f t="shared" si="26"/>
        <v>1</v>
      </c>
      <c r="K854" s="16">
        <f t="shared" si="27"/>
        <v>0</v>
      </c>
    </row>
    <row r="855" spans="1:11" ht="19.5" customHeight="1" x14ac:dyDescent="0.25">
      <c r="A855" s="2" t="s">
        <v>2176</v>
      </c>
      <c r="B855" s="2" t="s">
        <v>16</v>
      </c>
      <c r="C855" s="2" t="s">
        <v>2183</v>
      </c>
      <c r="D855" s="2" t="s">
        <v>2184</v>
      </c>
      <c r="E855" s="2" t="s">
        <v>2185</v>
      </c>
      <c r="F855" s="3">
        <v>356420.37</v>
      </c>
      <c r="G855" s="3">
        <v>429000</v>
      </c>
      <c r="H855" s="4">
        <v>456891</v>
      </c>
      <c r="I855" s="4">
        <v>464794</v>
      </c>
      <c r="J855" s="16">
        <f t="shared" si="26"/>
        <v>6.5013986013986003E-2</v>
      </c>
      <c r="K855" s="16">
        <f t="shared" si="27"/>
        <v>1.7297342254498416E-2</v>
      </c>
    </row>
    <row r="856" spans="1:11" ht="19.5" customHeight="1" x14ac:dyDescent="0.25">
      <c r="A856" s="2" t="s">
        <v>2176</v>
      </c>
      <c r="B856" s="2" t="s">
        <v>16</v>
      </c>
      <c r="C856" s="2" t="s">
        <v>2186</v>
      </c>
      <c r="D856" s="2" t="s">
        <v>2187</v>
      </c>
      <c r="E856" s="2" t="s">
        <v>2188</v>
      </c>
      <c r="F856" s="3">
        <v>6657556.3700000001</v>
      </c>
      <c r="G856" s="3">
        <v>4767344</v>
      </c>
      <c r="H856" s="4">
        <v>5317000</v>
      </c>
      <c r="I856" s="4">
        <v>5317000</v>
      </c>
      <c r="J856" s="16">
        <f t="shared" si="26"/>
        <v>0.11529606422360117</v>
      </c>
      <c r="K856" s="16">
        <f t="shared" si="27"/>
        <v>0</v>
      </c>
    </row>
    <row r="857" spans="1:11" ht="19.5" customHeight="1" x14ac:dyDescent="0.25">
      <c r="A857" s="2" t="s">
        <v>2176</v>
      </c>
      <c r="B857" s="2" t="s">
        <v>16</v>
      </c>
      <c r="C857" s="2" t="s">
        <v>2189</v>
      </c>
      <c r="D857" s="2" t="s">
        <v>2190</v>
      </c>
      <c r="E857" s="2" t="s">
        <v>2191</v>
      </c>
      <c r="F857" s="3">
        <v>13718527.23</v>
      </c>
      <c r="G857" s="3">
        <v>14190934</v>
      </c>
      <c r="H857" s="4">
        <v>15604074</v>
      </c>
      <c r="I857" s="4">
        <v>16603928</v>
      </c>
      <c r="J857" s="16">
        <f t="shared" si="26"/>
        <v>9.9580478635162395E-2</v>
      </c>
      <c r="K857" s="16">
        <f t="shared" si="27"/>
        <v>6.4076471311274252E-2</v>
      </c>
    </row>
    <row r="858" spans="1:11" ht="19.5" customHeight="1" x14ac:dyDescent="0.25">
      <c r="A858" s="2" t="s">
        <v>2176</v>
      </c>
      <c r="B858" s="2" t="s">
        <v>16</v>
      </c>
      <c r="C858" s="2" t="s">
        <v>2192</v>
      </c>
      <c r="D858" s="2" t="s">
        <v>2193</v>
      </c>
      <c r="E858" s="2" t="s">
        <v>2194</v>
      </c>
      <c r="F858" s="3">
        <v>7467195.0999999996</v>
      </c>
      <c r="G858" s="3">
        <v>8653830</v>
      </c>
      <c r="H858" s="4">
        <v>11375000</v>
      </c>
      <c r="I858" s="4">
        <v>11565000</v>
      </c>
      <c r="J858" s="16">
        <f t="shared" si="26"/>
        <v>0.31444689807865411</v>
      </c>
      <c r="K858" s="16">
        <f t="shared" si="27"/>
        <v>1.6703296703296733E-2</v>
      </c>
    </row>
    <row r="859" spans="1:11" ht="19.5" customHeight="1" x14ac:dyDescent="0.25">
      <c r="A859" s="2" t="s">
        <v>2176</v>
      </c>
      <c r="B859" s="2" t="s">
        <v>16</v>
      </c>
      <c r="C859" s="2" t="s">
        <v>2195</v>
      </c>
      <c r="D859" s="2" t="s">
        <v>2196</v>
      </c>
      <c r="E859" s="2" t="s">
        <v>2197</v>
      </c>
      <c r="F859" s="3">
        <v>6989985.46</v>
      </c>
      <c r="G859" s="4">
        <v>7520000</v>
      </c>
      <c r="H859" s="4">
        <v>7751598</v>
      </c>
      <c r="I859" s="4">
        <v>8429640</v>
      </c>
      <c r="J859" s="16">
        <f t="shared" si="26"/>
        <v>3.0797606382978682E-2</v>
      </c>
      <c r="K859" s="16">
        <f t="shared" si="27"/>
        <v>8.7471254314271718E-2</v>
      </c>
    </row>
    <row r="860" spans="1:11" ht="19.5" customHeight="1" x14ac:dyDescent="0.25">
      <c r="A860" s="2" t="s">
        <v>2176</v>
      </c>
      <c r="B860" s="2" t="s">
        <v>16</v>
      </c>
      <c r="C860" s="2" t="s">
        <v>2198</v>
      </c>
      <c r="D860" s="2" t="s">
        <v>2199</v>
      </c>
      <c r="E860" s="2" t="s">
        <v>2200</v>
      </c>
      <c r="F860" s="3">
        <v>4479.2700000000004</v>
      </c>
      <c r="G860" s="3">
        <v>10000</v>
      </c>
      <c r="H860" s="4">
        <v>10000</v>
      </c>
      <c r="I860" s="4">
        <v>10000</v>
      </c>
      <c r="J860" s="16">
        <f t="shared" si="26"/>
        <v>0</v>
      </c>
      <c r="K860" s="16">
        <f t="shared" si="27"/>
        <v>0</v>
      </c>
    </row>
    <row r="861" spans="1:11" ht="19.5" customHeight="1" x14ac:dyDescent="0.25">
      <c r="A861" s="2" t="s">
        <v>2176</v>
      </c>
      <c r="B861" s="2" t="s">
        <v>16</v>
      </c>
      <c r="C861" s="2" t="s">
        <v>2201</v>
      </c>
      <c r="D861" s="2" t="s">
        <v>2202</v>
      </c>
      <c r="E861" s="2" t="s">
        <v>2203</v>
      </c>
      <c r="F861" s="3">
        <v>2324898.81</v>
      </c>
      <c r="G861" s="3">
        <v>3133913</v>
      </c>
      <c r="H861" s="4">
        <v>3410366</v>
      </c>
      <c r="I861" s="4">
        <v>3570259</v>
      </c>
      <c r="J861" s="16">
        <f t="shared" si="26"/>
        <v>8.8213361379208655E-2</v>
      </c>
      <c r="K861" s="16">
        <f t="shared" si="27"/>
        <v>4.6884410646833796E-2</v>
      </c>
    </row>
    <row r="862" spans="1:11" ht="19.5" customHeight="1" x14ac:dyDescent="0.25">
      <c r="A862" s="2" t="s">
        <v>2176</v>
      </c>
      <c r="B862" s="2" t="s">
        <v>16</v>
      </c>
      <c r="C862" s="2" t="s">
        <v>2204</v>
      </c>
      <c r="D862" s="2" t="s">
        <v>2205</v>
      </c>
      <c r="E862" s="2" t="s">
        <v>2206</v>
      </c>
      <c r="F862" s="3">
        <v>738007.21</v>
      </c>
      <c r="G862" s="3">
        <v>1094800</v>
      </c>
      <c r="H862" s="4">
        <v>1074027</v>
      </c>
      <c r="I862" s="4">
        <v>1089245</v>
      </c>
      <c r="J862" s="16">
        <f t="shared" si="26"/>
        <v>-1.8974241870661324E-2</v>
      </c>
      <c r="K862" s="16">
        <f t="shared" si="27"/>
        <v>1.4169103756237034E-2</v>
      </c>
    </row>
    <row r="863" spans="1:11" ht="19.5" customHeight="1" x14ac:dyDescent="0.25">
      <c r="A863" s="2" t="s">
        <v>2176</v>
      </c>
      <c r="B863" s="2" t="s">
        <v>16</v>
      </c>
      <c r="C863" s="2" t="s">
        <v>2207</v>
      </c>
      <c r="D863" s="2" t="s">
        <v>2208</v>
      </c>
      <c r="E863" s="2" t="s">
        <v>2209</v>
      </c>
      <c r="F863" s="3">
        <v>9857487.1600000001</v>
      </c>
      <c r="G863" s="3">
        <v>9694000</v>
      </c>
      <c r="H863" s="4">
        <v>10274000</v>
      </c>
      <c r="I863" s="4">
        <v>10284000</v>
      </c>
      <c r="J863" s="16">
        <f t="shared" si="26"/>
        <v>5.9830823189601867E-2</v>
      </c>
      <c r="K863" s="16">
        <f t="shared" si="27"/>
        <v>9.7333073778460566E-4</v>
      </c>
    </row>
    <row r="864" spans="1:11" ht="19.5" customHeight="1" x14ac:dyDescent="0.25">
      <c r="A864" s="2" t="s">
        <v>2176</v>
      </c>
      <c r="B864" s="2" t="s">
        <v>16</v>
      </c>
      <c r="C864" s="2" t="s">
        <v>2210</v>
      </c>
      <c r="D864" s="2" t="s">
        <v>2211</v>
      </c>
      <c r="E864" s="2" t="s">
        <v>2212</v>
      </c>
      <c r="F864" s="3">
        <v>733929.74</v>
      </c>
      <c r="G864" s="3">
        <v>722000</v>
      </c>
      <c r="H864" s="4">
        <v>722000</v>
      </c>
      <c r="I864" s="4">
        <v>722000</v>
      </c>
      <c r="J864" s="16">
        <f t="shared" si="26"/>
        <v>0</v>
      </c>
      <c r="K864" s="16">
        <f t="shared" si="27"/>
        <v>0</v>
      </c>
    </row>
    <row r="865" spans="1:11" ht="19.5" customHeight="1" x14ac:dyDescent="0.25">
      <c r="A865" s="2" t="s">
        <v>2176</v>
      </c>
      <c r="B865" s="2" t="s">
        <v>16</v>
      </c>
      <c r="C865" s="2" t="s">
        <v>2213</v>
      </c>
      <c r="D865" s="2" t="s">
        <v>2214</v>
      </c>
      <c r="E865" s="2" t="s">
        <v>2215</v>
      </c>
      <c r="F865" s="3">
        <v>4146205.47</v>
      </c>
      <c r="G865" s="3">
        <v>3839700</v>
      </c>
      <c r="H865" s="4">
        <v>4755552</v>
      </c>
      <c r="I865" s="4">
        <v>5125120</v>
      </c>
      <c r="J865" s="16">
        <f t="shared" si="26"/>
        <v>0.23852175951246202</v>
      </c>
      <c r="K865" s="16">
        <f t="shared" si="27"/>
        <v>7.7712955299405806E-2</v>
      </c>
    </row>
    <row r="866" spans="1:11" ht="19.5" customHeight="1" x14ac:dyDescent="0.25">
      <c r="A866" s="2" t="s">
        <v>2176</v>
      </c>
      <c r="B866" s="2" t="s">
        <v>16</v>
      </c>
      <c r="C866" s="2" t="s">
        <v>2216</v>
      </c>
      <c r="D866" s="2" t="s">
        <v>2217</v>
      </c>
      <c r="E866" s="2" t="s">
        <v>2218</v>
      </c>
      <c r="F866" s="3">
        <v>9050839.5299999993</v>
      </c>
      <c r="G866" s="3">
        <v>8414700</v>
      </c>
      <c r="H866" s="4">
        <v>10557535</v>
      </c>
      <c r="I866" s="4">
        <v>11017788</v>
      </c>
      <c r="J866" s="16">
        <f t="shared" si="26"/>
        <v>0.25465376068071355</v>
      </c>
      <c r="K866" s="16">
        <f t="shared" si="27"/>
        <v>4.3594740628375872E-2</v>
      </c>
    </row>
    <row r="867" spans="1:11" ht="19.5" customHeight="1" x14ac:dyDescent="0.25">
      <c r="A867" s="2" t="s">
        <v>2176</v>
      </c>
      <c r="B867" s="2" t="s">
        <v>16</v>
      </c>
      <c r="C867" s="2" t="s">
        <v>2216</v>
      </c>
      <c r="D867" s="2" t="s">
        <v>2219</v>
      </c>
      <c r="E867" s="2" t="s">
        <v>2220</v>
      </c>
      <c r="F867" s="3">
        <v>3120636.29</v>
      </c>
      <c r="G867" s="3">
        <v>3264000</v>
      </c>
      <c r="H867" s="4">
        <v>3380000</v>
      </c>
      <c r="I867" s="4">
        <v>3450000</v>
      </c>
      <c r="J867" s="16">
        <f t="shared" si="26"/>
        <v>3.5539215686274606E-2</v>
      </c>
      <c r="K867" s="16">
        <f t="shared" si="27"/>
        <v>2.0710059171597628E-2</v>
      </c>
    </row>
    <row r="868" spans="1:11" ht="19.5" customHeight="1" x14ac:dyDescent="0.25">
      <c r="A868" s="2" t="s">
        <v>2176</v>
      </c>
      <c r="B868" s="2" t="s">
        <v>16</v>
      </c>
      <c r="C868" s="2" t="s">
        <v>2221</v>
      </c>
      <c r="D868" s="2" t="s">
        <v>2222</v>
      </c>
      <c r="E868" s="2" t="s">
        <v>2223</v>
      </c>
      <c r="F868" s="3">
        <v>4302074.72</v>
      </c>
      <c r="G868" s="3">
        <v>4598000</v>
      </c>
      <c r="H868" s="4">
        <v>4598000</v>
      </c>
      <c r="I868" s="4">
        <v>4598000</v>
      </c>
      <c r="J868" s="16">
        <f t="shared" si="26"/>
        <v>0</v>
      </c>
      <c r="K868" s="16">
        <f t="shared" si="27"/>
        <v>0</v>
      </c>
    </row>
    <row r="869" spans="1:11" ht="19.5" customHeight="1" x14ac:dyDescent="0.25">
      <c r="A869" s="2" t="s">
        <v>2176</v>
      </c>
      <c r="B869" s="2" t="s">
        <v>16</v>
      </c>
      <c r="C869" s="2" t="s">
        <v>2224</v>
      </c>
      <c r="D869" s="2" t="s">
        <v>2225</v>
      </c>
      <c r="E869" s="2" t="s">
        <v>2226</v>
      </c>
      <c r="F869" s="3">
        <v>222930.61</v>
      </c>
      <c r="G869" s="3">
        <v>779400</v>
      </c>
      <c r="H869" s="4">
        <v>771192</v>
      </c>
      <c r="I869" s="4">
        <v>771192</v>
      </c>
      <c r="J869" s="16">
        <f t="shared" si="26"/>
        <v>-1.0531177829099292E-2</v>
      </c>
      <c r="K869" s="16">
        <f t="shared" si="27"/>
        <v>0</v>
      </c>
    </row>
    <row r="870" spans="1:11" ht="19.5" customHeight="1" x14ac:dyDescent="0.25">
      <c r="A870" s="2" t="s">
        <v>2176</v>
      </c>
      <c r="B870" s="2" t="s">
        <v>16</v>
      </c>
      <c r="C870" s="2" t="s">
        <v>2227</v>
      </c>
      <c r="D870" s="2" t="s">
        <v>2228</v>
      </c>
      <c r="E870" s="2" t="s">
        <v>2229</v>
      </c>
      <c r="F870" s="3">
        <v>186071.93</v>
      </c>
      <c r="G870" s="4">
        <v>208000</v>
      </c>
      <c r="H870" s="4">
        <v>210000</v>
      </c>
      <c r="I870" s="4">
        <v>210000</v>
      </c>
      <c r="J870" s="16">
        <f t="shared" si="26"/>
        <v>9.6153846153845812E-3</v>
      </c>
      <c r="K870" s="16">
        <f t="shared" si="27"/>
        <v>0</v>
      </c>
    </row>
    <row r="871" spans="1:11" ht="19.5" customHeight="1" x14ac:dyDescent="0.25">
      <c r="A871" s="2" t="s">
        <v>2176</v>
      </c>
      <c r="B871" s="2" t="s">
        <v>16</v>
      </c>
      <c r="C871" s="2" t="s">
        <v>2230</v>
      </c>
      <c r="D871" s="2" t="s">
        <v>2231</v>
      </c>
      <c r="E871" s="2" t="s">
        <v>2232</v>
      </c>
      <c r="F871" s="3">
        <v>488668</v>
      </c>
      <c r="G871" s="3">
        <v>1000000</v>
      </c>
      <c r="H871" s="4">
        <v>1000000</v>
      </c>
      <c r="I871" s="4">
        <v>1000000</v>
      </c>
      <c r="J871" s="16">
        <f t="shared" si="26"/>
        <v>0</v>
      </c>
      <c r="K871" s="16">
        <f t="shared" si="27"/>
        <v>0</v>
      </c>
    </row>
    <row r="872" spans="1:11" ht="19.5" customHeight="1" x14ac:dyDescent="0.25">
      <c r="A872" s="2" t="s">
        <v>2176</v>
      </c>
      <c r="B872" s="2" t="s">
        <v>16</v>
      </c>
      <c r="C872" s="2" t="s">
        <v>2233</v>
      </c>
      <c r="D872" s="2" t="s">
        <v>2234</v>
      </c>
      <c r="E872" s="2" t="s">
        <v>2235</v>
      </c>
      <c r="F872" s="3">
        <v>1999999</v>
      </c>
      <c r="G872" s="3">
        <v>2000000</v>
      </c>
      <c r="H872" s="4">
        <v>2100000</v>
      </c>
      <c r="I872" s="4">
        <v>2100000</v>
      </c>
      <c r="J872" s="16">
        <f t="shared" si="26"/>
        <v>5.0000000000000044E-2</v>
      </c>
      <c r="K872" s="16">
        <f t="shared" si="27"/>
        <v>0</v>
      </c>
    </row>
    <row r="873" spans="1:11" ht="19.5" customHeight="1" x14ac:dyDescent="0.25">
      <c r="A873" s="2" t="s">
        <v>2176</v>
      </c>
      <c r="B873" s="2" t="s">
        <v>16</v>
      </c>
      <c r="C873" s="2" t="s">
        <v>2233</v>
      </c>
      <c r="D873" s="2" t="s">
        <v>2236</v>
      </c>
      <c r="E873" s="2" t="s">
        <v>2237</v>
      </c>
      <c r="F873" s="3">
        <v>6421396.8200000003</v>
      </c>
      <c r="G873" s="3">
        <v>6292000</v>
      </c>
      <c r="H873" s="4">
        <v>6606600</v>
      </c>
      <c r="I873" s="4">
        <v>6606600</v>
      </c>
      <c r="J873" s="16">
        <f t="shared" si="26"/>
        <v>5.0000000000000044E-2</v>
      </c>
      <c r="K873" s="16">
        <f t="shared" si="27"/>
        <v>0</v>
      </c>
    </row>
    <row r="874" spans="1:11" ht="19.5" customHeight="1" x14ac:dyDescent="0.25">
      <c r="A874" s="2" t="s">
        <v>2176</v>
      </c>
      <c r="B874" s="2" t="s">
        <v>16</v>
      </c>
      <c r="C874" s="2" t="s">
        <v>2233</v>
      </c>
      <c r="D874" s="2" t="s">
        <v>2238</v>
      </c>
      <c r="E874" s="2" t="s">
        <v>2239</v>
      </c>
      <c r="F874" s="3">
        <v>8229830.71</v>
      </c>
      <c r="G874" s="3">
        <v>8236000</v>
      </c>
      <c r="H874" s="4">
        <v>8647800</v>
      </c>
      <c r="I874" s="4">
        <v>8647800</v>
      </c>
      <c r="J874" s="16">
        <f t="shared" si="26"/>
        <v>5.0000000000000044E-2</v>
      </c>
      <c r="K874" s="16">
        <f t="shared" si="27"/>
        <v>0</v>
      </c>
    </row>
    <row r="875" spans="1:11" ht="19.5" customHeight="1" x14ac:dyDescent="0.25">
      <c r="A875" s="2" t="s">
        <v>2176</v>
      </c>
      <c r="B875" s="2" t="s">
        <v>16</v>
      </c>
      <c r="C875" s="2" t="s">
        <v>2233</v>
      </c>
      <c r="D875" s="2" t="s">
        <v>2240</v>
      </c>
      <c r="E875" s="2" t="s">
        <v>2241</v>
      </c>
      <c r="F875" s="3">
        <v>3041292</v>
      </c>
      <c r="G875" s="3">
        <v>3840300</v>
      </c>
      <c r="H875" s="4">
        <v>3769815</v>
      </c>
      <c r="I875" s="4">
        <v>3769815</v>
      </c>
      <c r="J875" s="16">
        <f t="shared" si="26"/>
        <v>-1.8354034841028044E-2</v>
      </c>
      <c r="K875" s="16">
        <f t="shared" si="27"/>
        <v>0</v>
      </c>
    </row>
    <row r="876" spans="1:11" ht="19.5" customHeight="1" x14ac:dyDescent="0.25">
      <c r="A876" s="2" t="s">
        <v>2176</v>
      </c>
      <c r="B876" s="2" t="s">
        <v>16</v>
      </c>
      <c r="C876" s="2" t="s">
        <v>2233</v>
      </c>
      <c r="D876" s="2" t="s">
        <v>2242</v>
      </c>
      <c r="E876" s="2" t="s">
        <v>2243</v>
      </c>
      <c r="F876" s="3">
        <v>1634228.8</v>
      </c>
      <c r="G876" s="4">
        <v>1833000</v>
      </c>
      <c r="H876" s="4">
        <v>1968750</v>
      </c>
      <c r="I876" s="4">
        <v>1968750</v>
      </c>
      <c r="J876" s="16">
        <f t="shared" si="26"/>
        <v>7.4058919803600576E-2</v>
      </c>
      <c r="K876" s="16">
        <f t="shared" si="27"/>
        <v>0</v>
      </c>
    </row>
    <row r="877" spans="1:11" ht="19.5" customHeight="1" x14ac:dyDescent="0.25">
      <c r="A877" s="2" t="s">
        <v>2176</v>
      </c>
      <c r="B877" s="2" t="s">
        <v>16</v>
      </c>
      <c r="C877" s="2" t="s">
        <v>2233</v>
      </c>
      <c r="D877" s="2" t="s">
        <v>2244</v>
      </c>
      <c r="E877" s="2" t="s">
        <v>2245</v>
      </c>
      <c r="F877" s="3">
        <v>3183720.47</v>
      </c>
      <c r="G877" s="3">
        <v>3329000</v>
      </c>
      <c r="H877" s="4">
        <v>3495450</v>
      </c>
      <c r="I877" s="4">
        <v>3495450</v>
      </c>
      <c r="J877" s="16">
        <f t="shared" si="26"/>
        <v>5.0000000000000044E-2</v>
      </c>
      <c r="K877" s="16">
        <f t="shared" si="27"/>
        <v>0</v>
      </c>
    </row>
    <row r="878" spans="1:11" ht="19.5" customHeight="1" x14ac:dyDescent="0.25">
      <c r="A878" s="2" t="s">
        <v>2176</v>
      </c>
      <c r="B878" s="2" t="s">
        <v>16</v>
      </c>
      <c r="C878" s="2" t="s">
        <v>2233</v>
      </c>
      <c r="D878" s="2" t="s">
        <v>2246</v>
      </c>
      <c r="E878" s="2" t="s">
        <v>2247</v>
      </c>
      <c r="F878" s="3">
        <v>1072849.0900000001</v>
      </c>
      <c r="G878" s="3">
        <v>1120000</v>
      </c>
      <c r="H878" s="4">
        <v>1176000</v>
      </c>
      <c r="I878" s="4">
        <v>1176000</v>
      </c>
      <c r="J878" s="16">
        <f t="shared" si="26"/>
        <v>5.0000000000000044E-2</v>
      </c>
      <c r="K878" s="16">
        <f t="shared" si="27"/>
        <v>0</v>
      </c>
    </row>
    <row r="879" spans="1:11" ht="19.5" customHeight="1" x14ac:dyDescent="0.25">
      <c r="A879" s="2" t="s">
        <v>2176</v>
      </c>
      <c r="B879" s="2" t="s">
        <v>16</v>
      </c>
      <c r="C879" s="2" t="s">
        <v>2233</v>
      </c>
      <c r="D879" s="2" t="s">
        <v>2248</v>
      </c>
      <c r="E879" s="2" t="s">
        <v>2249</v>
      </c>
      <c r="F879" s="3">
        <v>410303.63</v>
      </c>
      <c r="G879" s="3">
        <v>450000</v>
      </c>
      <c r="H879" s="4">
        <v>450000</v>
      </c>
      <c r="I879" s="4">
        <v>450000</v>
      </c>
      <c r="J879" s="16">
        <f t="shared" si="26"/>
        <v>0</v>
      </c>
      <c r="K879" s="16">
        <f t="shared" si="27"/>
        <v>0</v>
      </c>
    </row>
    <row r="880" spans="1:11" ht="19.5" customHeight="1" x14ac:dyDescent="0.25">
      <c r="A880" s="2" t="s">
        <v>2176</v>
      </c>
      <c r="B880" s="2" t="s">
        <v>16</v>
      </c>
      <c r="C880" s="2" t="s">
        <v>2233</v>
      </c>
      <c r="D880" s="2" t="s">
        <v>2250</v>
      </c>
      <c r="E880" s="2" t="s">
        <v>2251</v>
      </c>
      <c r="F880" s="3">
        <v>14848225.439999999</v>
      </c>
      <c r="G880" s="3">
        <v>15165000</v>
      </c>
      <c r="H880" s="4">
        <v>16213250</v>
      </c>
      <c r="I880" s="4">
        <v>15923250</v>
      </c>
      <c r="J880" s="16">
        <f t="shared" si="26"/>
        <v>6.9122980547312807E-2</v>
      </c>
      <c r="K880" s="16">
        <f t="shared" si="27"/>
        <v>-1.7886605091514629E-2</v>
      </c>
    </row>
    <row r="881" spans="1:11" ht="19.5" customHeight="1" x14ac:dyDescent="0.25">
      <c r="A881" s="2" t="s">
        <v>2176</v>
      </c>
      <c r="B881" s="2" t="s">
        <v>16</v>
      </c>
      <c r="C881" s="2" t="s">
        <v>2233</v>
      </c>
      <c r="D881" s="2" t="s">
        <v>2252</v>
      </c>
      <c r="E881" s="2" t="s">
        <v>2253</v>
      </c>
      <c r="F881" s="3">
        <v>67118.2</v>
      </c>
      <c r="G881" s="3">
        <v>115000</v>
      </c>
      <c r="H881" s="4">
        <v>788000</v>
      </c>
      <c r="I881" s="4">
        <v>793000</v>
      </c>
      <c r="J881" s="16">
        <f t="shared" si="26"/>
        <v>5.8521739130434787</v>
      </c>
      <c r="K881" s="16">
        <f t="shared" si="27"/>
        <v>6.345177664974555E-3</v>
      </c>
    </row>
    <row r="882" spans="1:11" ht="19.5" customHeight="1" x14ac:dyDescent="0.25">
      <c r="A882" s="2" t="s">
        <v>2176</v>
      </c>
      <c r="B882" s="2" t="s">
        <v>16</v>
      </c>
      <c r="C882" s="2" t="s">
        <v>2254</v>
      </c>
      <c r="D882" s="2" t="s">
        <v>2255</v>
      </c>
      <c r="E882" s="2" t="s">
        <v>2256</v>
      </c>
      <c r="F882" s="3">
        <v>61865.79</v>
      </c>
      <c r="G882" s="3">
        <v>225000</v>
      </c>
      <c r="H882" s="4">
        <v>225000</v>
      </c>
      <c r="I882" s="4">
        <v>225000</v>
      </c>
      <c r="J882" s="16">
        <f t="shared" si="26"/>
        <v>0</v>
      </c>
      <c r="K882" s="16">
        <f t="shared" si="27"/>
        <v>0</v>
      </c>
    </row>
    <row r="883" spans="1:11" ht="19.5" customHeight="1" x14ac:dyDescent="0.25">
      <c r="A883" s="2" t="s">
        <v>2176</v>
      </c>
      <c r="B883" s="2" t="s">
        <v>16</v>
      </c>
      <c r="C883" s="2" t="s">
        <v>2257</v>
      </c>
      <c r="D883" s="2" t="s">
        <v>2258</v>
      </c>
      <c r="E883" s="2" t="s">
        <v>2259</v>
      </c>
      <c r="F883" s="3">
        <v>76437.210000000006</v>
      </c>
      <c r="G883" s="3">
        <v>0</v>
      </c>
      <c r="H883" s="4">
        <v>2670826</v>
      </c>
      <c r="I883" s="4">
        <v>2694826</v>
      </c>
      <c r="J883" s="16" t="str">
        <f t="shared" si="26"/>
        <v>--</v>
      </c>
      <c r="K883" s="16">
        <f t="shared" si="27"/>
        <v>8.9859841112824856E-3</v>
      </c>
    </row>
    <row r="884" spans="1:11" ht="19.5" customHeight="1" x14ac:dyDescent="0.25">
      <c r="A884" s="2" t="s">
        <v>2176</v>
      </c>
      <c r="B884" s="2" t="s">
        <v>16</v>
      </c>
      <c r="C884" s="2" t="s">
        <v>35</v>
      </c>
      <c r="D884" s="2" t="s">
        <v>2260</v>
      </c>
      <c r="E884" s="2" t="s">
        <v>2261</v>
      </c>
      <c r="F884" s="3">
        <v>0</v>
      </c>
      <c r="G884" s="3">
        <v>2000000</v>
      </c>
      <c r="H884" s="4">
        <v>0</v>
      </c>
      <c r="I884" s="4">
        <v>0</v>
      </c>
      <c r="J884" s="16">
        <f t="shared" si="26"/>
        <v>-1</v>
      </c>
      <c r="K884" s="16" t="str">
        <f t="shared" si="27"/>
        <v>--</v>
      </c>
    </row>
    <row r="885" spans="1:11" ht="19.5" customHeight="1" x14ac:dyDescent="0.25">
      <c r="A885" s="2" t="s">
        <v>2176</v>
      </c>
      <c r="B885" s="2" t="s">
        <v>16</v>
      </c>
      <c r="C885" s="2" t="s">
        <v>2262</v>
      </c>
      <c r="D885" s="2" t="s">
        <v>2263</v>
      </c>
      <c r="E885" s="2" t="s">
        <v>2264</v>
      </c>
      <c r="F885" s="3">
        <v>244084.89</v>
      </c>
      <c r="G885" s="3">
        <v>332000</v>
      </c>
      <c r="H885" s="4">
        <v>332000</v>
      </c>
      <c r="I885" s="4">
        <v>332000</v>
      </c>
      <c r="J885" s="16">
        <f t="shared" si="26"/>
        <v>0</v>
      </c>
      <c r="K885" s="16">
        <f t="shared" si="27"/>
        <v>0</v>
      </c>
    </row>
    <row r="886" spans="1:11" ht="19.5" customHeight="1" x14ac:dyDescent="0.25">
      <c r="A886" s="2" t="s">
        <v>2176</v>
      </c>
      <c r="B886" s="2" t="s">
        <v>16</v>
      </c>
      <c r="C886" s="2" t="s">
        <v>2265</v>
      </c>
      <c r="D886" s="2" t="s">
        <v>2266</v>
      </c>
      <c r="E886" s="2" t="s">
        <v>2267</v>
      </c>
      <c r="F886" s="4">
        <v>1402019.74</v>
      </c>
      <c r="G886" s="3">
        <v>3157250</v>
      </c>
      <c r="H886" s="4">
        <v>2081245</v>
      </c>
      <c r="I886" s="4">
        <v>2088650</v>
      </c>
      <c r="J886" s="16">
        <f t="shared" si="26"/>
        <v>-0.34080449758492359</v>
      </c>
      <c r="K886" s="16">
        <f t="shared" si="27"/>
        <v>3.5579665056253429E-3</v>
      </c>
    </row>
    <row r="887" spans="1:11" ht="19.5" customHeight="1" x14ac:dyDescent="0.25">
      <c r="A887" s="2" t="s">
        <v>2176</v>
      </c>
      <c r="B887" s="2" t="s">
        <v>16</v>
      </c>
      <c r="C887" s="2" t="s">
        <v>2268</v>
      </c>
      <c r="D887" s="2" t="s">
        <v>2269</v>
      </c>
      <c r="E887" s="2" t="s">
        <v>2270</v>
      </c>
      <c r="F887" s="3">
        <v>2415</v>
      </c>
      <c r="G887" s="3">
        <v>1000000</v>
      </c>
      <c r="H887" s="4">
        <v>750000</v>
      </c>
      <c r="I887" s="4">
        <v>750000</v>
      </c>
      <c r="J887" s="16">
        <f t="shared" si="26"/>
        <v>-0.25</v>
      </c>
      <c r="K887" s="16">
        <f t="shared" si="27"/>
        <v>0</v>
      </c>
    </row>
    <row r="888" spans="1:11" ht="19.5" customHeight="1" x14ac:dyDescent="0.25">
      <c r="A888" s="2" t="s">
        <v>2176</v>
      </c>
      <c r="B888" s="2" t="s">
        <v>16</v>
      </c>
      <c r="C888" s="2" t="s">
        <v>2271</v>
      </c>
      <c r="D888" s="2" t="s">
        <v>2272</v>
      </c>
      <c r="E888" s="2" t="s">
        <v>2273</v>
      </c>
      <c r="F888" s="3">
        <v>333179.19</v>
      </c>
      <c r="G888" s="3">
        <v>500000</v>
      </c>
      <c r="H888" s="4">
        <v>500000</v>
      </c>
      <c r="I888" s="4">
        <v>500000</v>
      </c>
      <c r="J888" s="16">
        <f t="shared" si="26"/>
        <v>0</v>
      </c>
      <c r="K888" s="16">
        <f t="shared" si="27"/>
        <v>0</v>
      </c>
    </row>
    <row r="889" spans="1:11" ht="19.5" customHeight="1" x14ac:dyDescent="0.25">
      <c r="A889" s="2" t="s">
        <v>2176</v>
      </c>
      <c r="B889" s="2" t="s">
        <v>16</v>
      </c>
      <c r="C889" s="2" t="s">
        <v>2274</v>
      </c>
      <c r="D889" s="2" t="s">
        <v>2275</v>
      </c>
      <c r="E889" s="2" t="s">
        <v>2276</v>
      </c>
      <c r="F889" s="3">
        <v>215460.86</v>
      </c>
      <c r="G889" s="3">
        <v>278500</v>
      </c>
      <c r="H889" s="4">
        <v>325370</v>
      </c>
      <c r="I889" s="4">
        <v>332287</v>
      </c>
      <c r="J889" s="16">
        <f t="shared" si="26"/>
        <v>0.16829443447037695</v>
      </c>
      <c r="K889" s="16">
        <f t="shared" si="27"/>
        <v>2.125887451209385E-2</v>
      </c>
    </row>
    <row r="890" spans="1:11" ht="19.5" customHeight="1" x14ac:dyDescent="0.25">
      <c r="A890" s="2" t="s">
        <v>2176</v>
      </c>
      <c r="B890" s="2" t="s">
        <v>16</v>
      </c>
      <c r="C890" s="2" t="s">
        <v>2277</v>
      </c>
      <c r="D890" s="2" t="s">
        <v>2278</v>
      </c>
      <c r="E890" s="2" t="s">
        <v>2279</v>
      </c>
      <c r="F890" s="3">
        <v>3993624.12</v>
      </c>
      <c r="G890" s="3">
        <v>4200000</v>
      </c>
      <c r="H890" s="4">
        <v>5055000</v>
      </c>
      <c r="I890" s="4">
        <v>5455000</v>
      </c>
      <c r="J890" s="16">
        <f t="shared" si="26"/>
        <v>0.20357142857142851</v>
      </c>
      <c r="K890" s="16">
        <f t="shared" si="27"/>
        <v>7.9129574678536096E-2</v>
      </c>
    </row>
    <row r="891" spans="1:11" ht="19.5" customHeight="1" x14ac:dyDescent="0.25">
      <c r="A891" s="2" t="s">
        <v>2176</v>
      </c>
      <c r="B891" s="2" t="s">
        <v>16</v>
      </c>
      <c r="C891" s="2" t="s">
        <v>2277</v>
      </c>
      <c r="D891" s="2" t="s">
        <v>2280</v>
      </c>
      <c r="E891" s="2" t="s">
        <v>2281</v>
      </c>
      <c r="F891" s="3">
        <v>3826738.78</v>
      </c>
      <c r="G891" s="3">
        <v>3975000</v>
      </c>
      <c r="H891" s="4">
        <v>4100000</v>
      </c>
      <c r="I891" s="4">
        <v>4223000</v>
      </c>
      <c r="J891" s="16">
        <f t="shared" si="26"/>
        <v>3.1446540880503138E-2</v>
      </c>
      <c r="K891" s="16">
        <f t="shared" si="27"/>
        <v>3.0000000000000027E-2</v>
      </c>
    </row>
    <row r="892" spans="1:11" ht="19.5" customHeight="1" x14ac:dyDescent="0.25">
      <c r="A892" s="2" t="s">
        <v>2176</v>
      </c>
      <c r="B892" s="2" t="s">
        <v>16</v>
      </c>
      <c r="C892" s="2" t="s">
        <v>2282</v>
      </c>
      <c r="D892" s="2" t="s">
        <v>2283</v>
      </c>
      <c r="E892" s="2" t="s">
        <v>2284</v>
      </c>
      <c r="F892" s="3">
        <v>45906.65</v>
      </c>
      <c r="G892" s="3">
        <v>35000</v>
      </c>
      <c r="H892" s="4">
        <v>20000</v>
      </c>
      <c r="I892" s="4">
        <v>0</v>
      </c>
      <c r="J892" s="16">
        <f t="shared" si="26"/>
        <v>-0.4285714285714286</v>
      </c>
      <c r="K892" s="16">
        <f t="shared" si="27"/>
        <v>-1</v>
      </c>
    </row>
    <row r="893" spans="1:11" ht="19.5" customHeight="1" x14ac:dyDescent="0.25">
      <c r="A893" s="2" t="s">
        <v>2176</v>
      </c>
      <c r="B893" s="2" t="s">
        <v>16</v>
      </c>
      <c r="C893" s="2" t="s">
        <v>2285</v>
      </c>
      <c r="D893" s="2" t="s">
        <v>2286</v>
      </c>
      <c r="E893" s="2" t="s">
        <v>2287</v>
      </c>
      <c r="F893" s="3">
        <v>2742808.92</v>
      </c>
      <c r="G893" s="3">
        <v>2858000</v>
      </c>
      <c r="H893" s="4">
        <v>2864000</v>
      </c>
      <c r="I893" s="4">
        <v>2864000</v>
      </c>
      <c r="J893" s="16">
        <f t="shared" si="26"/>
        <v>2.0993701889433503E-3</v>
      </c>
      <c r="K893" s="16">
        <f t="shared" si="27"/>
        <v>0</v>
      </c>
    </row>
    <row r="894" spans="1:11" ht="19.5" customHeight="1" x14ac:dyDescent="0.25">
      <c r="A894" s="2" t="s">
        <v>2176</v>
      </c>
      <c r="B894" s="2" t="s">
        <v>16</v>
      </c>
      <c r="C894" s="2" t="s">
        <v>2288</v>
      </c>
      <c r="D894" s="2" t="s">
        <v>2289</v>
      </c>
      <c r="E894" s="2" t="s">
        <v>2290</v>
      </c>
      <c r="F894" s="3">
        <v>923514.61</v>
      </c>
      <c r="G894" s="3">
        <v>972000</v>
      </c>
      <c r="H894" s="4">
        <v>1002000</v>
      </c>
      <c r="I894" s="4">
        <v>1002000</v>
      </c>
      <c r="J894" s="16">
        <f t="shared" si="26"/>
        <v>3.0864197530864113E-2</v>
      </c>
      <c r="K894" s="16">
        <f t="shared" si="27"/>
        <v>0</v>
      </c>
    </row>
    <row r="895" spans="1:11" ht="19.5" customHeight="1" x14ac:dyDescent="0.25">
      <c r="A895" s="2" t="s">
        <v>2176</v>
      </c>
      <c r="B895" s="2" t="s">
        <v>16</v>
      </c>
      <c r="C895" s="2" t="s">
        <v>2291</v>
      </c>
      <c r="D895" s="2" t="s">
        <v>2292</v>
      </c>
      <c r="E895" s="2" t="s">
        <v>2293</v>
      </c>
      <c r="F895" s="3">
        <v>391726.89</v>
      </c>
      <c r="G895" s="3">
        <v>300000</v>
      </c>
      <c r="H895" s="4">
        <v>300000</v>
      </c>
      <c r="I895" s="4">
        <v>300000</v>
      </c>
      <c r="J895" s="16">
        <f t="shared" si="26"/>
        <v>0</v>
      </c>
      <c r="K895" s="16">
        <f t="shared" si="27"/>
        <v>0</v>
      </c>
    </row>
    <row r="896" spans="1:11" ht="19.5" customHeight="1" x14ac:dyDescent="0.25">
      <c r="A896" s="2" t="s">
        <v>2176</v>
      </c>
      <c r="B896" s="2" t="s">
        <v>16</v>
      </c>
      <c r="C896" s="2" t="s">
        <v>2294</v>
      </c>
      <c r="D896" s="2" t="s">
        <v>2295</v>
      </c>
      <c r="E896" s="2" t="s">
        <v>2296</v>
      </c>
      <c r="F896" s="3">
        <v>1219032.46</v>
      </c>
      <c r="G896" s="3">
        <v>998000</v>
      </c>
      <c r="H896" s="4">
        <v>300000</v>
      </c>
      <c r="I896" s="4">
        <v>300000</v>
      </c>
      <c r="J896" s="16">
        <f t="shared" si="26"/>
        <v>-0.6993987975951903</v>
      </c>
      <c r="K896" s="16">
        <f t="shared" si="27"/>
        <v>0</v>
      </c>
    </row>
    <row r="897" spans="1:11" ht="19.5" customHeight="1" x14ac:dyDescent="0.25">
      <c r="A897" s="2" t="s">
        <v>2176</v>
      </c>
      <c r="B897" s="2" t="s">
        <v>16</v>
      </c>
      <c r="C897" s="2" t="s">
        <v>343</v>
      </c>
      <c r="D897" s="2" t="s">
        <v>2297</v>
      </c>
      <c r="E897" s="2" t="s">
        <v>345</v>
      </c>
      <c r="F897" s="3">
        <v>314925</v>
      </c>
      <c r="G897" s="3">
        <v>3041575</v>
      </c>
      <c r="H897" s="4">
        <v>10000000</v>
      </c>
      <c r="I897" s="4">
        <v>10000000</v>
      </c>
      <c r="J897" s="16">
        <f t="shared" si="26"/>
        <v>2.2877703163656986</v>
      </c>
      <c r="K897" s="16">
        <f t="shared" si="27"/>
        <v>0</v>
      </c>
    </row>
    <row r="898" spans="1:11" ht="19.5" customHeight="1" x14ac:dyDescent="0.25">
      <c r="A898" s="2" t="s">
        <v>2176</v>
      </c>
      <c r="B898" s="2" t="s">
        <v>44</v>
      </c>
      <c r="C898" s="2" t="s">
        <v>2298</v>
      </c>
      <c r="D898" s="2" t="s">
        <v>2299</v>
      </c>
      <c r="E898" s="2" t="s">
        <v>2300</v>
      </c>
      <c r="F898" s="3">
        <v>2010800.14</v>
      </c>
      <c r="G898" s="3">
        <v>2015000</v>
      </c>
      <c r="H898" s="4">
        <v>2150000</v>
      </c>
      <c r="I898" s="4">
        <v>2150000</v>
      </c>
      <c r="J898" s="16">
        <f t="shared" si="26"/>
        <v>6.6997518610421913E-2</v>
      </c>
      <c r="K898" s="16">
        <f t="shared" si="27"/>
        <v>0</v>
      </c>
    </row>
    <row r="899" spans="1:11" ht="19.5" customHeight="1" x14ac:dyDescent="0.25">
      <c r="A899" s="2" t="s">
        <v>2176</v>
      </c>
      <c r="B899" s="2" t="s">
        <v>44</v>
      </c>
      <c r="C899" s="2" t="s">
        <v>2301</v>
      </c>
      <c r="D899" s="2" t="s">
        <v>2302</v>
      </c>
      <c r="E899" s="2" t="s">
        <v>2303</v>
      </c>
      <c r="F899" s="3">
        <v>5598553.8600000003</v>
      </c>
      <c r="G899" s="3">
        <v>6115000</v>
      </c>
      <c r="H899" s="4">
        <v>6115000</v>
      </c>
      <c r="I899" s="4">
        <v>6115000</v>
      </c>
      <c r="J899" s="16">
        <f t="shared" ref="J899:J962" si="28">IFERROR(H899/G899-1,"--")</f>
        <v>0</v>
      </c>
      <c r="K899" s="16">
        <f t="shared" ref="K899:K962" si="29">IFERROR(I899/H899-1,"--")</f>
        <v>0</v>
      </c>
    </row>
    <row r="900" spans="1:11" ht="19.5" customHeight="1" x14ac:dyDescent="0.25">
      <c r="A900" s="2" t="s">
        <v>2176</v>
      </c>
      <c r="B900" s="2" t="s">
        <v>44</v>
      </c>
      <c r="C900" s="2" t="s">
        <v>2304</v>
      </c>
      <c r="D900" s="2" t="s">
        <v>2305</v>
      </c>
      <c r="E900" s="2" t="s">
        <v>2306</v>
      </c>
      <c r="F900" s="3">
        <v>94133.440000000002</v>
      </c>
      <c r="G900" s="3">
        <v>133000</v>
      </c>
      <c r="H900" s="4">
        <v>133000</v>
      </c>
      <c r="I900" s="4">
        <v>133000</v>
      </c>
      <c r="J900" s="16">
        <f t="shared" si="28"/>
        <v>0</v>
      </c>
      <c r="K900" s="16">
        <f t="shared" si="29"/>
        <v>0</v>
      </c>
    </row>
    <row r="901" spans="1:11" ht="19.5" customHeight="1" x14ac:dyDescent="0.25">
      <c r="A901" s="2" t="s">
        <v>2176</v>
      </c>
      <c r="B901" s="2" t="s">
        <v>44</v>
      </c>
      <c r="C901" s="2" t="s">
        <v>2307</v>
      </c>
      <c r="D901" s="2" t="s">
        <v>2308</v>
      </c>
      <c r="E901" s="2" t="s">
        <v>2309</v>
      </c>
      <c r="F901" s="3">
        <v>11587734.789999999</v>
      </c>
      <c r="G901" s="3">
        <v>14517550</v>
      </c>
      <c r="H901" s="4">
        <v>15570000</v>
      </c>
      <c r="I901" s="4">
        <v>15625000</v>
      </c>
      <c r="J901" s="16">
        <f t="shared" si="28"/>
        <v>7.2495014654676559E-2</v>
      </c>
      <c r="K901" s="16">
        <f t="shared" si="29"/>
        <v>3.5324341682723137E-3</v>
      </c>
    </row>
    <row r="902" spans="1:11" ht="19.5" customHeight="1" x14ac:dyDescent="0.25">
      <c r="A902" s="2" t="s">
        <v>2176</v>
      </c>
      <c r="B902" s="2" t="s">
        <v>44</v>
      </c>
      <c r="C902" s="2" t="s">
        <v>2310</v>
      </c>
      <c r="D902" s="2" t="s">
        <v>2311</v>
      </c>
      <c r="E902" s="2" t="s">
        <v>2312</v>
      </c>
      <c r="F902" s="3">
        <v>118966</v>
      </c>
      <c r="G902" s="3">
        <v>698000</v>
      </c>
      <c r="H902" s="4">
        <v>201000</v>
      </c>
      <c r="I902" s="4">
        <v>201000</v>
      </c>
      <c r="J902" s="16">
        <f t="shared" si="28"/>
        <v>-0.71203438395415475</v>
      </c>
      <c r="K902" s="16">
        <f t="shared" si="29"/>
        <v>0</v>
      </c>
    </row>
    <row r="903" spans="1:11" ht="19.5" customHeight="1" x14ac:dyDescent="0.25">
      <c r="A903" s="2" t="s">
        <v>2176</v>
      </c>
      <c r="B903" s="2" t="s">
        <v>44</v>
      </c>
      <c r="C903" s="2" t="s">
        <v>2313</v>
      </c>
      <c r="D903" s="2" t="s">
        <v>2314</v>
      </c>
      <c r="E903" s="2" t="s">
        <v>2315</v>
      </c>
      <c r="F903" s="3">
        <v>6797170.1399999997</v>
      </c>
      <c r="G903" s="3">
        <v>7143300</v>
      </c>
      <c r="H903" s="4">
        <v>8137195</v>
      </c>
      <c r="I903" s="4">
        <v>8218775</v>
      </c>
      <c r="J903" s="16">
        <f t="shared" si="28"/>
        <v>0.13913667352624137</v>
      </c>
      <c r="K903" s="16">
        <f t="shared" si="29"/>
        <v>1.0025567778577216E-2</v>
      </c>
    </row>
    <row r="904" spans="1:11" ht="19.5" customHeight="1" x14ac:dyDescent="0.25">
      <c r="A904" s="2" t="s">
        <v>2176</v>
      </c>
      <c r="B904" s="2" t="s">
        <v>44</v>
      </c>
      <c r="C904" s="2" t="s">
        <v>2316</v>
      </c>
      <c r="D904" s="2" t="s">
        <v>2317</v>
      </c>
      <c r="E904" s="2" t="s">
        <v>2318</v>
      </c>
      <c r="F904" s="3">
        <v>3857213.1</v>
      </c>
      <c r="G904" s="3">
        <v>22845000</v>
      </c>
      <c r="H904" s="4">
        <v>10766500</v>
      </c>
      <c r="I904" s="4">
        <v>5876500</v>
      </c>
      <c r="J904" s="16">
        <f t="shared" si="28"/>
        <v>-0.52871525497920768</v>
      </c>
      <c r="K904" s="16">
        <f t="shared" si="29"/>
        <v>-0.45418659731574795</v>
      </c>
    </row>
    <row r="905" spans="1:11" ht="19.5" customHeight="1" x14ac:dyDescent="0.25">
      <c r="A905" s="2" t="s">
        <v>2176</v>
      </c>
      <c r="B905" s="2" t="s">
        <v>44</v>
      </c>
      <c r="C905" s="2" t="s">
        <v>2319</v>
      </c>
      <c r="D905" s="2" t="s">
        <v>2320</v>
      </c>
      <c r="E905" s="2" t="s">
        <v>2321</v>
      </c>
      <c r="F905" s="3">
        <v>2733818.23</v>
      </c>
      <c r="G905" s="3">
        <v>2955000</v>
      </c>
      <c r="H905" s="4">
        <v>3141500</v>
      </c>
      <c r="I905" s="4">
        <v>3148130</v>
      </c>
      <c r="J905" s="16">
        <f t="shared" si="28"/>
        <v>6.3113367174280954E-2</v>
      </c>
      <c r="K905" s="16">
        <f t="shared" si="29"/>
        <v>2.1104567881584657E-3</v>
      </c>
    </row>
    <row r="906" spans="1:11" ht="19.5" customHeight="1" x14ac:dyDescent="0.25">
      <c r="A906" s="2" t="s">
        <v>2176</v>
      </c>
      <c r="B906" s="2" t="s">
        <v>44</v>
      </c>
      <c r="C906" s="2" t="s">
        <v>2322</v>
      </c>
      <c r="D906" s="2" t="s">
        <v>2323</v>
      </c>
      <c r="E906" s="2" t="s">
        <v>2324</v>
      </c>
      <c r="F906" s="3">
        <v>18330</v>
      </c>
      <c r="G906" s="3">
        <v>700000</v>
      </c>
      <c r="H906" s="4">
        <v>700000</v>
      </c>
      <c r="I906" s="4">
        <v>700000</v>
      </c>
      <c r="J906" s="16">
        <f t="shared" si="28"/>
        <v>0</v>
      </c>
      <c r="K906" s="16">
        <f t="shared" si="29"/>
        <v>0</v>
      </c>
    </row>
    <row r="907" spans="1:11" ht="19.5" customHeight="1" x14ac:dyDescent="0.25">
      <c r="A907" s="2" t="s">
        <v>2176</v>
      </c>
      <c r="B907" s="2" t="s">
        <v>54</v>
      </c>
      <c r="C907" s="2" t="s">
        <v>54</v>
      </c>
      <c r="D907" s="8" t="s">
        <v>2325</v>
      </c>
      <c r="E907" s="2" t="s">
        <v>2326</v>
      </c>
      <c r="F907" s="4">
        <v>0</v>
      </c>
      <c r="G907" s="3">
        <v>0</v>
      </c>
      <c r="H907" s="4">
        <v>60000</v>
      </c>
      <c r="I907" s="4">
        <v>10000</v>
      </c>
      <c r="J907" s="16" t="str">
        <f t="shared" si="28"/>
        <v>--</v>
      </c>
      <c r="K907" s="16">
        <f t="shared" si="29"/>
        <v>-0.83333333333333337</v>
      </c>
    </row>
    <row r="908" spans="1:11" ht="19.5" customHeight="1" x14ac:dyDescent="0.25">
      <c r="A908" s="2" t="s">
        <v>2176</v>
      </c>
      <c r="B908" s="2" t="s">
        <v>54</v>
      </c>
      <c r="C908" s="2" t="s">
        <v>54</v>
      </c>
      <c r="D908" s="2" t="s">
        <v>2327</v>
      </c>
      <c r="E908" s="2" t="s">
        <v>2328</v>
      </c>
      <c r="F908" s="3">
        <v>10079452.859999999</v>
      </c>
      <c r="G908" s="3">
        <v>10439525</v>
      </c>
      <c r="H908" s="4">
        <v>9125482</v>
      </c>
      <c r="I908" s="4">
        <v>9125482</v>
      </c>
      <c r="J908" s="16">
        <f t="shared" si="28"/>
        <v>-0.12587191467044712</v>
      </c>
      <c r="K908" s="16">
        <f t="shared" si="29"/>
        <v>0</v>
      </c>
    </row>
    <row r="909" spans="1:11" ht="19.5" customHeight="1" x14ac:dyDescent="0.25">
      <c r="A909" s="2" t="s">
        <v>2176</v>
      </c>
      <c r="B909" s="2" t="s">
        <v>54</v>
      </c>
      <c r="C909" s="2" t="s">
        <v>54</v>
      </c>
      <c r="D909" s="2" t="s">
        <v>2329</v>
      </c>
      <c r="E909" s="2" t="s">
        <v>2330</v>
      </c>
      <c r="F909" s="3">
        <v>125000</v>
      </c>
      <c r="G909" s="3">
        <v>0</v>
      </c>
      <c r="H909" s="4">
        <v>0</v>
      </c>
      <c r="I909" s="4">
        <v>0</v>
      </c>
      <c r="J909" s="16" t="str">
        <f t="shared" si="28"/>
        <v>--</v>
      </c>
      <c r="K909" s="16" t="str">
        <f t="shared" si="29"/>
        <v>--</v>
      </c>
    </row>
    <row r="910" spans="1:11" ht="19.5" customHeight="1" x14ac:dyDescent="0.25">
      <c r="A910" s="2" t="s">
        <v>2176</v>
      </c>
      <c r="B910" s="2" t="s">
        <v>54</v>
      </c>
      <c r="C910" s="2" t="s">
        <v>54</v>
      </c>
      <c r="D910" s="2" t="s">
        <v>2331</v>
      </c>
      <c r="E910" s="2" t="s">
        <v>2332</v>
      </c>
      <c r="F910" s="4">
        <v>1500000</v>
      </c>
      <c r="G910" s="3">
        <v>1200000</v>
      </c>
      <c r="H910" s="4">
        <v>0</v>
      </c>
      <c r="I910" s="4">
        <v>0</v>
      </c>
      <c r="J910" s="16">
        <f t="shared" si="28"/>
        <v>-1</v>
      </c>
      <c r="K910" s="16" t="str">
        <f t="shared" si="29"/>
        <v>--</v>
      </c>
    </row>
    <row r="911" spans="1:11" ht="19.5" customHeight="1" x14ac:dyDescent="0.25">
      <c r="A911" s="2" t="s">
        <v>2176</v>
      </c>
      <c r="B911" s="2" t="s">
        <v>243</v>
      </c>
      <c r="C911" s="2" t="s">
        <v>2333</v>
      </c>
      <c r="D911" s="2" t="s">
        <v>2334</v>
      </c>
      <c r="E911" s="2" t="s">
        <v>2335</v>
      </c>
      <c r="F911" s="3">
        <v>312941.5</v>
      </c>
      <c r="G911" s="3">
        <v>458000</v>
      </c>
      <c r="H911" s="4">
        <v>533000</v>
      </c>
      <c r="I911" s="4">
        <v>533000</v>
      </c>
      <c r="J911" s="16">
        <f t="shared" si="28"/>
        <v>0.16375545851528384</v>
      </c>
      <c r="K911" s="16">
        <f t="shared" si="29"/>
        <v>0</v>
      </c>
    </row>
    <row r="912" spans="1:11" ht="19.5" customHeight="1" x14ac:dyDescent="0.25">
      <c r="A912" s="2" t="s">
        <v>2176</v>
      </c>
      <c r="B912" s="2" t="s">
        <v>243</v>
      </c>
      <c r="C912" s="2" t="s">
        <v>2336</v>
      </c>
      <c r="D912" s="2" t="s">
        <v>2337</v>
      </c>
      <c r="E912" s="2" t="s">
        <v>2338</v>
      </c>
      <c r="F912" s="3">
        <v>6834095.75</v>
      </c>
      <c r="G912" s="3">
        <v>7510500</v>
      </c>
      <c r="H912" s="4">
        <v>8075000</v>
      </c>
      <c r="I912" s="4">
        <v>8675000</v>
      </c>
      <c r="J912" s="16">
        <f t="shared" si="28"/>
        <v>7.5161440649756939E-2</v>
      </c>
      <c r="K912" s="16">
        <f t="shared" si="29"/>
        <v>7.4303405572755388E-2</v>
      </c>
    </row>
    <row r="913" spans="1:11" ht="19.5" customHeight="1" x14ac:dyDescent="0.25">
      <c r="A913" s="2" t="s">
        <v>2176</v>
      </c>
      <c r="B913" s="2" t="s">
        <v>243</v>
      </c>
      <c r="C913" s="2" t="s">
        <v>2339</v>
      </c>
      <c r="D913" s="2" t="s">
        <v>2340</v>
      </c>
      <c r="E913" s="2" t="s">
        <v>22</v>
      </c>
      <c r="F913" s="3">
        <v>784364.35</v>
      </c>
      <c r="G913" s="3">
        <v>1069000</v>
      </c>
      <c r="H913" s="4">
        <v>1418000</v>
      </c>
      <c r="I913" s="4">
        <v>1443000</v>
      </c>
      <c r="J913" s="16">
        <f t="shared" si="28"/>
        <v>0.32647333956969127</v>
      </c>
      <c r="K913" s="16">
        <f t="shared" si="29"/>
        <v>1.7630465444287813E-2</v>
      </c>
    </row>
    <row r="914" spans="1:11" ht="19.5" customHeight="1" x14ac:dyDescent="0.25">
      <c r="A914" s="2" t="s">
        <v>2341</v>
      </c>
      <c r="B914" s="2" t="s">
        <v>16</v>
      </c>
      <c r="C914" s="2" t="s">
        <v>2342</v>
      </c>
      <c r="D914" s="2" t="s">
        <v>2343</v>
      </c>
      <c r="E914" s="2" t="s">
        <v>2344</v>
      </c>
      <c r="F914" s="3">
        <v>154120.38</v>
      </c>
      <c r="G914" s="3">
        <v>171161</v>
      </c>
      <c r="H914" s="4">
        <v>172160</v>
      </c>
      <c r="I914" s="4">
        <v>242173</v>
      </c>
      <c r="J914" s="16">
        <f t="shared" si="28"/>
        <v>5.8366099754032508E-3</v>
      </c>
      <c r="K914" s="16">
        <f t="shared" si="29"/>
        <v>0.40667402416356868</v>
      </c>
    </row>
    <row r="915" spans="1:11" ht="19.5" customHeight="1" x14ac:dyDescent="0.25">
      <c r="A915" s="2" t="s">
        <v>2341</v>
      </c>
      <c r="B915" s="2" t="s">
        <v>54</v>
      </c>
      <c r="C915" s="2" t="s">
        <v>54</v>
      </c>
      <c r="D915" s="2" t="s">
        <v>2345</v>
      </c>
      <c r="E915" s="2" t="s">
        <v>22</v>
      </c>
      <c r="F915" s="3">
        <v>3830712.88</v>
      </c>
      <c r="G915" s="3">
        <v>3685671</v>
      </c>
      <c r="H915" s="4">
        <v>4111118</v>
      </c>
      <c r="I915" s="4">
        <v>4216551</v>
      </c>
      <c r="J915" s="16">
        <f t="shared" si="28"/>
        <v>0.11543271225239593</v>
      </c>
      <c r="K915" s="16">
        <f t="shared" si="29"/>
        <v>2.5645821890784903E-2</v>
      </c>
    </row>
    <row r="916" spans="1:11" ht="19.5" customHeight="1" x14ac:dyDescent="0.25">
      <c r="A916" s="2" t="s">
        <v>2346</v>
      </c>
      <c r="B916" s="2" t="s">
        <v>16</v>
      </c>
      <c r="C916" s="2" t="s">
        <v>2347</v>
      </c>
      <c r="D916" s="2" t="s">
        <v>2348</v>
      </c>
      <c r="E916" s="2" t="s">
        <v>2349</v>
      </c>
      <c r="F916" s="3">
        <v>47057</v>
      </c>
      <c r="G916" s="3">
        <v>95000</v>
      </c>
      <c r="H916" s="4">
        <v>61500</v>
      </c>
      <c r="I916" s="4">
        <v>61500</v>
      </c>
      <c r="J916" s="16">
        <f t="shared" si="28"/>
        <v>-0.35263157894736841</v>
      </c>
      <c r="K916" s="16">
        <f t="shared" si="29"/>
        <v>0</v>
      </c>
    </row>
    <row r="917" spans="1:11" ht="19.5" customHeight="1" x14ac:dyDescent="0.25">
      <c r="A917" s="2" t="s">
        <v>2346</v>
      </c>
      <c r="B917" s="2" t="s">
        <v>16</v>
      </c>
      <c r="C917" s="2" t="s">
        <v>2350</v>
      </c>
      <c r="D917" s="2" t="s">
        <v>2351</v>
      </c>
      <c r="E917" s="2" t="s">
        <v>2352</v>
      </c>
      <c r="F917" s="3">
        <v>20000</v>
      </c>
      <c r="G917" s="3">
        <v>32000</v>
      </c>
      <c r="H917" s="4">
        <v>22400</v>
      </c>
      <c r="I917" s="4">
        <v>23600</v>
      </c>
      <c r="J917" s="16">
        <f t="shared" si="28"/>
        <v>-0.30000000000000004</v>
      </c>
      <c r="K917" s="16">
        <f t="shared" si="29"/>
        <v>5.3571428571428603E-2</v>
      </c>
    </row>
    <row r="918" spans="1:11" ht="19.5" customHeight="1" x14ac:dyDescent="0.25">
      <c r="A918" s="2" t="s">
        <v>2346</v>
      </c>
      <c r="B918" s="2" t="s">
        <v>54</v>
      </c>
      <c r="C918" s="2" t="s">
        <v>54</v>
      </c>
      <c r="D918" s="2" t="s">
        <v>2353</v>
      </c>
      <c r="E918" s="2" t="s">
        <v>2354</v>
      </c>
      <c r="F918" s="3">
        <v>355000</v>
      </c>
      <c r="G918" s="3">
        <v>355000</v>
      </c>
      <c r="H918" s="4">
        <v>382893</v>
      </c>
      <c r="I918" s="4">
        <v>382893</v>
      </c>
      <c r="J918" s="16">
        <f t="shared" si="28"/>
        <v>7.8571830985915581E-2</v>
      </c>
      <c r="K918" s="16">
        <f t="shared" si="29"/>
        <v>0</v>
      </c>
    </row>
    <row r="919" spans="1:11" ht="19.5" customHeight="1" x14ac:dyDescent="0.25">
      <c r="A919" s="2" t="s">
        <v>2346</v>
      </c>
      <c r="B919" s="2" t="s">
        <v>54</v>
      </c>
      <c r="C919" s="2" t="s">
        <v>54</v>
      </c>
      <c r="D919" s="2" t="s">
        <v>2355</v>
      </c>
      <c r="E919" s="2" t="s">
        <v>2356</v>
      </c>
      <c r="F919" s="3">
        <v>1783526</v>
      </c>
      <c r="G919" s="3">
        <v>1708526</v>
      </c>
      <c r="H919" s="4">
        <v>1919526</v>
      </c>
      <c r="I919" s="4">
        <v>1919526</v>
      </c>
      <c r="J919" s="16">
        <f t="shared" si="28"/>
        <v>0.12349826692716404</v>
      </c>
      <c r="K919" s="16">
        <f t="shared" si="29"/>
        <v>0</v>
      </c>
    </row>
    <row r="920" spans="1:11" ht="19.5" customHeight="1" x14ac:dyDescent="0.25">
      <c r="A920" s="2" t="s">
        <v>2346</v>
      </c>
      <c r="B920" s="2" t="s">
        <v>54</v>
      </c>
      <c r="C920" s="2" t="s">
        <v>54</v>
      </c>
      <c r="D920" s="2" t="s">
        <v>2357</v>
      </c>
      <c r="E920" s="2" t="s">
        <v>2358</v>
      </c>
      <c r="F920" s="3">
        <v>3963381</v>
      </c>
      <c r="G920" s="3">
        <v>3222000</v>
      </c>
      <c r="H920" s="4">
        <v>3909231</v>
      </c>
      <c r="I920" s="4">
        <v>3909231</v>
      </c>
      <c r="J920" s="16">
        <f t="shared" si="28"/>
        <v>0.21329329608938541</v>
      </c>
      <c r="K920" s="16">
        <f t="shared" si="29"/>
        <v>0</v>
      </c>
    </row>
    <row r="921" spans="1:11" ht="19.5" customHeight="1" x14ac:dyDescent="0.25">
      <c r="A921" s="2" t="s">
        <v>2346</v>
      </c>
      <c r="B921" s="2" t="s">
        <v>54</v>
      </c>
      <c r="C921" s="2" t="s">
        <v>54</v>
      </c>
      <c r="D921" s="2" t="s">
        <v>2359</v>
      </c>
      <c r="E921" s="2" t="s">
        <v>2360</v>
      </c>
      <c r="F921" s="3">
        <v>3454982.38</v>
      </c>
      <c r="G921" s="4">
        <v>3653766</v>
      </c>
      <c r="H921" s="4">
        <v>3812325</v>
      </c>
      <c r="I921" s="4">
        <v>3840067</v>
      </c>
      <c r="J921" s="16">
        <f t="shared" si="28"/>
        <v>4.3396046709066827E-2</v>
      </c>
      <c r="K921" s="16">
        <f t="shared" si="29"/>
        <v>7.2769241866839085E-3</v>
      </c>
    </row>
    <row r="922" spans="1:11" ht="19.5" customHeight="1" x14ac:dyDescent="0.25">
      <c r="A922" s="2" t="s">
        <v>2346</v>
      </c>
      <c r="B922" s="2" t="s">
        <v>243</v>
      </c>
      <c r="C922" s="2" t="s">
        <v>2361</v>
      </c>
      <c r="D922" s="2" t="s">
        <v>2362</v>
      </c>
      <c r="E922" s="2" t="s">
        <v>2363</v>
      </c>
      <c r="F922" s="3">
        <v>4000</v>
      </c>
      <c r="G922" s="3">
        <v>4000</v>
      </c>
      <c r="H922" s="4">
        <v>4000</v>
      </c>
      <c r="I922" s="4">
        <v>4400</v>
      </c>
      <c r="J922" s="16">
        <f t="shared" si="28"/>
        <v>0</v>
      </c>
      <c r="K922" s="16">
        <f t="shared" si="29"/>
        <v>0.10000000000000009</v>
      </c>
    </row>
    <row r="923" spans="1:11" ht="19.5" customHeight="1" x14ac:dyDescent="0.25">
      <c r="A923" s="2" t="s">
        <v>2364</v>
      </c>
      <c r="B923" s="2" t="s">
        <v>16</v>
      </c>
      <c r="C923" s="2" t="s">
        <v>2365</v>
      </c>
      <c r="D923" s="2" t="s">
        <v>2366</v>
      </c>
      <c r="E923" s="2" t="s">
        <v>2172</v>
      </c>
      <c r="F923" s="3">
        <v>443990.29</v>
      </c>
      <c r="G923" s="3">
        <v>620513</v>
      </c>
      <c r="H923" s="4">
        <v>585539</v>
      </c>
      <c r="I923" s="4">
        <v>645443</v>
      </c>
      <c r="J923" s="16">
        <f t="shared" si="28"/>
        <v>-5.6363041547880521E-2</v>
      </c>
      <c r="K923" s="16">
        <f t="shared" si="29"/>
        <v>0.10230573881500638</v>
      </c>
    </row>
    <row r="924" spans="1:11" ht="19.5" customHeight="1" x14ac:dyDescent="0.25">
      <c r="A924" s="2" t="s">
        <v>2364</v>
      </c>
      <c r="B924" s="2" t="s">
        <v>54</v>
      </c>
      <c r="C924" s="2" t="s">
        <v>54</v>
      </c>
      <c r="D924" s="2" t="s">
        <v>2367</v>
      </c>
      <c r="E924" s="2" t="s">
        <v>22</v>
      </c>
      <c r="F924" s="3">
        <v>1881844.93</v>
      </c>
      <c r="G924" s="3">
        <v>1821515</v>
      </c>
      <c r="H924" s="4">
        <v>2120515</v>
      </c>
      <c r="I924" s="4">
        <v>2120515</v>
      </c>
      <c r="J924" s="16">
        <f t="shared" si="28"/>
        <v>0.16414907371061993</v>
      </c>
      <c r="K924" s="16">
        <f t="shared" si="29"/>
        <v>0</v>
      </c>
    </row>
    <row r="925" spans="1:11" ht="19.5" customHeight="1" x14ac:dyDescent="0.25">
      <c r="A925" s="2" t="s">
        <v>2368</v>
      </c>
      <c r="B925" s="2" t="s">
        <v>16</v>
      </c>
      <c r="C925" s="2" t="s">
        <v>2369</v>
      </c>
      <c r="D925" s="2" t="s">
        <v>2370</v>
      </c>
      <c r="E925" s="2" t="s">
        <v>2371</v>
      </c>
      <c r="F925" s="4">
        <v>323647.84000000003</v>
      </c>
      <c r="G925" s="3">
        <v>315819</v>
      </c>
      <c r="H925" s="4">
        <v>325000</v>
      </c>
      <c r="I925" s="4">
        <v>325000</v>
      </c>
      <c r="J925" s="16">
        <f t="shared" si="28"/>
        <v>2.9070448579724406E-2</v>
      </c>
      <c r="K925" s="16">
        <f t="shared" si="29"/>
        <v>0</v>
      </c>
    </row>
    <row r="926" spans="1:11" ht="19.5" customHeight="1" x14ac:dyDescent="0.25">
      <c r="A926" s="2" t="s">
        <v>2368</v>
      </c>
      <c r="B926" s="2" t="s">
        <v>16</v>
      </c>
      <c r="C926" s="2" t="s">
        <v>2372</v>
      </c>
      <c r="D926" s="2" t="s">
        <v>2373</v>
      </c>
      <c r="E926" s="2" t="s">
        <v>22</v>
      </c>
      <c r="F926" s="3">
        <v>16359249.779999999</v>
      </c>
      <c r="G926" s="3">
        <v>6700225</v>
      </c>
      <c r="H926" s="4">
        <v>15179189</v>
      </c>
      <c r="I926" s="4">
        <v>15953148</v>
      </c>
      <c r="J926" s="16">
        <f t="shared" si="28"/>
        <v>1.2654745176467954</v>
      </c>
      <c r="K926" s="16">
        <f t="shared" si="29"/>
        <v>5.0988165441513411E-2</v>
      </c>
    </row>
    <row r="927" spans="1:11" ht="19.5" customHeight="1" x14ac:dyDescent="0.25">
      <c r="A927" s="2" t="s">
        <v>2368</v>
      </c>
      <c r="B927" s="2" t="s">
        <v>16</v>
      </c>
      <c r="C927" s="2" t="s">
        <v>2372</v>
      </c>
      <c r="D927" s="2" t="s">
        <v>2374</v>
      </c>
      <c r="E927" s="2" t="s">
        <v>2375</v>
      </c>
      <c r="F927" s="3">
        <v>299996.92</v>
      </c>
      <c r="G927" s="3">
        <v>300000</v>
      </c>
      <c r="H927" s="4">
        <v>300000</v>
      </c>
      <c r="I927" s="4">
        <v>300000</v>
      </c>
      <c r="J927" s="16">
        <f t="shared" si="28"/>
        <v>0</v>
      </c>
      <c r="K927" s="16">
        <f t="shared" si="29"/>
        <v>0</v>
      </c>
    </row>
    <row r="928" spans="1:11" ht="19.5" customHeight="1" x14ac:dyDescent="0.25">
      <c r="A928" s="2" t="s">
        <v>2368</v>
      </c>
      <c r="B928" s="2" t="s">
        <v>54</v>
      </c>
      <c r="C928" s="2" t="s">
        <v>54</v>
      </c>
      <c r="D928" s="2" t="s">
        <v>2376</v>
      </c>
      <c r="E928" s="2" t="s">
        <v>2377</v>
      </c>
      <c r="F928" s="3">
        <v>325097.08</v>
      </c>
      <c r="G928" s="3">
        <v>100000</v>
      </c>
      <c r="H928" s="4">
        <v>261900</v>
      </c>
      <c r="I928" s="4">
        <v>363750</v>
      </c>
      <c r="J928" s="16">
        <f t="shared" si="28"/>
        <v>1.6190000000000002</v>
      </c>
      <c r="K928" s="16">
        <f t="shared" si="29"/>
        <v>0.38888888888888884</v>
      </c>
    </row>
    <row r="929" spans="1:11" ht="19.5" customHeight="1" x14ac:dyDescent="0.25">
      <c r="A929" s="2" t="s">
        <v>2378</v>
      </c>
      <c r="B929" s="2" t="s">
        <v>54</v>
      </c>
      <c r="C929" s="2" t="s">
        <v>54</v>
      </c>
      <c r="D929" s="2" t="s">
        <v>2379</v>
      </c>
      <c r="E929" s="2" t="s">
        <v>22</v>
      </c>
      <c r="F929" s="3">
        <v>6068332.7800000003</v>
      </c>
      <c r="G929" s="3">
        <v>6238184</v>
      </c>
      <c r="H929" s="4">
        <v>6449865</v>
      </c>
      <c r="I929" s="4">
        <v>6769488</v>
      </c>
      <c r="J929" s="16">
        <f t="shared" si="28"/>
        <v>3.3933112585329273E-2</v>
      </c>
      <c r="K929" s="16">
        <f t="shared" si="29"/>
        <v>4.9554990685851674E-2</v>
      </c>
    </row>
    <row r="930" spans="1:11" ht="19.5" customHeight="1" x14ac:dyDescent="0.25">
      <c r="A930" s="2" t="s">
        <v>2378</v>
      </c>
      <c r="B930" s="2" t="s">
        <v>54</v>
      </c>
      <c r="C930" s="2" t="s">
        <v>54</v>
      </c>
      <c r="D930" s="2" t="s">
        <v>2380</v>
      </c>
      <c r="E930" s="2" t="s">
        <v>2381</v>
      </c>
      <c r="F930" s="3">
        <v>33041731.420000002</v>
      </c>
      <c r="G930" s="3">
        <v>27769031</v>
      </c>
      <c r="H930" s="4">
        <v>22000000</v>
      </c>
      <c r="I930" s="4">
        <v>28000000</v>
      </c>
      <c r="J930" s="16">
        <f t="shared" si="28"/>
        <v>-0.20775053331893356</v>
      </c>
      <c r="K930" s="16">
        <f t="shared" si="29"/>
        <v>0.27272727272727271</v>
      </c>
    </row>
    <row r="931" spans="1:11" ht="19.5" customHeight="1" x14ac:dyDescent="0.25">
      <c r="A931" s="2" t="s">
        <v>2378</v>
      </c>
      <c r="B931" s="2" t="s">
        <v>54</v>
      </c>
      <c r="C931" s="2" t="s">
        <v>54</v>
      </c>
      <c r="D931" s="2" t="s">
        <v>2382</v>
      </c>
      <c r="E931" s="2" t="s">
        <v>2383</v>
      </c>
      <c r="F931" s="3">
        <v>1416519.65</v>
      </c>
      <c r="G931" s="3">
        <v>1743742</v>
      </c>
      <c r="H931" s="4">
        <v>1924111</v>
      </c>
      <c r="I931" s="4">
        <v>1962955</v>
      </c>
      <c r="J931" s="16">
        <f t="shared" si="28"/>
        <v>0.10343789390861713</v>
      </c>
      <c r="K931" s="16">
        <f t="shared" si="29"/>
        <v>2.0188024495468193E-2</v>
      </c>
    </row>
    <row r="932" spans="1:11" ht="19.5" customHeight="1" x14ac:dyDescent="0.25">
      <c r="A932" s="2" t="s">
        <v>2378</v>
      </c>
      <c r="B932" s="2" t="s">
        <v>54</v>
      </c>
      <c r="C932" s="2" t="s">
        <v>54</v>
      </c>
      <c r="D932" s="2" t="s">
        <v>2384</v>
      </c>
      <c r="E932" s="2" t="s">
        <v>612</v>
      </c>
      <c r="F932" s="3">
        <v>1122050</v>
      </c>
      <c r="G932" s="3">
        <v>0</v>
      </c>
      <c r="H932" s="4">
        <v>0</v>
      </c>
      <c r="I932" s="4">
        <v>0</v>
      </c>
      <c r="J932" s="16" t="str">
        <f t="shared" si="28"/>
        <v>--</v>
      </c>
      <c r="K932" s="16" t="str">
        <f t="shared" si="29"/>
        <v>--</v>
      </c>
    </row>
    <row r="933" spans="1:11" ht="19.5" customHeight="1" x14ac:dyDescent="0.25">
      <c r="A933" s="2" t="s">
        <v>2378</v>
      </c>
      <c r="B933" s="2" t="s">
        <v>54</v>
      </c>
      <c r="C933" s="2" t="s">
        <v>54</v>
      </c>
      <c r="D933" s="2" t="s">
        <v>2385</v>
      </c>
      <c r="E933" s="2" t="s">
        <v>2386</v>
      </c>
      <c r="F933" s="3">
        <v>412148221.27999997</v>
      </c>
      <c r="G933" s="3">
        <v>290497416</v>
      </c>
      <c r="H933" s="4">
        <v>427000000</v>
      </c>
      <c r="I933" s="4">
        <v>390000000</v>
      </c>
      <c r="J933" s="16">
        <f t="shared" si="28"/>
        <v>0.46989259277955164</v>
      </c>
      <c r="K933" s="16">
        <f t="shared" si="29"/>
        <v>-8.6651053864168603E-2</v>
      </c>
    </row>
    <row r="934" spans="1:11" ht="19.5" customHeight="1" x14ac:dyDescent="0.25">
      <c r="A934" s="2" t="s">
        <v>2378</v>
      </c>
      <c r="B934" s="2" t="s">
        <v>243</v>
      </c>
      <c r="C934" s="2" t="s">
        <v>2387</v>
      </c>
      <c r="D934" s="2" t="s">
        <v>2388</v>
      </c>
      <c r="E934" s="2" t="s">
        <v>2389</v>
      </c>
      <c r="F934" s="3">
        <v>7743587.3300000001</v>
      </c>
      <c r="G934" s="3">
        <v>8050000</v>
      </c>
      <c r="H934" s="4">
        <v>8257500</v>
      </c>
      <c r="I934" s="4">
        <v>8546513</v>
      </c>
      <c r="J934" s="16">
        <f t="shared" si="28"/>
        <v>2.5776397515527849E-2</v>
      </c>
      <c r="K934" s="16">
        <f t="shared" si="29"/>
        <v>3.5000060551014123E-2</v>
      </c>
    </row>
    <row r="935" spans="1:11" ht="19.5" customHeight="1" x14ac:dyDescent="0.25">
      <c r="A935" s="2" t="s">
        <v>2390</v>
      </c>
      <c r="B935" s="2" t="s">
        <v>16</v>
      </c>
      <c r="C935" s="2" t="s">
        <v>20</v>
      </c>
      <c r="D935" s="2" t="s">
        <v>2391</v>
      </c>
      <c r="E935" s="2" t="s">
        <v>22</v>
      </c>
      <c r="F935" s="3">
        <v>929169.9</v>
      </c>
      <c r="G935" s="3">
        <v>1032881</v>
      </c>
      <c r="H935" s="4">
        <v>1130516</v>
      </c>
      <c r="I935" s="4">
        <v>1171398</v>
      </c>
      <c r="J935" s="16">
        <f t="shared" si="28"/>
        <v>9.4526862242600984E-2</v>
      </c>
      <c r="K935" s="16">
        <f t="shared" si="29"/>
        <v>3.616224803541046E-2</v>
      </c>
    </row>
    <row r="936" spans="1:11" ht="19.5" customHeight="1" x14ac:dyDescent="0.25">
      <c r="A936" s="2" t="s">
        <v>2390</v>
      </c>
      <c r="B936" s="2" t="s">
        <v>54</v>
      </c>
      <c r="C936" s="2" t="s">
        <v>54</v>
      </c>
      <c r="D936" s="2" t="s">
        <v>2392</v>
      </c>
      <c r="E936" s="2" t="s">
        <v>2393</v>
      </c>
      <c r="F936" s="3">
        <v>60778.47</v>
      </c>
      <c r="G936" s="3">
        <v>800000</v>
      </c>
      <c r="H936" s="4">
        <v>1000000</v>
      </c>
      <c r="I936" s="4">
        <v>1000000</v>
      </c>
      <c r="J936" s="16">
        <f t="shared" si="28"/>
        <v>0.25</v>
      </c>
      <c r="K936" s="16">
        <f t="shared" si="29"/>
        <v>0</v>
      </c>
    </row>
    <row r="937" spans="1:11" ht="19.5" customHeight="1" x14ac:dyDescent="0.25">
      <c r="A937" s="2" t="s">
        <v>2394</v>
      </c>
      <c r="B937" s="2" t="s">
        <v>54</v>
      </c>
      <c r="C937" s="2" t="s">
        <v>54</v>
      </c>
      <c r="D937" s="2" t="s">
        <v>2395</v>
      </c>
      <c r="E937" s="2" t="s">
        <v>22</v>
      </c>
      <c r="F937" s="3">
        <v>2985707.99</v>
      </c>
      <c r="G937" s="3">
        <v>2728922</v>
      </c>
      <c r="H937" s="4">
        <v>2973034</v>
      </c>
      <c r="I937" s="4">
        <v>2973034</v>
      </c>
      <c r="J937" s="16">
        <f t="shared" si="28"/>
        <v>8.9453637736806035E-2</v>
      </c>
      <c r="K937" s="16">
        <f t="shared" si="29"/>
        <v>0</v>
      </c>
    </row>
    <row r="938" spans="1:11" ht="19.5" customHeight="1" x14ac:dyDescent="0.25">
      <c r="A938" s="2" t="s">
        <v>2394</v>
      </c>
      <c r="B938" s="2" t="s">
        <v>243</v>
      </c>
      <c r="C938" s="2" t="s">
        <v>2396</v>
      </c>
      <c r="D938" s="2" t="s">
        <v>2397</v>
      </c>
      <c r="E938" s="2" t="s">
        <v>2398</v>
      </c>
      <c r="F938" s="3">
        <v>572572.9</v>
      </c>
      <c r="G938" s="3">
        <v>619988</v>
      </c>
      <c r="H938" s="4">
        <v>619988</v>
      </c>
      <c r="I938" s="4">
        <v>619988</v>
      </c>
      <c r="J938" s="16">
        <f t="shared" si="28"/>
        <v>0</v>
      </c>
      <c r="K938" s="16">
        <f t="shared" si="29"/>
        <v>0</v>
      </c>
    </row>
    <row r="939" spans="1:11" ht="19.5" customHeight="1" x14ac:dyDescent="0.25">
      <c r="A939" s="2" t="s">
        <v>2399</v>
      </c>
      <c r="B939" s="2" t="s">
        <v>16</v>
      </c>
      <c r="C939" s="2" t="s">
        <v>2400</v>
      </c>
      <c r="D939" s="2" t="s">
        <v>2401</v>
      </c>
      <c r="E939" s="2" t="s">
        <v>22</v>
      </c>
      <c r="F939" s="3">
        <v>5938.79</v>
      </c>
      <c r="G939" s="3">
        <v>12500</v>
      </c>
      <c r="H939" s="4">
        <v>12500</v>
      </c>
      <c r="I939" s="4">
        <v>12500</v>
      </c>
      <c r="J939" s="16">
        <f t="shared" si="28"/>
        <v>0</v>
      </c>
      <c r="K939" s="16">
        <f t="shared" si="29"/>
        <v>0</v>
      </c>
    </row>
    <row r="940" spans="1:11" ht="19.5" customHeight="1" x14ac:dyDescent="0.25">
      <c r="A940" s="2" t="s">
        <v>2402</v>
      </c>
      <c r="B940" s="2" t="s">
        <v>16</v>
      </c>
      <c r="C940" s="2" t="s">
        <v>2403</v>
      </c>
      <c r="D940" s="2" t="s">
        <v>2404</v>
      </c>
      <c r="E940" s="2" t="s">
        <v>2405</v>
      </c>
      <c r="F940" s="4">
        <v>12218390.380000001</v>
      </c>
      <c r="G940" s="3">
        <v>13190208</v>
      </c>
      <c r="H940" s="4">
        <v>14855643</v>
      </c>
      <c r="I940" s="4">
        <v>15136756</v>
      </c>
      <c r="J940" s="16">
        <f t="shared" si="28"/>
        <v>0.12626298235782185</v>
      </c>
      <c r="K940" s="16">
        <f t="shared" si="29"/>
        <v>1.8922977618673231E-2</v>
      </c>
    </row>
    <row r="941" spans="1:11" ht="19.5" customHeight="1" x14ac:dyDescent="0.25">
      <c r="A941" s="6" t="s">
        <v>2406</v>
      </c>
      <c r="B941" s="6" t="s">
        <v>54</v>
      </c>
      <c r="C941" s="6" t="s">
        <v>54</v>
      </c>
      <c r="D941" s="7" t="s">
        <v>2407</v>
      </c>
      <c r="E941" s="6" t="s">
        <v>22</v>
      </c>
      <c r="F941" s="4">
        <v>0</v>
      </c>
      <c r="G941" s="4">
        <v>0</v>
      </c>
      <c r="H941" s="4">
        <v>0</v>
      </c>
      <c r="I941" s="4">
        <v>0</v>
      </c>
      <c r="J941" s="16" t="str">
        <f t="shared" si="28"/>
        <v>--</v>
      </c>
      <c r="K941" s="16" t="str">
        <f t="shared" si="29"/>
        <v>--</v>
      </c>
    </row>
    <row r="942" spans="1:11" ht="19.5" customHeight="1" x14ac:dyDescent="0.25">
      <c r="A942" s="2" t="s">
        <v>2408</v>
      </c>
      <c r="B942" s="2" t="s">
        <v>54</v>
      </c>
      <c r="C942" s="2" t="s">
        <v>54</v>
      </c>
      <c r="D942" s="2" t="s">
        <v>2409</v>
      </c>
      <c r="E942" s="2" t="s">
        <v>22</v>
      </c>
      <c r="F942" s="3">
        <v>1327954.49</v>
      </c>
      <c r="G942" s="3">
        <v>1375000</v>
      </c>
      <c r="H942" s="4">
        <v>1403910</v>
      </c>
      <c r="I942" s="4">
        <v>1437000</v>
      </c>
      <c r="J942" s="16">
        <f t="shared" si="28"/>
        <v>2.1025454545454458E-2</v>
      </c>
      <c r="K942" s="16">
        <f t="shared" si="29"/>
        <v>2.3569886958565656E-2</v>
      </c>
    </row>
    <row r="943" spans="1:11" ht="19.5" customHeight="1" x14ac:dyDescent="0.25">
      <c r="A943" s="2" t="s">
        <v>2408</v>
      </c>
      <c r="B943" s="2" t="s">
        <v>243</v>
      </c>
      <c r="C943" s="2" t="s">
        <v>2410</v>
      </c>
      <c r="D943" s="2" t="s">
        <v>2411</v>
      </c>
      <c r="E943" s="2" t="s">
        <v>2412</v>
      </c>
      <c r="F943" s="3">
        <v>388925.88</v>
      </c>
      <c r="G943" s="3">
        <v>389500</v>
      </c>
      <c r="H943" s="4">
        <v>400000</v>
      </c>
      <c r="I943" s="4">
        <v>400000</v>
      </c>
      <c r="J943" s="16">
        <f t="shared" si="28"/>
        <v>2.695763799743256E-2</v>
      </c>
      <c r="K943" s="16">
        <f t="shared" si="29"/>
        <v>0</v>
      </c>
    </row>
    <row r="944" spans="1:11" ht="19.5" customHeight="1" x14ac:dyDescent="0.25">
      <c r="A944" s="2" t="s">
        <v>2408</v>
      </c>
      <c r="B944" s="2" t="s">
        <v>243</v>
      </c>
      <c r="C944" s="2" t="s">
        <v>2413</v>
      </c>
      <c r="D944" s="2" t="s">
        <v>2414</v>
      </c>
      <c r="E944" s="2" t="s">
        <v>2415</v>
      </c>
      <c r="F944" s="4">
        <v>404587.44</v>
      </c>
      <c r="G944" s="3">
        <v>407500</v>
      </c>
      <c r="H944" s="4">
        <v>425000</v>
      </c>
      <c r="I944" s="4">
        <v>425000</v>
      </c>
      <c r="J944" s="16">
        <f t="shared" si="28"/>
        <v>4.2944785276073594E-2</v>
      </c>
      <c r="K944" s="16">
        <f t="shared" si="29"/>
        <v>0</v>
      </c>
    </row>
    <row r="945" spans="1:11" ht="19.5" customHeight="1" x14ac:dyDescent="0.25">
      <c r="A945" s="2" t="s">
        <v>2416</v>
      </c>
      <c r="B945" s="2" t="s">
        <v>16</v>
      </c>
      <c r="C945" s="2" t="s">
        <v>2417</v>
      </c>
      <c r="D945" s="2" t="s">
        <v>2418</v>
      </c>
      <c r="E945" s="2" t="s">
        <v>2419</v>
      </c>
      <c r="F945" s="3">
        <v>227381.39</v>
      </c>
      <c r="G945" s="3">
        <v>180000</v>
      </c>
      <c r="H945" s="4">
        <v>180000</v>
      </c>
      <c r="I945" s="4">
        <v>180000</v>
      </c>
      <c r="J945" s="16">
        <f t="shared" si="28"/>
        <v>0</v>
      </c>
      <c r="K945" s="16">
        <f t="shared" si="29"/>
        <v>0</v>
      </c>
    </row>
    <row r="946" spans="1:11" ht="19.5" customHeight="1" x14ac:dyDescent="0.25">
      <c r="A946" s="2" t="s">
        <v>2416</v>
      </c>
      <c r="B946" s="2" t="s">
        <v>16</v>
      </c>
      <c r="C946" s="2" t="s">
        <v>2417</v>
      </c>
      <c r="D946" s="2" t="s">
        <v>2420</v>
      </c>
      <c r="E946" s="2" t="s">
        <v>22</v>
      </c>
      <c r="F946" s="3">
        <v>26490531.579999998</v>
      </c>
      <c r="G946" s="3">
        <v>29554070.300000001</v>
      </c>
      <c r="H946" s="4">
        <v>30861244</v>
      </c>
      <c r="I946" s="4">
        <v>30861244</v>
      </c>
      <c r="J946" s="16">
        <f t="shared" si="28"/>
        <v>4.4229904264659003E-2</v>
      </c>
      <c r="K946" s="16">
        <f t="shared" si="29"/>
        <v>0</v>
      </c>
    </row>
    <row r="947" spans="1:11" ht="19.5" customHeight="1" x14ac:dyDescent="0.25">
      <c r="A947" s="2" t="s">
        <v>2416</v>
      </c>
      <c r="B947" s="2" t="s">
        <v>16</v>
      </c>
      <c r="C947" s="2" t="s">
        <v>2421</v>
      </c>
      <c r="D947" s="2" t="s">
        <v>2422</v>
      </c>
      <c r="E947" s="2" t="s">
        <v>2423</v>
      </c>
      <c r="F947" s="3">
        <v>8052679.1399999997</v>
      </c>
      <c r="G947" s="3">
        <v>8903441.8000000007</v>
      </c>
      <c r="H947" s="4">
        <v>9179766</v>
      </c>
      <c r="I947" s="4">
        <v>9179766</v>
      </c>
      <c r="J947" s="16">
        <f t="shared" si="28"/>
        <v>3.1035660838486079E-2</v>
      </c>
      <c r="K947" s="16">
        <f t="shared" si="29"/>
        <v>0</v>
      </c>
    </row>
    <row r="948" spans="1:11" ht="19.5" customHeight="1" x14ac:dyDescent="0.25">
      <c r="A948" s="2" t="s">
        <v>2416</v>
      </c>
      <c r="B948" s="2" t="s">
        <v>16</v>
      </c>
      <c r="C948" s="2" t="s">
        <v>2424</v>
      </c>
      <c r="D948" s="2" t="s">
        <v>2425</v>
      </c>
      <c r="E948" s="2" t="s">
        <v>2426</v>
      </c>
      <c r="F948" s="3">
        <v>349728.27</v>
      </c>
      <c r="G948" s="3">
        <v>355695</v>
      </c>
      <c r="H948" s="4">
        <v>450000</v>
      </c>
      <c r="I948" s="4">
        <v>450000</v>
      </c>
      <c r="J948" s="16">
        <f t="shared" si="28"/>
        <v>0.26512883228608786</v>
      </c>
      <c r="K948" s="16">
        <f t="shared" si="29"/>
        <v>0</v>
      </c>
    </row>
    <row r="949" spans="1:11" ht="19.5" customHeight="1" x14ac:dyDescent="0.25">
      <c r="A949" s="2" t="s">
        <v>2416</v>
      </c>
      <c r="B949" s="2" t="s">
        <v>44</v>
      </c>
      <c r="C949" s="2" t="s">
        <v>2427</v>
      </c>
      <c r="D949" s="2" t="s">
        <v>2428</v>
      </c>
      <c r="E949" s="2" t="s">
        <v>2429</v>
      </c>
      <c r="F949" s="3">
        <v>2721175.07</v>
      </c>
      <c r="G949" s="3">
        <v>2717608.6</v>
      </c>
      <c r="H949" s="4">
        <v>2793150</v>
      </c>
      <c r="I949" s="4">
        <v>2793150</v>
      </c>
      <c r="J949" s="16">
        <f t="shared" si="28"/>
        <v>2.7797012417461353E-2</v>
      </c>
      <c r="K949" s="16">
        <f t="shared" si="29"/>
        <v>0</v>
      </c>
    </row>
    <row r="950" spans="1:11" ht="19.5" customHeight="1" x14ac:dyDescent="0.25">
      <c r="A950" s="2" t="s">
        <v>2430</v>
      </c>
      <c r="B950" s="2" t="s">
        <v>16</v>
      </c>
      <c r="C950" s="2" t="s">
        <v>2431</v>
      </c>
      <c r="D950" s="2" t="s">
        <v>2432</v>
      </c>
      <c r="E950" s="2" t="s">
        <v>2433</v>
      </c>
      <c r="F950" s="4">
        <v>421770.19</v>
      </c>
      <c r="G950" s="3">
        <v>480000</v>
      </c>
      <c r="H950" s="4">
        <v>531471</v>
      </c>
      <c r="I950" s="4">
        <v>540421</v>
      </c>
      <c r="J950" s="16">
        <f t="shared" si="28"/>
        <v>0.10723124999999989</v>
      </c>
      <c r="K950" s="16">
        <f t="shared" si="29"/>
        <v>1.6840053361331098E-2</v>
      </c>
    </row>
    <row r="951" spans="1:11" ht="19.5" customHeight="1" x14ac:dyDescent="0.25">
      <c r="A951" s="2" t="s">
        <v>2430</v>
      </c>
      <c r="B951" s="2" t="s">
        <v>54</v>
      </c>
      <c r="C951" s="2" t="s">
        <v>54</v>
      </c>
      <c r="D951" s="2" t="s">
        <v>2434</v>
      </c>
      <c r="E951" s="2" t="s">
        <v>22</v>
      </c>
      <c r="F951" s="3">
        <v>947250.64</v>
      </c>
      <c r="G951" s="3">
        <v>911305</v>
      </c>
      <c r="H951" s="4">
        <v>1046464</v>
      </c>
      <c r="I951" s="4">
        <v>1083265</v>
      </c>
      <c r="J951" s="16">
        <f t="shared" si="28"/>
        <v>0.14831368202742223</v>
      </c>
      <c r="K951" s="16">
        <f t="shared" si="29"/>
        <v>3.5167000489266798E-2</v>
      </c>
    </row>
    <row r="952" spans="1:11" ht="19.5" customHeight="1" x14ac:dyDescent="0.25">
      <c r="A952" s="2" t="s">
        <v>2435</v>
      </c>
      <c r="B952" s="2" t="s">
        <v>54</v>
      </c>
      <c r="C952" s="2" t="s">
        <v>54</v>
      </c>
      <c r="D952" s="2" t="s">
        <v>2436</v>
      </c>
      <c r="E952" s="2" t="s">
        <v>22</v>
      </c>
      <c r="F952" s="3">
        <v>472760.06</v>
      </c>
      <c r="G952" s="3">
        <v>570000</v>
      </c>
      <c r="H952" s="4">
        <v>570000</v>
      </c>
      <c r="I952" s="4">
        <v>570000</v>
      </c>
      <c r="J952" s="16">
        <f t="shared" si="28"/>
        <v>0</v>
      </c>
      <c r="K952" s="16">
        <f t="shared" si="29"/>
        <v>0</v>
      </c>
    </row>
    <row r="953" spans="1:11" ht="19.5" customHeight="1" x14ac:dyDescent="0.25">
      <c r="A953" s="2" t="s">
        <v>2437</v>
      </c>
      <c r="B953" s="2" t="s">
        <v>54</v>
      </c>
      <c r="C953" s="2" t="s">
        <v>54</v>
      </c>
      <c r="D953" s="2" t="s">
        <v>2438</v>
      </c>
      <c r="E953" s="2" t="s">
        <v>22</v>
      </c>
      <c r="F953" s="3">
        <v>92929.32</v>
      </c>
      <c r="G953" s="3">
        <v>0</v>
      </c>
      <c r="H953" s="4">
        <v>0</v>
      </c>
      <c r="I953" s="4">
        <v>0</v>
      </c>
      <c r="J953" s="16" t="str">
        <f t="shared" si="28"/>
        <v>--</v>
      </c>
      <c r="K953" s="16" t="str">
        <f t="shared" si="29"/>
        <v>--</v>
      </c>
    </row>
    <row r="954" spans="1:11" ht="19.5" customHeight="1" x14ac:dyDescent="0.25">
      <c r="A954" s="2" t="s">
        <v>2439</v>
      </c>
      <c r="B954" s="2" t="s">
        <v>16</v>
      </c>
      <c r="C954" s="2" t="s">
        <v>2440</v>
      </c>
      <c r="D954" s="2" t="s">
        <v>2441</v>
      </c>
      <c r="E954" s="2" t="s">
        <v>2442</v>
      </c>
      <c r="F954" s="3">
        <v>4421962.12</v>
      </c>
      <c r="G954" s="3">
        <v>6000000</v>
      </c>
      <c r="H954" s="4">
        <v>6000000</v>
      </c>
      <c r="I954" s="4">
        <v>6000000</v>
      </c>
      <c r="J954" s="16">
        <f t="shared" si="28"/>
        <v>0</v>
      </c>
      <c r="K954" s="16">
        <f t="shared" si="29"/>
        <v>0</v>
      </c>
    </row>
    <row r="955" spans="1:11" ht="19.5" customHeight="1" x14ac:dyDescent="0.25">
      <c r="A955" s="6" t="s">
        <v>2439</v>
      </c>
      <c r="B955" s="6" t="s">
        <v>16</v>
      </c>
      <c r="C955" s="7" t="s">
        <v>2443</v>
      </c>
      <c r="D955" s="7" t="s">
        <v>2444</v>
      </c>
      <c r="E955" s="6" t="s">
        <v>2445</v>
      </c>
      <c r="F955" s="9">
        <v>0</v>
      </c>
      <c r="G955" s="9">
        <v>0</v>
      </c>
      <c r="H955" s="4">
        <v>1100000</v>
      </c>
      <c r="I955" s="4">
        <v>1100000</v>
      </c>
      <c r="J955" s="16" t="str">
        <f t="shared" si="28"/>
        <v>--</v>
      </c>
      <c r="K955" s="16">
        <f t="shared" si="29"/>
        <v>0</v>
      </c>
    </row>
    <row r="956" spans="1:11" ht="19.5" customHeight="1" x14ac:dyDescent="0.25">
      <c r="A956" s="2" t="s">
        <v>2439</v>
      </c>
      <c r="B956" s="2" t="s">
        <v>16</v>
      </c>
      <c r="C956" s="2" t="s">
        <v>2446</v>
      </c>
      <c r="D956" s="2" t="s">
        <v>2447</v>
      </c>
      <c r="E956" s="2" t="s">
        <v>2448</v>
      </c>
      <c r="F956" s="3">
        <v>30217961.949999999</v>
      </c>
      <c r="G956" s="3">
        <v>32000000</v>
      </c>
      <c r="H956" s="4">
        <v>20000000</v>
      </c>
      <c r="I956" s="4">
        <v>20000000</v>
      </c>
      <c r="J956" s="16">
        <f t="shared" si="28"/>
        <v>-0.375</v>
      </c>
      <c r="K956" s="16">
        <f t="shared" si="29"/>
        <v>0</v>
      </c>
    </row>
    <row r="957" spans="1:11" ht="19.5" customHeight="1" x14ac:dyDescent="0.25">
      <c r="A957" s="2" t="s">
        <v>2439</v>
      </c>
      <c r="B957" s="2" t="s">
        <v>16</v>
      </c>
      <c r="C957" s="2" t="s">
        <v>2449</v>
      </c>
      <c r="D957" s="2" t="s">
        <v>2450</v>
      </c>
      <c r="E957" s="2" t="s">
        <v>2451</v>
      </c>
      <c r="F957" s="3">
        <v>12959449.880000001</v>
      </c>
      <c r="G957" s="3">
        <v>12900000</v>
      </c>
      <c r="H957" s="4">
        <v>9250000</v>
      </c>
      <c r="I957" s="4">
        <v>9250000</v>
      </c>
      <c r="J957" s="16">
        <f t="shared" si="28"/>
        <v>-0.28294573643410847</v>
      </c>
      <c r="K957" s="16">
        <f t="shared" si="29"/>
        <v>0</v>
      </c>
    </row>
    <row r="958" spans="1:11" ht="19.5" customHeight="1" x14ac:dyDescent="0.25">
      <c r="A958" s="2" t="s">
        <v>2439</v>
      </c>
      <c r="B958" s="2" t="s">
        <v>16</v>
      </c>
      <c r="C958" s="2" t="s">
        <v>2452</v>
      </c>
      <c r="D958" s="2" t="s">
        <v>2453</v>
      </c>
      <c r="E958" s="2" t="s">
        <v>2454</v>
      </c>
      <c r="F958" s="4">
        <v>190891.51</v>
      </c>
      <c r="G958" s="3">
        <v>650000</v>
      </c>
      <c r="H958" s="4">
        <v>650000</v>
      </c>
      <c r="I958" s="4">
        <v>650000</v>
      </c>
      <c r="J958" s="16">
        <f t="shared" si="28"/>
        <v>0</v>
      </c>
      <c r="K958" s="16">
        <f t="shared" si="29"/>
        <v>0</v>
      </c>
    </row>
    <row r="959" spans="1:11" ht="19.5" customHeight="1" x14ac:dyDescent="0.25">
      <c r="A959" s="2" t="s">
        <v>2439</v>
      </c>
      <c r="B959" s="2" t="s">
        <v>16</v>
      </c>
      <c r="C959" s="2" t="s">
        <v>2455</v>
      </c>
      <c r="D959" s="2" t="s">
        <v>2456</v>
      </c>
      <c r="E959" s="2" t="s">
        <v>2457</v>
      </c>
      <c r="F959" s="3">
        <v>139727.82</v>
      </c>
      <c r="G959" s="3">
        <v>433667</v>
      </c>
      <c r="H959" s="4">
        <v>708000</v>
      </c>
      <c r="I959" s="4">
        <v>708000</v>
      </c>
      <c r="J959" s="16">
        <f t="shared" si="28"/>
        <v>0.63258906026974615</v>
      </c>
      <c r="K959" s="16">
        <f t="shared" si="29"/>
        <v>0</v>
      </c>
    </row>
    <row r="960" spans="1:11" ht="19.5" customHeight="1" x14ac:dyDescent="0.25">
      <c r="A960" s="2" t="s">
        <v>2439</v>
      </c>
      <c r="B960" s="2" t="s">
        <v>16</v>
      </c>
      <c r="C960" s="2" t="s">
        <v>35</v>
      </c>
      <c r="D960" s="2" t="s">
        <v>2458</v>
      </c>
      <c r="E960" s="2" t="s">
        <v>2459</v>
      </c>
      <c r="F960" s="3">
        <v>0</v>
      </c>
      <c r="G960" s="3">
        <v>4633464</v>
      </c>
      <c r="H960" s="4">
        <v>0</v>
      </c>
      <c r="I960" s="4">
        <v>0</v>
      </c>
      <c r="J960" s="16">
        <f t="shared" si="28"/>
        <v>-1</v>
      </c>
      <c r="K960" s="16" t="str">
        <f t="shared" si="29"/>
        <v>--</v>
      </c>
    </row>
    <row r="961" spans="1:11" ht="19.5" customHeight="1" x14ac:dyDescent="0.25">
      <c r="A961" s="2" t="s">
        <v>2439</v>
      </c>
      <c r="B961" s="2" t="s">
        <v>16</v>
      </c>
      <c r="C961" s="2" t="s">
        <v>35</v>
      </c>
      <c r="D961" s="2" t="s">
        <v>2460</v>
      </c>
      <c r="E961" s="2" t="s">
        <v>2461</v>
      </c>
      <c r="F961" s="3">
        <v>0</v>
      </c>
      <c r="G961" s="3">
        <v>5000000</v>
      </c>
      <c r="H961" s="4">
        <v>12000000</v>
      </c>
      <c r="I961" s="4">
        <v>0</v>
      </c>
      <c r="J961" s="16">
        <f t="shared" si="28"/>
        <v>1.4</v>
      </c>
      <c r="K961" s="16">
        <f t="shared" si="29"/>
        <v>-1</v>
      </c>
    </row>
    <row r="962" spans="1:11" ht="19.5" customHeight="1" x14ac:dyDescent="0.25">
      <c r="A962" s="2" t="s">
        <v>2439</v>
      </c>
      <c r="B962" s="2" t="s">
        <v>16</v>
      </c>
      <c r="C962" s="2" t="s">
        <v>35</v>
      </c>
      <c r="D962" s="2" t="s">
        <v>2462</v>
      </c>
      <c r="E962" s="2" t="s">
        <v>2463</v>
      </c>
      <c r="F962" s="3">
        <v>0</v>
      </c>
      <c r="G962" s="3">
        <v>31000000</v>
      </c>
      <c r="H962" s="4">
        <v>0</v>
      </c>
      <c r="I962" s="4">
        <v>0</v>
      </c>
      <c r="J962" s="16">
        <f t="shared" si="28"/>
        <v>-1</v>
      </c>
      <c r="K962" s="16" t="str">
        <f t="shared" si="29"/>
        <v>--</v>
      </c>
    </row>
    <row r="963" spans="1:11" ht="19.5" customHeight="1" x14ac:dyDescent="0.25">
      <c r="A963" s="2" t="s">
        <v>2439</v>
      </c>
      <c r="B963" s="2" t="s">
        <v>16</v>
      </c>
      <c r="C963" s="2" t="s">
        <v>2464</v>
      </c>
      <c r="D963" s="2" t="s">
        <v>2465</v>
      </c>
      <c r="E963" s="2" t="s">
        <v>2466</v>
      </c>
      <c r="F963" s="3">
        <v>930521.31</v>
      </c>
      <c r="G963" s="3">
        <v>1000000</v>
      </c>
      <c r="H963" s="4">
        <v>1000000</v>
      </c>
      <c r="I963" s="4">
        <v>1000000</v>
      </c>
      <c r="J963" s="16">
        <f t="shared" ref="J963:J1026" si="30">IFERROR(H963/G963-1,"--")</f>
        <v>0</v>
      </c>
      <c r="K963" s="16">
        <f t="shared" ref="K963:K1026" si="31">IFERROR(I963/H963-1,"--")</f>
        <v>0</v>
      </c>
    </row>
    <row r="964" spans="1:11" ht="19.5" customHeight="1" x14ac:dyDescent="0.25">
      <c r="A964" s="2" t="s">
        <v>2439</v>
      </c>
      <c r="B964" s="2" t="s">
        <v>16</v>
      </c>
      <c r="C964" s="2" t="s">
        <v>2467</v>
      </c>
      <c r="D964" s="2" t="s">
        <v>2468</v>
      </c>
      <c r="E964" s="2" t="s">
        <v>2469</v>
      </c>
      <c r="F964" s="3">
        <v>500000</v>
      </c>
      <c r="G964" s="3">
        <v>500000</v>
      </c>
      <c r="H964" s="4">
        <v>500000</v>
      </c>
      <c r="I964" s="4">
        <v>500000</v>
      </c>
      <c r="J964" s="16">
        <f t="shared" si="30"/>
        <v>0</v>
      </c>
      <c r="K964" s="16">
        <f t="shared" si="31"/>
        <v>0</v>
      </c>
    </row>
    <row r="965" spans="1:11" ht="19.5" customHeight="1" x14ac:dyDescent="0.25">
      <c r="A965" s="2" t="s">
        <v>2439</v>
      </c>
      <c r="B965" s="2" t="s">
        <v>16</v>
      </c>
      <c r="C965" s="2" t="s">
        <v>2470</v>
      </c>
      <c r="D965" s="2" t="s">
        <v>2471</v>
      </c>
      <c r="E965" s="2" t="s">
        <v>2010</v>
      </c>
      <c r="F965" s="3">
        <v>19905602.350000001</v>
      </c>
      <c r="G965" s="3">
        <v>20000000</v>
      </c>
      <c r="H965" s="4">
        <v>20000000</v>
      </c>
      <c r="I965" s="4">
        <v>20000000</v>
      </c>
      <c r="J965" s="16">
        <f t="shared" si="30"/>
        <v>0</v>
      </c>
      <c r="K965" s="16">
        <f t="shared" si="31"/>
        <v>0</v>
      </c>
    </row>
    <row r="966" spans="1:11" ht="19.5" customHeight="1" x14ac:dyDescent="0.25">
      <c r="A966" s="2" t="s">
        <v>2439</v>
      </c>
      <c r="B966" s="2" t="s">
        <v>16</v>
      </c>
      <c r="C966" s="2" t="s">
        <v>2472</v>
      </c>
      <c r="D966" s="2" t="s">
        <v>2473</v>
      </c>
      <c r="E966" s="2" t="s">
        <v>2474</v>
      </c>
      <c r="F966" s="3">
        <v>0</v>
      </c>
      <c r="G966" s="3">
        <v>100000</v>
      </c>
      <c r="H966" s="4">
        <v>100000</v>
      </c>
      <c r="I966" s="4">
        <v>100000</v>
      </c>
      <c r="J966" s="16">
        <f t="shared" si="30"/>
        <v>0</v>
      </c>
      <c r="K966" s="16">
        <f t="shared" si="31"/>
        <v>0</v>
      </c>
    </row>
    <row r="967" spans="1:11" ht="19.5" customHeight="1" x14ac:dyDescent="0.25">
      <c r="A967" s="2" t="s">
        <v>2439</v>
      </c>
      <c r="B967" s="2" t="s">
        <v>16</v>
      </c>
      <c r="C967" s="2" t="s">
        <v>2475</v>
      </c>
      <c r="D967" s="2" t="s">
        <v>2476</v>
      </c>
      <c r="E967" s="2" t="s">
        <v>2477</v>
      </c>
      <c r="F967" s="3">
        <v>125014.47</v>
      </c>
      <c r="G967" s="3">
        <v>2800000</v>
      </c>
      <c r="H967" s="4">
        <v>300000</v>
      </c>
      <c r="I967" s="4">
        <v>300000</v>
      </c>
      <c r="J967" s="16">
        <f t="shared" si="30"/>
        <v>-0.8928571428571429</v>
      </c>
      <c r="K967" s="16">
        <f t="shared" si="31"/>
        <v>0</v>
      </c>
    </row>
    <row r="968" spans="1:11" ht="19.5" customHeight="1" x14ac:dyDescent="0.25">
      <c r="A968" s="2" t="s">
        <v>2439</v>
      </c>
      <c r="B968" s="2" t="s">
        <v>16</v>
      </c>
      <c r="C968" s="2" t="s">
        <v>2478</v>
      </c>
      <c r="D968" s="2" t="s">
        <v>2479</v>
      </c>
      <c r="E968" s="2" t="s">
        <v>2480</v>
      </c>
      <c r="F968" s="3">
        <v>9876713.5899999999</v>
      </c>
      <c r="G968" s="3">
        <v>31000000</v>
      </c>
      <c r="H968" s="4">
        <v>21000000</v>
      </c>
      <c r="I968" s="4">
        <v>21000000</v>
      </c>
      <c r="J968" s="16">
        <f t="shared" si="30"/>
        <v>-0.32258064516129037</v>
      </c>
      <c r="K968" s="16">
        <f t="shared" si="31"/>
        <v>0</v>
      </c>
    </row>
    <row r="969" spans="1:11" ht="19.5" customHeight="1" x14ac:dyDescent="0.25">
      <c r="A969" s="2" t="s">
        <v>2439</v>
      </c>
      <c r="B969" s="2" t="s">
        <v>16</v>
      </c>
      <c r="C969" s="2" t="s">
        <v>1563</v>
      </c>
      <c r="D969" s="2" t="s">
        <v>2481</v>
      </c>
      <c r="E969" s="2" t="s">
        <v>2482</v>
      </c>
      <c r="F969" s="3">
        <v>799003.51</v>
      </c>
      <c r="G969" s="3">
        <v>750000</v>
      </c>
      <c r="H969" s="4">
        <v>1000000</v>
      </c>
      <c r="I969" s="4">
        <v>1000000</v>
      </c>
      <c r="J969" s="16">
        <f t="shared" si="30"/>
        <v>0.33333333333333326</v>
      </c>
      <c r="K969" s="16">
        <f t="shared" si="31"/>
        <v>0</v>
      </c>
    </row>
    <row r="970" spans="1:11" ht="19.5" customHeight="1" x14ac:dyDescent="0.25">
      <c r="A970" s="2" t="s">
        <v>2439</v>
      </c>
      <c r="B970" s="2" t="s">
        <v>16</v>
      </c>
      <c r="C970" s="2" t="s">
        <v>2483</v>
      </c>
      <c r="D970" s="2" t="s">
        <v>2484</v>
      </c>
      <c r="E970" s="2" t="s">
        <v>2485</v>
      </c>
      <c r="F970" s="3">
        <v>3246106.27</v>
      </c>
      <c r="G970" s="3">
        <v>6000000</v>
      </c>
      <c r="H970" s="4">
        <v>6000000</v>
      </c>
      <c r="I970" s="4">
        <v>6262000</v>
      </c>
      <c r="J970" s="16">
        <f t="shared" si="30"/>
        <v>0</v>
      </c>
      <c r="K970" s="16">
        <f t="shared" si="31"/>
        <v>4.3666666666666742E-2</v>
      </c>
    </row>
    <row r="971" spans="1:11" ht="19.5" customHeight="1" x14ac:dyDescent="0.25">
      <c r="A971" s="2" t="s">
        <v>2439</v>
      </c>
      <c r="B971" s="2" t="s">
        <v>16</v>
      </c>
      <c r="C971" s="2" t="s">
        <v>2486</v>
      </c>
      <c r="D971" s="2" t="s">
        <v>2487</v>
      </c>
      <c r="E971" s="2" t="s">
        <v>2488</v>
      </c>
      <c r="F971" s="3">
        <v>5000000</v>
      </c>
      <c r="G971" s="3">
        <v>0</v>
      </c>
      <c r="H971" s="4">
        <v>0</v>
      </c>
      <c r="I971" s="4">
        <v>0</v>
      </c>
      <c r="J971" s="16" t="str">
        <f t="shared" si="30"/>
        <v>--</v>
      </c>
      <c r="K971" s="16" t="str">
        <f t="shared" si="31"/>
        <v>--</v>
      </c>
    </row>
    <row r="972" spans="1:11" ht="19.5" customHeight="1" x14ac:dyDescent="0.25">
      <c r="A972" s="2" t="s">
        <v>2439</v>
      </c>
      <c r="B972" s="2" t="s">
        <v>44</v>
      </c>
      <c r="C972" s="2" t="s">
        <v>2489</v>
      </c>
      <c r="D972" s="2" t="s">
        <v>2490</v>
      </c>
      <c r="E972" s="2" t="s">
        <v>2491</v>
      </c>
      <c r="F972" s="3">
        <v>26790047.280000001</v>
      </c>
      <c r="G972" s="3">
        <v>91157229</v>
      </c>
      <c r="H972" s="4">
        <v>61188090</v>
      </c>
      <c r="I972" s="4">
        <v>42487257</v>
      </c>
      <c r="J972" s="16">
        <f t="shared" si="30"/>
        <v>-0.3287631636981857</v>
      </c>
      <c r="K972" s="16">
        <f t="shared" si="31"/>
        <v>-0.3056286443979539</v>
      </c>
    </row>
    <row r="973" spans="1:11" ht="19.5" customHeight="1" x14ac:dyDescent="0.25">
      <c r="A973" s="2" t="s">
        <v>2439</v>
      </c>
      <c r="B973" s="2" t="s">
        <v>44</v>
      </c>
      <c r="C973" s="2" t="s">
        <v>2492</v>
      </c>
      <c r="D973" s="2" t="s">
        <v>2493</v>
      </c>
      <c r="E973" s="2" t="s">
        <v>2494</v>
      </c>
      <c r="F973" s="3">
        <v>6267795.9800000004</v>
      </c>
      <c r="G973" s="3">
        <v>6953744</v>
      </c>
      <c r="H973" s="4">
        <v>7000000</v>
      </c>
      <c r="I973" s="4">
        <v>7000000</v>
      </c>
      <c r="J973" s="16">
        <f t="shared" si="30"/>
        <v>6.6519561260811599E-3</v>
      </c>
      <c r="K973" s="16">
        <f t="shared" si="31"/>
        <v>0</v>
      </c>
    </row>
    <row r="974" spans="1:11" ht="19.5" customHeight="1" x14ac:dyDescent="0.25">
      <c r="A974" s="2" t="s">
        <v>2439</v>
      </c>
      <c r="B974" s="2" t="s">
        <v>44</v>
      </c>
      <c r="C974" s="2" t="s">
        <v>2492</v>
      </c>
      <c r="D974" s="2" t="s">
        <v>2495</v>
      </c>
      <c r="E974" s="2" t="s">
        <v>2496</v>
      </c>
      <c r="F974" s="3">
        <v>24919806.09</v>
      </c>
      <c r="G974" s="3">
        <v>25876065</v>
      </c>
      <c r="H974" s="4">
        <v>30093153</v>
      </c>
      <c r="I974" s="4">
        <v>28792564</v>
      </c>
      <c r="J974" s="16">
        <f t="shared" si="30"/>
        <v>0.16297253852160298</v>
      </c>
      <c r="K974" s="16">
        <f t="shared" si="31"/>
        <v>-4.3218768069932745E-2</v>
      </c>
    </row>
    <row r="975" spans="1:11" ht="19.5" customHeight="1" x14ac:dyDescent="0.25">
      <c r="A975" s="2" t="s">
        <v>2439</v>
      </c>
      <c r="B975" s="2" t="s">
        <v>44</v>
      </c>
      <c r="C975" s="2" t="s">
        <v>2492</v>
      </c>
      <c r="D975" s="2" t="s">
        <v>2497</v>
      </c>
      <c r="E975" s="2" t="s">
        <v>2498</v>
      </c>
      <c r="F975" s="3">
        <v>2539115.5099999998</v>
      </c>
      <c r="G975" s="3">
        <v>3984680</v>
      </c>
      <c r="H975" s="4">
        <v>4000000</v>
      </c>
      <c r="I975" s="4">
        <v>4000000</v>
      </c>
      <c r="J975" s="16">
        <f t="shared" si="30"/>
        <v>3.8447252978908164E-3</v>
      </c>
      <c r="K975" s="16">
        <f t="shared" si="31"/>
        <v>0</v>
      </c>
    </row>
    <row r="976" spans="1:11" ht="19.5" customHeight="1" x14ac:dyDescent="0.25">
      <c r="A976" s="2" t="s">
        <v>2439</v>
      </c>
      <c r="B976" s="2" t="s">
        <v>44</v>
      </c>
      <c r="C976" s="2" t="s">
        <v>2499</v>
      </c>
      <c r="D976" s="2" t="s">
        <v>2500</v>
      </c>
      <c r="E976" s="2" t="s">
        <v>2501</v>
      </c>
      <c r="F976" s="3">
        <v>141841763.84999999</v>
      </c>
      <c r="G976" s="3">
        <v>185765304</v>
      </c>
      <c r="H976" s="4">
        <v>210395858</v>
      </c>
      <c r="I976" s="4">
        <v>215299061</v>
      </c>
      <c r="J976" s="16">
        <f t="shared" si="30"/>
        <v>0.13258963579119176</v>
      </c>
      <c r="K976" s="16">
        <f t="shared" si="31"/>
        <v>2.3304655550776099E-2</v>
      </c>
    </row>
    <row r="977" spans="1:11" ht="19.5" customHeight="1" x14ac:dyDescent="0.25">
      <c r="A977" s="2" t="s">
        <v>2439</v>
      </c>
      <c r="B977" s="2" t="s">
        <v>44</v>
      </c>
      <c r="C977" s="2" t="s">
        <v>2502</v>
      </c>
      <c r="D977" s="2" t="s">
        <v>2503</v>
      </c>
      <c r="E977" s="2" t="s">
        <v>2504</v>
      </c>
      <c r="F977" s="3">
        <v>6731432.2599999998</v>
      </c>
      <c r="G977" s="3">
        <v>11993306</v>
      </c>
      <c r="H977" s="4">
        <v>12000000</v>
      </c>
      <c r="I977" s="4">
        <v>12000000</v>
      </c>
      <c r="J977" s="16">
        <f t="shared" si="30"/>
        <v>5.5814468504356007E-4</v>
      </c>
      <c r="K977" s="16">
        <f t="shared" si="31"/>
        <v>0</v>
      </c>
    </row>
    <row r="978" spans="1:11" ht="19.5" customHeight="1" x14ac:dyDescent="0.25">
      <c r="A978" s="2" t="s">
        <v>2439</v>
      </c>
      <c r="B978" s="2" t="s">
        <v>44</v>
      </c>
      <c r="C978" s="2" t="s">
        <v>2505</v>
      </c>
      <c r="D978" s="2" t="s">
        <v>2506</v>
      </c>
      <c r="E978" s="2" t="s">
        <v>2507</v>
      </c>
      <c r="F978" s="3">
        <v>2081339.89</v>
      </c>
      <c r="G978" s="3">
        <v>9000000</v>
      </c>
      <c r="H978" s="4">
        <v>5000000</v>
      </c>
      <c r="I978" s="4">
        <v>5000000</v>
      </c>
      <c r="J978" s="16">
        <f t="shared" si="30"/>
        <v>-0.44444444444444442</v>
      </c>
      <c r="K978" s="16">
        <f t="shared" si="31"/>
        <v>0</v>
      </c>
    </row>
    <row r="979" spans="1:11" ht="19.5" customHeight="1" x14ac:dyDescent="0.25">
      <c r="A979" s="2" t="s">
        <v>2439</v>
      </c>
      <c r="B979" s="2" t="s">
        <v>44</v>
      </c>
      <c r="C979" s="2" t="s">
        <v>2508</v>
      </c>
      <c r="D979" s="2" t="s">
        <v>2509</v>
      </c>
      <c r="E979" s="2" t="s">
        <v>2510</v>
      </c>
      <c r="F979" s="3">
        <v>42015371.950000003</v>
      </c>
      <c r="G979" s="3">
        <v>41996161</v>
      </c>
      <c r="H979" s="4">
        <v>42000000</v>
      </c>
      <c r="I979" s="4">
        <v>42003000</v>
      </c>
      <c r="J979" s="16">
        <f t="shared" si="30"/>
        <v>9.1413117498939656E-5</v>
      </c>
      <c r="K979" s="16">
        <f t="shared" si="31"/>
        <v>7.1428571428500121E-5</v>
      </c>
    </row>
    <row r="980" spans="1:11" ht="19.5" customHeight="1" x14ac:dyDescent="0.25">
      <c r="A980" s="2" t="s">
        <v>2439</v>
      </c>
      <c r="B980" s="2" t="s">
        <v>44</v>
      </c>
      <c r="C980" s="2" t="s">
        <v>2511</v>
      </c>
      <c r="D980" s="2" t="s">
        <v>2512</v>
      </c>
      <c r="E980" s="2" t="s">
        <v>2513</v>
      </c>
      <c r="F980" s="3">
        <v>184119627.63999999</v>
      </c>
      <c r="G980" s="3">
        <v>196534751</v>
      </c>
      <c r="H980" s="4">
        <v>200506379</v>
      </c>
      <c r="I980" s="4">
        <v>200712239</v>
      </c>
      <c r="J980" s="16">
        <f t="shared" si="30"/>
        <v>2.02082734976472E-2</v>
      </c>
      <c r="K980" s="16">
        <f t="shared" si="31"/>
        <v>1.0267005021320497E-3</v>
      </c>
    </row>
    <row r="981" spans="1:11" ht="19.5" customHeight="1" x14ac:dyDescent="0.25">
      <c r="A981" s="2" t="s">
        <v>2439</v>
      </c>
      <c r="B981" s="2" t="s">
        <v>44</v>
      </c>
      <c r="C981" s="2" t="s">
        <v>2514</v>
      </c>
      <c r="D981" s="2" t="s">
        <v>2515</v>
      </c>
      <c r="E981" s="2" t="s">
        <v>2516</v>
      </c>
      <c r="F981" s="3">
        <v>171057138.58000001</v>
      </c>
      <c r="G981" s="3">
        <v>174939942</v>
      </c>
      <c r="H981" s="4">
        <v>178734641</v>
      </c>
      <c r="I981" s="4">
        <v>178965021</v>
      </c>
      <c r="J981" s="16">
        <f t="shared" si="30"/>
        <v>2.1691438539518826E-2</v>
      </c>
      <c r="K981" s="16">
        <f t="shared" si="31"/>
        <v>1.2889499131845117E-3</v>
      </c>
    </row>
    <row r="982" spans="1:11" ht="19.5" customHeight="1" x14ac:dyDescent="0.25">
      <c r="A982" s="2" t="s">
        <v>2439</v>
      </c>
      <c r="B982" s="2" t="s">
        <v>44</v>
      </c>
      <c r="C982" s="2" t="s">
        <v>2517</v>
      </c>
      <c r="D982" s="2" t="s">
        <v>2518</v>
      </c>
      <c r="E982" s="2" t="s">
        <v>2519</v>
      </c>
      <c r="F982" s="3">
        <v>8981528.1400000006</v>
      </c>
      <c r="G982" s="3">
        <v>16500000</v>
      </c>
      <c r="H982" s="4">
        <v>0</v>
      </c>
      <c r="I982" s="4">
        <v>0</v>
      </c>
      <c r="J982" s="16">
        <f t="shared" si="30"/>
        <v>-1</v>
      </c>
      <c r="K982" s="16" t="str">
        <f t="shared" si="31"/>
        <v>--</v>
      </c>
    </row>
    <row r="983" spans="1:11" ht="19.5" customHeight="1" x14ac:dyDescent="0.25">
      <c r="A983" s="2" t="s">
        <v>2439</v>
      </c>
      <c r="B983" s="2" t="s">
        <v>44</v>
      </c>
      <c r="C983" s="2" t="s">
        <v>2520</v>
      </c>
      <c r="D983" s="2" t="s">
        <v>2521</v>
      </c>
      <c r="E983" s="2" t="s">
        <v>2522</v>
      </c>
      <c r="F983" s="3">
        <v>999931.21</v>
      </c>
      <c r="G983" s="3">
        <v>2000000</v>
      </c>
      <c r="H983" s="4">
        <v>7000000</v>
      </c>
      <c r="I983" s="4">
        <v>7000000</v>
      </c>
      <c r="J983" s="16">
        <f t="shared" si="30"/>
        <v>2.5</v>
      </c>
      <c r="K983" s="16">
        <f t="shared" si="31"/>
        <v>0</v>
      </c>
    </row>
    <row r="984" spans="1:11" ht="19.5" customHeight="1" x14ac:dyDescent="0.25">
      <c r="A984" s="2" t="s">
        <v>2439</v>
      </c>
      <c r="B984" s="2" t="s">
        <v>44</v>
      </c>
      <c r="C984" s="2" t="s">
        <v>2523</v>
      </c>
      <c r="D984" s="2" t="s">
        <v>2524</v>
      </c>
      <c r="E984" s="2" t="s">
        <v>2525</v>
      </c>
      <c r="F984" s="3">
        <v>188550897.03999999</v>
      </c>
      <c r="G984" s="3">
        <v>179435551</v>
      </c>
      <c r="H984" s="4">
        <v>215301139</v>
      </c>
      <c r="I984" s="4">
        <v>215441374</v>
      </c>
      <c r="J984" s="16">
        <f t="shared" si="30"/>
        <v>0.19988005609880499</v>
      </c>
      <c r="K984" s="16">
        <f t="shared" si="31"/>
        <v>6.5134351193552043E-4</v>
      </c>
    </row>
    <row r="985" spans="1:11" ht="19.5" customHeight="1" x14ac:dyDescent="0.25">
      <c r="A985" s="2" t="s">
        <v>2439</v>
      </c>
      <c r="B985" s="2" t="s">
        <v>44</v>
      </c>
      <c r="C985" s="2" t="s">
        <v>2526</v>
      </c>
      <c r="D985" s="2" t="s">
        <v>2527</v>
      </c>
      <c r="E985" s="2" t="s">
        <v>2528</v>
      </c>
      <c r="F985" s="3">
        <v>394923393.06</v>
      </c>
      <c r="G985" s="3">
        <v>331814047</v>
      </c>
      <c r="H985" s="4">
        <v>540500000</v>
      </c>
      <c r="I985" s="4">
        <v>466500000</v>
      </c>
      <c r="J985" s="16">
        <f t="shared" si="30"/>
        <v>0.62892440777228464</v>
      </c>
      <c r="K985" s="16">
        <f t="shared" si="31"/>
        <v>-0.13691026827012021</v>
      </c>
    </row>
    <row r="986" spans="1:11" ht="19.5" customHeight="1" x14ac:dyDescent="0.25">
      <c r="A986" s="2" t="s">
        <v>2439</v>
      </c>
      <c r="B986" s="2" t="s">
        <v>44</v>
      </c>
      <c r="C986" s="2" t="s">
        <v>550</v>
      </c>
      <c r="D986" s="2" t="s">
        <v>2529</v>
      </c>
      <c r="E986" s="2" t="s">
        <v>2530</v>
      </c>
      <c r="F986" s="3">
        <v>0</v>
      </c>
      <c r="G986" s="3">
        <v>9000000</v>
      </c>
      <c r="H986" s="4">
        <v>0</v>
      </c>
      <c r="I986" s="4">
        <v>0</v>
      </c>
      <c r="J986" s="16">
        <f t="shared" si="30"/>
        <v>-1</v>
      </c>
      <c r="K986" s="16" t="str">
        <f t="shared" si="31"/>
        <v>--</v>
      </c>
    </row>
    <row r="987" spans="1:11" ht="19.5" customHeight="1" x14ac:dyDescent="0.25">
      <c r="A987" s="2" t="s">
        <v>2439</v>
      </c>
      <c r="B987" s="2" t="s">
        <v>44</v>
      </c>
      <c r="C987" s="2" t="s">
        <v>2531</v>
      </c>
      <c r="D987" s="2" t="s">
        <v>2532</v>
      </c>
      <c r="E987" s="2" t="s">
        <v>2533</v>
      </c>
      <c r="F987" s="3">
        <v>234216127.72</v>
      </c>
      <c r="G987" s="3">
        <v>280926351</v>
      </c>
      <c r="H987" s="4">
        <v>307654740</v>
      </c>
      <c r="I987" s="4">
        <v>308344774</v>
      </c>
      <c r="J987" s="16">
        <f t="shared" si="30"/>
        <v>9.5143758870808171E-2</v>
      </c>
      <c r="K987" s="16">
        <f t="shared" si="31"/>
        <v>2.2428843449640024E-3</v>
      </c>
    </row>
    <row r="988" spans="1:11" ht="19.5" customHeight="1" x14ac:dyDescent="0.25">
      <c r="A988" s="2" t="s">
        <v>2439</v>
      </c>
      <c r="B988" s="2" t="s">
        <v>44</v>
      </c>
      <c r="C988" s="2" t="s">
        <v>2534</v>
      </c>
      <c r="D988" s="2" t="s">
        <v>2535</v>
      </c>
      <c r="E988" s="2" t="s">
        <v>2536</v>
      </c>
      <c r="F988" s="3">
        <v>365761.14</v>
      </c>
      <c r="G988" s="3">
        <v>534050</v>
      </c>
      <c r="H988" s="4">
        <v>534050</v>
      </c>
      <c r="I988" s="4">
        <v>534050</v>
      </c>
      <c r="J988" s="16">
        <f t="shared" si="30"/>
        <v>0</v>
      </c>
      <c r="K988" s="16">
        <f t="shared" si="31"/>
        <v>0</v>
      </c>
    </row>
    <row r="989" spans="1:11" ht="19.5" customHeight="1" x14ac:dyDescent="0.25">
      <c r="A989" s="2" t="s">
        <v>2439</v>
      </c>
      <c r="B989" s="2" t="s">
        <v>44</v>
      </c>
      <c r="C989" s="2" t="s">
        <v>2537</v>
      </c>
      <c r="D989" s="2" t="s">
        <v>2538</v>
      </c>
      <c r="E989" s="2" t="s">
        <v>2539</v>
      </c>
      <c r="F989" s="3">
        <v>106430436.75</v>
      </c>
      <c r="G989" s="3">
        <v>172450000</v>
      </c>
      <c r="H989" s="4">
        <v>169756357</v>
      </c>
      <c r="I989" s="4">
        <v>165743862</v>
      </c>
      <c r="J989" s="16">
        <f t="shared" si="30"/>
        <v>-1.5619849231661376E-2</v>
      </c>
      <c r="K989" s="16">
        <f t="shared" si="31"/>
        <v>-2.3636787870041309E-2</v>
      </c>
    </row>
    <row r="990" spans="1:11" ht="19.5" customHeight="1" x14ac:dyDescent="0.25">
      <c r="A990" s="2" t="s">
        <v>2439</v>
      </c>
      <c r="B990" s="2" t="s">
        <v>44</v>
      </c>
      <c r="C990" s="2" t="s">
        <v>2540</v>
      </c>
      <c r="D990" s="2" t="s">
        <v>2541</v>
      </c>
      <c r="E990" s="2" t="s">
        <v>2542</v>
      </c>
      <c r="F990" s="3">
        <v>18524746.550000001</v>
      </c>
      <c r="G990" s="3">
        <v>19959490</v>
      </c>
      <c r="H990" s="4">
        <v>31004791</v>
      </c>
      <c r="I990" s="4">
        <v>26455418</v>
      </c>
      <c r="J990" s="16">
        <f t="shared" si="30"/>
        <v>0.55338593320771223</v>
      </c>
      <c r="K990" s="16">
        <f t="shared" si="31"/>
        <v>-0.14673129065762769</v>
      </c>
    </row>
    <row r="991" spans="1:11" ht="19.5" customHeight="1" x14ac:dyDescent="0.25">
      <c r="A991" s="2" t="s">
        <v>2439</v>
      </c>
      <c r="B991" s="2" t="s">
        <v>44</v>
      </c>
      <c r="C991" s="2" t="s">
        <v>2540</v>
      </c>
      <c r="D991" s="2" t="s">
        <v>2543</v>
      </c>
      <c r="E991" s="2" t="s">
        <v>2544</v>
      </c>
      <c r="F991" s="3">
        <v>86708305.799999997</v>
      </c>
      <c r="G991" s="3">
        <v>213806262</v>
      </c>
      <c r="H991" s="4">
        <v>160536498</v>
      </c>
      <c r="I991" s="4">
        <v>156864218</v>
      </c>
      <c r="J991" s="16">
        <f t="shared" si="30"/>
        <v>-0.24914969048006652</v>
      </c>
      <c r="K991" s="16">
        <f t="shared" si="31"/>
        <v>-2.2875047392649561E-2</v>
      </c>
    </row>
    <row r="992" spans="1:11" ht="19.5" customHeight="1" x14ac:dyDescent="0.25">
      <c r="A992" s="2" t="s">
        <v>2439</v>
      </c>
      <c r="B992" s="2" t="s">
        <v>44</v>
      </c>
      <c r="C992" s="2" t="s">
        <v>2540</v>
      </c>
      <c r="D992" s="2" t="s">
        <v>2545</v>
      </c>
      <c r="E992" s="2" t="s">
        <v>2546</v>
      </c>
      <c r="F992" s="4">
        <v>4051676.19</v>
      </c>
      <c r="G992" s="3">
        <v>5800000</v>
      </c>
      <c r="H992" s="4">
        <v>6183602</v>
      </c>
      <c r="I992" s="4">
        <v>6281852</v>
      </c>
      <c r="J992" s="16">
        <f t="shared" si="30"/>
        <v>6.6138275862068996E-2</v>
      </c>
      <c r="K992" s="16">
        <f t="shared" si="31"/>
        <v>1.5888797500227314E-2</v>
      </c>
    </row>
    <row r="993" spans="1:11" ht="19.5" customHeight="1" x14ac:dyDescent="0.25">
      <c r="A993" s="2" t="s">
        <v>2439</v>
      </c>
      <c r="B993" s="2" t="s">
        <v>44</v>
      </c>
      <c r="C993" s="2" t="s">
        <v>2547</v>
      </c>
      <c r="D993" s="2" t="s">
        <v>2548</v>
      </c>
      <c r="E993" s="2" t="s">
        <v>2549</v>
      </c>
      <c r="F993" s="3">
        <v>744348677.74000001</v>
      </c>
      <c r="G993" s="3">
        <v>944877664</v>
      </c>
      <c r="H993" s="4">
        <v>961819158</v>
      </c>
      <c r="I993" s="4">
        <v>1025474447</v>
      </c>
      <c r="J993" s="16">
        <f t="shared" si="30"/>
        <v>1.7929828003638848E-2</v>
      </c>
      <c r="K993" s="16">
        <f t="shared" si="31"/>
        <v>6.6182180371998856E-2</v>
      </c>
    </row>
    <row r="994" spans="1:11" ht="19.5" customHeight="1" x14ac:dyDescent="0.25">
      <c r="A994" s="2" t="s">
        <v>2439</v>
      </c>
      <c r="B994" s="2" t="s">
        <v>887</v>
      </c>
      <c r="C994" s="2" t="s">
        <v>2550</v>
      </c>
      <c r="D994" s="2" t="s">
        <v>2551</v>
      </c>
      <c r="E994" s="2" t="s">
        <v>2552</v>
      </c>
      <c r="F994" s="3">
        <v>245928643.75999999</v>
      </c>
      <c r="G994" s="3">
        <v>100000000</v>
      </c>
      <c r="H994" s="4">
        <v>100000000</v>
      </c>
      <c r="I994" s="4">
        <v>100000000</v>
      </c>
      <c r="J994" s="16">
        <f t="shared" si="30"/>
        <v>0</v>
      </c>
      <c r="K994" s="16">
        <f t="shared" si="31"/>
        <v>0</v>
      </c>
    </row>
    <row r="995" spans="1:11" ht="19.5" customHeight="1" x14ac:dyDescent="0.25">
      <c r="A995" s="2" t="s">
        <v>2439</v>
      </c>
      <c r="B995" s="2" t="s">
        <v>887</v>
      </c>
      <c r="C995" s="2" t="s">
        <v>2553</v>
      </c>
      <c r="D995" s="2" t="s">
        <v>2554</v>
      </c>
      <c r="E995" s="2" t="s">
        <v>2555</v>
      </c>
      <c r="F995" s="3">
        <v>14090451.880000001</v>
      </c>
      <c r="G995" s="4">
        <v>13000000</v>
      </c>
      <c r="H995" s="4">
        <v>13000000</v>
      </c>
      <c r="I995" s="4">
        <v>13000000</v>
      </c>
      <c r="J995" s="16">
        <f t="shared" si="30"/>
        <v>0</v>
      </c>
      <c r="K995" s="16">
        <f t="shared" si="31"/>
        <v>0</v>
      </c>
    </row>
    <row r="996" spans="1:11" ht="19.5" customHeight="1" x14ac:dyDescent="0.25">
      <c r="A996" s="2" t="s">
        <v>2439</v>
      </c>
      <c r="B996" s="2" t="s">
        <v>887</v>
      </c>
      <c r="C996" s="2" t="s">
        <v>2556</v>
      </c>
      <c r="D996" s="2" t="s">
        <v>2557</v>
      </c>
      <c r="E996" s="2" t="s">
        <v>2558</v>
      </c>
      <c r="F996" s="4">
        <v>3701673.94</v>
      </c>
      <c r="G996" s="3">
        <v>4000000</v>
      </c>
      <c r="H996" s="4">
        <v>4000000</v>
      </c>
      <c r="I996" s="4">
        <v>4000000</v>
      </c>
      <c r="J996" s="16">
        <f t="shared" si="30"/>
        <v>0</v>
      </c>
      <c r="K996" s="16">
        <f t="shared" si="31"/>
        <v>0</v>
      </c>
    </row>
    <row r="997" spans="1:11" ht="19.5" customHeight="1" x14ac:dyDescent="0.25">
      <c r="A997" s="2" t="s">
        <v>2439</v>
      </c>
      <c r="B997" s="2" t="s">
        <v>54</v>
      </c>
      <c r="C997" s="2" t="s">
        <v>54</v>
      </c>
      <c r="D997" s="2" t="s">
        <v>2559</v>
      </c>
      <c r="E997" s="2" t="s">
        <v>1472</v>
      </c>
      <c r="F997" s="3">
        <v>5663633.25</v>
      </c>
      <c r="G997" s="3">
        <v>0</v>
      </c>
      <c r="H997" s="4">
        <v>0</v>
      </c>
      <c r="I997" s="4">
        <v>0</v>
      </c>
      <c r="J997" s="16" t="str">
        <f t="shared" si="30"/>
        <v>--</v>
      </c>
      <c r="K997" s="16" t="str">
        <f t="shared" si="31"/>
        <v>--</v>
      </c>
    </row>
    <row r="998" spans="1:11" ht="19.5" customHeight="1" x14ac:dyDescent="0.25">
      <c r="A998" s="2" t="s">
        <v>2439</v>
      </c>
      <c r="B998" s="2" t="s">
        <v>54</v>
      </c>
      <c r="C998" s="2" t="s">
        <v>54</v>
      </c>
      <c r="D998" s="2" t="s">
        <v>2560</v>
      </c>
      <c r="E998" s="2" t="s">
        <v>2561</v>
      </c>
      <c r="F998" s="3">
        <v>134320686.31999999</v>
      </c>
      <c r="G998" s="3">
        <v>144267326</v>
      </c>
      <c r="H998" s="4">
        <v>149267326</v>
      </c>
      <c r="I998" s="4">
        <v>149267326</v>
      </c>
      <c r="J998" s="16">
        <f t="shared" si="30"/>
        <v>3.4657882270584306E-2</v>
      </c>
      <c r="K998" s="16">
        <f t="shared" si="31"/>
        <v>0</v>
      </c>
    </row>
    <row r="999" spans="1:11" ht="19.5" customHeight="1" x14ac:dyDescent="0.25">
      <c r="A999" s="2" t="s">
        <v>2439</v>
      </c>
      <c r="B999" s="2" t="s">
        <v>54</v>
      </c>
      <c r="C999" s="2" t="s">
        <v>54</v>
      </c>
      <c r="D999" s="2" t="s">
        <v>2562</v>
      </c>
      <c r="E999" s="2" t="s">
        <v>2563</v>
      </c>
      <c r="F999" s="4">
        <v>83457145.049999997</v>
      </c>
      <c r="G999" s="3">
        <v>83461739</v>
      </c>
      <c r="H999" s="4">
        <v>83461739</v>
      </c>
      <c r="I999" s="4">
        <v>83461739</v>
      </c>
      <c r="J999" s="16">
        <f t="shared" si="30"/>
        <v>0</v>
      </c>
      <c r="K999" s="16">
        <f t="shared" si="31"/>
        <v>0</v>
      </c>
    </row>
    <row r="1000" spans="1:11" ht="19.5" customHeight="1" x14ac:dyDescent="0.25">
      <c r="A1000" s="2" t="s">
        <v>2439</v>
      </c>
      <c r="B1000" s="2" t="s">
        <v>54</v>
      </c>
      <c r="C1000" s="2" t="s">
        <v>54</v>
      </c>
      <c r="D1000" s="2" t="s">
        <v>2564</v>
      </c>
      <c r="E1000" s="2" t="s">
        <v>2565</v>
      </c>
      <c r="F1000" s="3">
        <v>10649951.85</v>
      </c>
      <c r="G1000" s="3">
        <v>0</v>
      </c>
      <c r="H1000" s="4">
        <v>0</v>
      </c>
      <c r="I1000" s="4">
        <v>0</v>
      </c>
      <c r="J1000" s="16" t="str">
        <f t="shared" si="30"/>
        <v>--</v>
      </c>
      <c r="K1000" s="16" t="str">
        <f t="shared" si="31"/>
        <v>--</v>
      </c>
    </row>
    <row r="1001" spans="1:11" ht="19.5" customHeight="1" x14ac:dyDescent="0.25">
      <c r="A1001" s="2" t="s">
        <v>2439</v>
      </c>
      <c r="B1001" s="2" t="s">
        <v>54</v>
      </c>
      <c r="C1001" s="2" t="s">
        <v>54</v>
      </c>
      <c r="D1001" s="2" t="s">
        <v>2566</v>
      </c>
      <c r="E1001" s="2" t="s">
        <v>2567</v>
      </c>
      <c r="F1001" s="3">
        <v>782454.29</v>
      </c>
      <c r="G1001" s="3">
        <v>0</v>
      </c>
      <c r="H1001" s="4">
        <v>0</v>
      </c>
      <c r="I1001" s="4">
        <v>0</v>
      </c>
      <c r="J1001" s="16" t="str">
        <f t="shared" si="30"/>
        <v>--</v>
      </c>
      <c r="K1001" s="16" t="str">
        <f t="shared" si="31"/>
        <v>--</v>
      </c>
    </row>
    <row r="1002" spans="1:11" ht="19.5" customHeight="1" x14ac:dyDescent="0.25">
      <c r="A1002" s="2" t="s">
        <v>2439</v>
      </c>
      <c r="B1002" s="2" t="s">
        <v>54</v>
      </c>
      <c r="C1002" s="2" t="s">
        <v>54</v>
      </c>
      <c r="D1002" s="2" t="s">
        <v>2568</v>
      </c>
      <c r="E1002" s="2" t="s">
        <v>2569</v>
      </c>
      <c r="F1002" s="3">
        <v>247875.58</v>
      </c>
      <c r="G1002" s="3">
        <v>0</v>
      </c>
      <c r="H1002" s="4">
        <v>0</v>
      </c>
      <c r="I1002" s="4">
        <v>0</v>
      </c>
      <c r="J1002" s="16" t="str">
        <f t="shared" si="30"/>
        <v>--</v>
      </c>
      <c r="K1002" s="16" t="str">
        <f t="shared" si="31"/>
        <v>--</v>
      </c>
    </row>
    <row r="1003" spans="1:11" ht="19.5" customHeight="1" x14ac:dyDescent="0.25">
      <c r="A1003" s="2" t="s">
        <v>2439</v>
      </c>
      <c r="B1003" s="2" t="s">
        <v>54</v>
      </c>
      <c r="C1003" s="2" t="s">
        <v>54</v>
      </c>
      <c r="D1003" s="2" t="s">
        <v>2570</v>
      </c>
      <c r="E1003" s="2" t="s">
        <v>2571</v>
      </c>
      <c r="F1003" s="3">
        <v>1605544.23</v>
      </c>
      <c r="G1003" s="3">
        <v>0</v>
      </c>
      <c r="H1003" s="4">
        <v>0</v>
      </c>
      <c r="I1003" s="4">
        <v>0</v>
      </c>
      <c r="J1003" s="16" t="str">
        <f t="shared" si="30"/>
        <v>--</v>
      </c>
      <c r="K1003" s="16" t="str">
        <f t="shared" si="31"/>
        <v>--</v>
      </c>
    </row>
    <row r="1004" spans="1:11" ht="19.5" customHeight="1" x14ac:dyDescent="0.25">
      <c r="A1004" s="2" t="s">
        <v>2439</v>
      </c>
      <c r="B1004" s="2" t="s">
        <v>54</v>
      </c>
      <c r="C1004" s="2" t="s">
        <v>54</v>
      </c>
      <c r="D1004" s="2" t="s">
        <v>2572</v>
      </c>
      <c r="E1004" s="2" t="s">
        <v>2573</v>
      </c>
      <c r="F1004" s="3">
        <v>2006728</v>
      </c>
      <c r="G1004" s="3">
        <v>0</v>
      </c>
      <c r="H1004" s="4">
        <v>0</v>
      </c>
      <c r="I1004" s="4">
        <v>0</v>
      </c>
      <c r="J1004" s="16" t="str">
        <f t="shared" si="30"/>
        <v>--</v>
      </c>
      <c r="K1004" s="16" t="str">
        <f t="shared" si="31"/>
        <v>--</v>
      </c>
    </row>
    <row r="1005" spans="1:11" ht="19.5" customHeight="1" x14ac:dyDescent="0.25">
      <c r="A1005" s="2" t="s">
        <v>2439</v>
      </c>
      <c r="B1005" s="2" t="s">
        <v>54</v>
      </c>
      <c r="C1005" s="2" t="s">
        <v>54</v>
      </c>
      <c r="D1005" s="2" t="s">
        <v>2574</v>
      </c>
      <c r="E1005" s="2" t="s">
        <v>2575</v>
      </c>
      <c r="F1005" s="3">
        <v>96255873.349999994</v>
      </c>
      <c r="G1005" s="3">
        <v>118763614</v>
      </c>
      <c r="H1005" s="4">
        <v>158272162</v>
      </c>
      <c r="I1005" s="4">
        <v>159177600</v>
      </c>
      <c r="J1005" s="16">
        <f t="shared" si="30"/>
        <v>0.33266542394036613</v>
      </c>
      <c r="K1005" s="16">
        <f t="shared" si="31"/>
        <v>5.7207659803117927E-3</v>
      </c>
    </row>
    <row r="1006" spans="1:11" ht="19.5" customHeight="1" x14ac:dyDescent="0.25">
      <c r="A1006" s="6" t="s">
        <v>2439</v>
      </c>
      <c r="B1006" s="6" t="s">
        <v>54</v>
      </c>
      <c r="C1006" s="6" t="s">
        <v>54</v>
      </c>
      <c r="D1006" s="7" t="s">
        <v>2576</v>
      </c>
      <c r="E1006" s="6" t="s">
        <v>2445</v>
      </c>
      <c r="F1006" s="9">
        <v>0</v>
      </c>
      <c r="G1006" s="9">
        <v>0</v>
      </c>
      <c r="H1006" s="4">
        <v>1386000</v>
      </c>
      <c r="I1006" s="4">
        <v>1386000</v>
      </c>
      <c r="J1006" s="16" t="str">
        <f t="shared" si="30"/>
        <v>--</v>
      </c>
      <c r="K1006" s="16">
        <f t="shared" si="31"/>
        <v>0</v>
      </c>
    </row>
    <row r="1007" spans="1:11" ht="19.5" customHeight="1" x14ac:dyDescent="0.25">
      <c r="A1007" s="2" t="s">
        <v>2439</v>
      </c>
      <c r="B1007" s="2" t="s">
        <v>54</v>
      </c>
      <c r="C1007" s="2" t="s">
        <v>54</v>
      </c>
      <c r="D1007" s="8" t="s">
        <v>2602</v>
      </c>
      <c r="E1007" s="2" t="s">
        <v>2488</v>
      </c>
      <c r="F1007" s="3">
        <v>0</v>
      </c>
      <c r="G1007" s="3">
        <v>0</v>
      </c>
      <c r="H1007" s="4">
        <v>8000000</v>
      </c>
      <c r="I1007" s="4">
        <v>8000000</v>
      </c>
      <c r="J1007" s="16" t="str">
        <f t="shared" si="30"/>
        <v>--</v>
      </c>
      <c r="K1007" s="16">
        <f t="shared" si="31"/>
        <v>0</v>
      </c>
    </row>
    <row r="1008" spans="1:11" ht="19.5" customHeight="1" x14ac:dyDescent="0.25">
      <c r="A1008" s="2" t="s">
        <v>2439</v>
      </c>
      <c r="B1008" s="2" t="s">
        <v>54</v>
      </c>
      <c r="C1008" s="2" t="s">
        <v>54</v>
      </c>
      <c r="D1008" s="2" t="s">
        <v>2577</v>
      </c>
      <c r="E1008" s="2" t="s">
        <v>2578</v>
      </c>
      <c r="F1008" s="3">
        <v>22961438.199999999</v>
      </c>
      <c r="G1008" s="3">
        <v>23456891</v>
      </c>
      <c r="H1008" s="4">
        <v>26400000</v>
      </c>
      <c r="I1008" s="4">
        <v>26400000</v>
      </c>
      <c r="J1008" s="16">
        <f t="shared" si="30"/>
        <v>0.12546884410214476</v>
      </c>
      <c r="K1008" s="16">
        <f t="shared" si="31"/>
        <v>0</v>
      </c>
    </row>
    <row r="1009" spans="1:11" ht="19.5" customHeight="1" x14ac:dyDescent="0.25">
      <c r="A1009" s="2" t="s">
        <v>2439</v>
      </c>
      <c r="B1009" s="2" t="s">
        <v>54</v>
      </c>
      <c r="C1009" s="2" t="s">
        <v>54</v>
      </c>
      <c r="D1009" s="2" t="s">
        <v>2579</v>
      </c>
      <c r="E1009" s="2" t="s">
        <v>2580</v>
      </c>
      <c r="F1009" s="3">
        <v>42926835.460000001</v>
      </c>
      <c r="G1009" s="4">
        <v>44748768</v>
      </c>
      <c r="H1009" s="4">
        <v>48248768</v>
      </c>
      <c r="I1009" s="4">
        <v>47248768</v>
      </c>
      <c r="J1009" s="16">
        <f t="shared" si="30"/>
        <v>7.8214443803235056E-2</v>
      </c>
      <c r="K1009" s="16">
        <f t="shared" si="31"/>
        <v>-2.0725917809963579E-2</v>
      </c>
    </row>
    <row r="1010" spans="1:11" ht="19.5" customHeight="1" x14ac:dyDescent="0.25">
      <c r="A1010" s="2" t="s">
        <v>2439</v>
      </c>
      <c r="B1010" s="2" t="s">
        <v>54</v>
      </c>
      <c r="C1010" s="2" t="s">
        <v>54</v>
      </c>
      <c r="D1010" s="2" t="s">
        <v>2581</v>
      </c>
      <c r="E1010" s="2" t="s">
        <v>2582</v>
      </c>
      <c r="F1010" s="3">
        <v>145564622.49000001</v>
      </c>
      <c r="G1010" s="3">
        <v>134207628</v>
      </c>
      <c r="H1010" s="4">
        <v>222194327</v>
      </c>
      <c r="I1010" s="4">
        <v>217694327</v>
      </c>
      <c r="J1010" s="16">
        <f t="shared" si="30"/>
        <v>0.6556013269230867</v>
      </c>
      <c r="K1010" s="16">
        <f t="shared" si="31"/>
        <v>-2.0252542271252505E-2</v>
      </c>
    </row>
    <row r="1011" spans="1:11" ht="19.5" customHeight="1" x14ac:dyDescent="0.25">
      <c r="A1011" s="2" t="s">
        <v>2439</v>
      </c>
      <c r="B1011" s="2" t="s">
        <v>54</v>
      </c>
      <c r="C1011" s="2" t="s">
        <v>54</v>
      </c>
      <c r="D1011" s="2" t="s">
        <v>2583</v>
      </c>
      <c r="E1011" s="2" t="s">
        <v>1550</v>
      </c>
      <c r="F1011" s="3">
        <v>21599639.309999999</v>
      </c>
      <c r="G1011" s="3">
        <v>23922517</v>
      </c>
      <c r="H1011" s="4">
        <v>23922517</v>
      </c>
      <c r="I1011" s="4">
        <v>23922517</v>
      </c>
      <c r="J1011" s="16">
        <f t="shared" si="30"/>
        <v>0</v>
      </c>
      <c r="K1011" s="16">
        <f t="shared" si="31"/>
        <v>0</v>
      </c>
    </row>
    <row r="1012" spans="1:11" ht="19.5" customHeight="1" x14ac:dyDescent="0.25">
      <c r="A1012" s="2" t="s">
        <v>2439</v>
      </c>
      <c r="B1012" s="2" t="s">
        <v>54</v>
      </c>
      <c r="C1012" s="2" t="s">
        <v>54</v>
      </c>
      <c r="D1012" s="2" t="s">
        <v>2584</v>
      </c>
      <c r="E1012" s="2" t="s">
        <v>2585</v>
      </c>
      <c r="F1012" s="3">
        <v>12557988.23</v>
      </c>
      <c r="G1012" s="3">
        <v>13500000</v>
      </c>
      <c r="H1012" s="4">
        <v>13500000</v>
      </c>
      <c r="I1012" s="4">
        <v>13500000</v>
      </c>
      <c r="J1012" s="16">
        <f t="shared" si="30"/>
        <v>0</v>
      </c>
      <c r="K1012" s="16">
        <f t="shared" si="31"/>
        <v>0</v>
      </c>
    </row>
    <row r="1013" spans="1:11" ht="19.5" customHeight="1" x14ac:dyDescent="0.25">
      <c r="A1013" s="2" t="s">
        <v>2439</v>
      </c>
      <c r="B1013" s="2" t="s">
        <v>54</v>
      </c>
      <c r="C1013" s="2" t="s">
        <v>54</v>
      </c>
      <c r="D1013" s="2" t="s">
        <v>2586</v>
      </c>
      <c r="E1013" s="2" t="s">
        <v>2587</v>
      </c>
      <c r="F1013" s="3">
        <v>3708740.36</v>
      </c>
      <c r="G1013" s="4">
        <v>4230000</v>
      </c>
      <c r="H1013" s="4">
        <v>5720000</v>
      </c>
      <c r="I1013" s="4">
        <v>5720000</v>
      </c>
      <c r="J1013" s="16">
        <f t="shared" si="30"/>
        <v>0.35224586288416071</v>
      </c>
      <c r="K1013" s="16">
        <f t="shared" si="31"/>
        <v>0</v>
      </c>
    </row>
    <row r="1014" spans="1:11" ht="19.5" customHeight="1" x14ac:dyDescent="0.25">
      <c r="A1014" s="2" t="s">
        <v>2439</v>
      </c>
      <c r="B1014" s="2" t="s">
        <v>54</v>
      </c>
      <c r="C1014" s="2" t="s">
        <v>54</v>
      </c>
      <c r="D1014" s="2" t="s">
        <v>2588</v>
      </c>
      <c r="E1014" s="2" t="s">
        <v>2589</v>
      </c>
      <c r="F1014" s="3">
        <v>140816805.56999999</v>
      </c>
      <c r="G1014" s="3">
        <v>141285241</v>
      </c>
      <c r="H1014" s="4">
        <v>141285241</v>
      </c>
      <c r="I1014" s="4">
        <v>141285241</v>
      </c>
      <c r="J1014" s="16">
        <f t="shared" si="30"/>
        <v>0</v>
      </c>
      <c r="K1014" s="16">
        <f t="shared" si="31"/>
        <v>0</v>
      </c>
    </row>
    <row r="1015" spans="1:11" ht="19.5" customHeight="1" x14ac:dyDescent="0.25">
      <c r="A1015" s="2" t="s">
        <v>2439</v>
      </c>
      <c r="B1015" s="2" t="s">
        <v>54</v>
      </c>
      <c r="C1015" s="2" t="s">
        <v>54</v>
      </c>
      <c r="D1015" s="2" t="s">
        <v>2590</v>
      </c>
      <c r="E1015" s="2" t="s">
        <v>2591</v>
      </c>
      <c r="F1015" s="3">
        <v>839550</v>
      </c>
      <c r="G1015" s="3">
        <v>1000000</v>
      </c>
      <c r="H1015" s="4">
        <v>1000000</v>
      </c>
      <c r="I1015" s="4">
        <v>1000000</v>
      </c>
      <c r="J1015" s="16">
        <f t="shared" si="30"/>
        <v>0</v>
      </c>
      <c r="K1015" s="16">
        <f t="shared" si="31"/>
        <v>0</v>
      </c>
    </row>
    <row r="1016" spans="1:11" ht="19.5" customHeight="1" x14ac:dyDescent="0.25">
      <c r="A1016" s="2" t="s">
        <v>2439</v>
      </c>
      <c r="B1016" s="2" t="s">
        <v>54</v>
      </c>
      <c r="C1016" s="2" t="s">
        <v>54</v>
      </c>
      <c r="D1016" s="2" t="s">
        <v>2592</v>
      </c>
      <c r="E1016" s="2" t="s">
        <v>2593</v>
      </c>
      <c r="F1016" s="3">
        <v>150000</v>
      </c>
      <c r="G1016" s="3">
        <v>0</v>
      </c>
      <c r="H1016" s="4">
        <v>0</v>
      </c>
      <c r="I1016" s="4">
        <v>0</v>
      </c>
      <c r="J1016" s="16" t="str">
        <f t="shared" si="30"/>
        <v>--</v>
      </c>
      <c r="K1016" s="16" t="str">
        <f t="shared" si="31"/>
        <v>--</v>
      </c>
    </row>
    <row r="1017" spans="1:11" ht="19.5" customHeight="1" x14ac:dyDescent="0.25">
      <c r="A1017" s="2" t="s">
        <v>2439</v>
      </c>
      <c r="B1017" s="2" t="s">
        <v>54</v>
      </c>
      <c r="C1017" s="2" t="s">
        <v>54</v>
      </c>
      <c r="D1017" s="2" t="s">
        <v>2594</v>
      </c>
      <c r="E1017" s="2" t="s">
        <v>2595</v>
      </c>
      <c r="F1017" s="4">
        <v>82193.48</v>
      </c>
      <c r="G1017" s="3">
        <v>0</v>
      </c>
      <c r="H1017" s="4">
        <v>1200000</v>
      </c>
      <c r="I1017" s="4">
        <v>150000</v>
      </c>
      <c r="J1017" s="16" t="str">
        <f t="shared" si="30"/>
        <v>--</v>
      </c>
      <c r="K1017" s="16">
        <f t="shared" si="31"/>
        <v>-0.875</v>
      </c>
    </row>
    <row r="1018" spans="1:11" ht="19.5" customHeight="1" x14ac:dyDescent="0.25">
      <c r="A1018" s="2" t="s">
        <v>2439</v>
      </c>
      <c r="B1018" s="2" t="s">
        <v>54</v>
      </c>
      <c r="C1018" s="2" t="s">
        <v>54</v>
      </c>
      <c r="D1018" s="2" t="s">
        <v>2598</v>
      </c>
      <c r="E1018" s="2" t="s">
        <v>2599</v>
      </c>
      <c r="F1018" s="3">
        <v>125502.85</v>
      </c>
      <c r="G1018" s="3">
        <v>0</v>
      </c>
      <c r="H1018" s="4">
        <v>259685</v>
      </c>
      <c r="I1018" s="4">
        <v>0</v>
      </c>
      <c r="J1018" s="16" t="str">
        <f t="shared" si="30"/>
        <v>--</v>
      </c>
      <c r="K1018" s="16">
        <f t="shared" si="31"/>
        <v>-1</v>
      </c>
    </row>
    <row r="1019" spans="1:11" ht="19.5" customHeight="1" x14ac:dyDescent="0.25">
      <c r="A1019" s="2" t="s">
        <v>2439</v>
      </c>
      <c r="B1019" s="2" t="s">
        <v>54</v>
      </c>
      <c r="C1019" s="2" t="s">
        <v>54</v>
      </c>
      <c r="D1019" s="2" t="s">
        <v>2600</v>
      </c>
      <c r="E1019" s="2" t="s">
        <v>2601</v>
      </c>
      <c r="F1019" s="3">
        <v>888888</v>
      </c>
      <c r="G1019" s="3">
        <v>500000</v>
      </c>
      <c r="H1019" s="4">
        <v>1000000</v>
      </c>
      <c r="I1019" s="4">
        <v>1000000</v>
      </c>
      <c r="J1019" s="16">
        <f t="shared" si="30"/>
        <v>1</v>
      </c>
      <c r="K1019" s="16">
        <f t="shared" si="31"/>
        <v>0</v>
      </c>
    </row>
    <row r="1020" spans="1:11" ht="19.5" customHeight="1" x14ac:dyDescent="0.25">
      <c r="A1020" s="2" t="s">
        <v>2439</v>
      </c>
      <c r="B1020" s="2" t="s">
        <v>54</v>
      </c>
      <c r="C1020" s="2" t="s">
        <v>54</v>
      </c>
      <c r="D1020" s="2" t="s">
        <v>2603</v>
      </c>
      <c r="E1020" s="2" t="s">
        <v>2604</v>
      </c>
      <c r="F1020" s="3">
        <v>7408340.04</v>
      </c>
      <c r="G1020" s="3">
        <v>0</v>
      </c>
      <c r="H1020" s="4">
        <v>0</v>
      </c>
      <c r="I1020" s="4">
        <v>0</v>
      </c>
      <c r="J1020" s="16" t="str">
        <f t="shared" si="30"/>
        <v>--</v>
      </c>
      <c r="K1020" s="16" t="str">
        <f t="shared" si="31"/>
        <v>--</v>
      </c>
    </row>
    <row r="1021" spans="1:11" ht="19.5" customHeight="1" x14ac:dyDescent="0.25">
      <c r="A1021" s="2" t="s">
        <v>2439</v>
      </c>
      <c r="B1021" s="2" t="s">
        <v>54</v>
      </c>
      <c r="C1021" s="2" t="s">
        <v>54</v>
      </c>
      <c r="D1021" s="8" t="s">
        <v>2596</v>
      </c>
      <c r="E1021" s="2" t="s">
        <v>2597</v>
      </c>
      <c r="F1021" s="4">
        <v>0</v>
      </c>
      <c r="G1021" s="3">
        <v>0</v>
      </c>
      <c r="H1021" s="4">
        <v>2500000</v>
      </c>
      <c r="I1021" s="4">
        <v>2500000</v>
      </c>
      <c r="J1021" s="16" t="str">
        <f t="shared" si="30"/>
        <v>--</v>
      </c>
      <c r="K1021" s="16">
        <f t="shared" si="31"/>
        <v>0</v>
      </c>
    </row>
    <row r="1022" spans="1:11" ht="19.5" customHeight="1" x14ac:dyDescent="0.25">
      <c r="A1022" s="2" t="s">
        <v>2439</v>
      </c>
      <c r="B1022" s="2" t="s">
        <v>54</v>
      </c>
      <c r="C1022" s="2" t="s">
        <v>54</v>
      </c>
      <c r="D1022" s="2" t="s">
        <v>2605</v>
      </c>
      <c r="E1022" s="2" t="s">
        <v>998</v>
      </c>
      <c r="F1022" s="4">
        <v>11013484.74</v>
      </c>
      <c r="G1022" s="3">
        <v>12995121</v>
      </c>
      <c r="H1022" s="4">
        <v>12461768</v>
      </c>
      <c r="I1022" s="4">
        <v>12832766</v>
      </c>
      <c r="J1022" s="16">
        <f t="shared" si="30"/>
        <v>-4.104255743367069E-2</v>
      </c>
      <c r="K1022" s="16">
        <f t="shared" si="31"/>
        <v>2.9770896071889652E-2</v>
      </c>
    </row>
    <row r="1023" spans="1:11" ht="19.5" customHeight="1" x14ac:dyDescent="0.25">
      <c r="A1023" s="2" t="s">
        <v>2439</v>
      </c>
      <c r="B1023" s="2" t="s">
        <v>54</v>
      </c>
      <c r="C1023" s="2" t="s">
        <v>54</v>
      </c>
      <c r="D1023" s="2" t="s">
        <v>2606</v>
      </c>
      <c r="E1023" s="2" t="s">
        <v>2607</v>
      </c>
      <c r="F1023" s="3">
        <v>43350201.850000001</v>
      </c>
      <c r="G1023" s="3">
        <v>37119931</v>
      </c>
      <c r="H1023" s="4">
        <v>39975628</v>
      </c>
      <c r="I1023" s="4">
        <v>38975628</v>
      </c>
      <c r="J1023" s="16">
        <f t="shared" si="30"/>
        <v>7.6931635460206094E-2</v>
      </c>
      <c r="K1023" s="16">
        <f t="shared" si="31"/>
        <v>-2.5015241786820686E-2</v>
      </c>
    </row>
    <row r="1024" spans="1:11" ht="19.5" customHeight="1" x14ac:dyDescent="0.25">
      <c r="A1024" s="2" t="s">
        <v>2439</v>
      </c>
      <c r="B1024" s="2" t="s">
        <v>54</v>
      </c>
      <c r="C1024" s="2" t="s">
        <v>54</v>
      </c>
      <c r="D1024" s="2" t="s">
        <v>2608</v>
      </c>
      <c r="E1024" s="2" t="s">
        <v>2609</v>
      </c>
      <c r="F1024" s="3">
        <v>41326226.32</v>
      </c>
      <c r="G1024" s="3">
        <v>38750000</v>
      </c>
      <c r="H1024" s="4">
        <v>43530000</v>
      </c>
      <c r="I1024" s="4">
        <v>43500000</v>
      </c>
      <c r="J1024" s="16">
        <f t="shared" si="30"/>
        <v>0.12335483870967745</v>
      </c>
      <c r="K1024" s="16">
        <f t="shared" si="31"/>
        <v>-6.8917987594763197E-4</v>
      </c>
    </row>
    <row r="1025" spans="1:11" ht="19.5" customHeight="1" x14ac:dyDescent="0.25">
      <c r="A1025" s="2" t="s">
        <v>2439</v>
      </c>
      <c r="B1025" s="2" t="s">
        <v>227</v>
      </c>
      <c r="C1025" s="2" t="s">
        <v>2610</v>
      </c>
      <c r="D1025" s="2" t="s">
        <v>2611</v>
      </c>
      <c r="E1025" s="2" t="s">
        <v>2612</v>
      </c>
      <c r="F1025" s="3">
        <v>0</v>
      </c>
      <c r="G1025" s="3">
        <v>0</v>
      </c>
      <c r="H1025" s="4">
        <v>500000</v>
      </c>
      <c r="I1025" s="4">
        <v>500000</v>
      </c>
      <c r="J1025" s="16" t="str">
        <f t="shared" si="30"/>
        <v>--</v>
      </c>
      <c r="K1025" s="16">
        <f t="shared" si="31"/>
        <v>0</v>
      </c>
    </row>
    <row r="1026" spans="1:11" ht="19.5" customHeight="1" x14ac:dyDescent="0.25">
      <c r="A1026" s="2" t="s">
        <v>2439</v>
      </c>
      <c r="B1026" s="2" t="s">
        <v>243</v>
      </c>
      <c r="C1026" s="2" t="s">
        <v>2613</v>
      </c>
      <c r="D1026" s="2" t="s">
        <v>2614</v>
      </c>
      <c r="E1026" s="2" t="s">
        <v>2615</v>
      </c>
      <c r="F1026" s="4">
        <v>1649755.11</v>
      </c>
      <c r="G1026" s="3">
        <v>5000000</v>
      </c>
      <c r="H1026" s="4">
        <v>2000000</v>
      </c>
      <c r="I1026" s="4">
        <v>2000000</v>
      </c>
      <c r="J1026" s="16">
        <f t="shared" si="30"/>
        <v>-0.6</v>
      </c>
      <c r="K1026" s="16">
        <f t="shared" si="31"/>
        <v>0</v>
      </c>
    </row>
    <row r="1027" spans="1:11" ht="19.5" customHeight="1" x14ac:dyDescent="0.25">
      <c r="A1027" s="2" t="s">
        <v>2616</v>
      </c>
      <c r="B1027" s="2" t="s">
        <v>16</v>
      </c>
      <c r="C1027" s="2" t="s">
        <v>2617</v>
      </c>
      <c r="D1027" s="2" t="s">
        <v>2618</v>
      </c>
      <c r="E1027" s="2" t="s">
        <v>2619</v>
      </c>
      <c r="F1027" s="3">
        <v>135435.53</v>
      </c>
      <c r="G1027" s="3">
        <v>150000</v>
      </c>
      <c r="H1027" s="4">
        <v>150000</v>
      </c>
      <c r="I1027" s="4">
        <v>150000</v>
      </c>
      <c r="J1027" s="16">
        <f t="shared" ref="J1027:J1090" si="32">IFERROR(H1027/G1027-1,"--")</f>
        <v>0</v>
      </c>
      <c r="K1027" s="16">
        <f t="shared" ref="K1027:K1090" si="33">IFERROR(I1027/H1027-1,"--")</f>
        <v>0</v>
      </c>
    </row>
    <row r="1028" spans="1:11" ht="19.5" customHeight="1" x14ac:dyDescent="0.25">
      <c r="A1028" s="2" t="s">
        <v>2616</v>
      </c>
      <c r="B1028" s="2" t="s">
        <v>16</v>
      </c>
      <c r="C1028" s="2" t="s">
        <v>2620</v>
      </c>
      <c r="D1028" s="2" t="s">
        <v>2621</v>
      </c>
      <c r="E1028" s="2" t="s">
        <v>2622</v>
      </c>
      <c r="F1028" s="3">
        <v>5397.7</v>
      </c>
      <c r="G1028" s="3">
        <v>10000</v>
      </c>
      <c r="H1028" s="4">
        <v>10000</v>
      </c>
      <c r="I1028" s="4">
        <v>10000</v>
      </c>
      <c r="J1028" s="16">
        <f t="shared" si="32"/>
        <v>0</v>
      </c>
      <c r="K1028" s="16">
        <f t="shared" si="33"/>
        <v>0</v>
      </c>
    </row>
    <row r="1029" spans="1:11" ht="19.5" customHeight="1" x14ac:dyDescent="0.25">
      <c r="A1029" s="2" t="s">
        <v>2616</v>
      </c>
      <c r="B1029" s="2" t="s">
        <v>54</v>
      </c>
      <c r="C1029" s="2" t="s">
        <v>54</v>
      </c>
      <c r="D1029" s="2" t="s">
        <v>2623</v>
      </c>
      <c r="E1029" s="2" t="s">
        <v>2624</v>
      </c>
      <c r="F1029" s="3">
        <v>541318.01</v>
      </c>
      <c r="G1029" s="3">
        <v>625000</v>
      </c>
      <c r="H1029" s="4">
        <v>625000</v>
      </c>
      <c r="I1029" s="4">
        <v>625000</v>
      </c>
      <c r="J1029" s="16">
        <f t="shared" si="32"/>
        <v>0</v>
      </c>
      <c r="K1029" s="16">
        <f t="shared" si="33"/>
        <v>0</v>
      </c>
    </row>
    <row r="1030" spans="1:11" ht="19.5" customHeight="1" x14ac:dyDescent="0.25">
      <c r="A1030" s="2" t="s">
        <v>2625</v>
      </c>
      <c r="B1030" s="2" t="s">
        <v>54</v>
      </c>
      <c r="C1030" s="2" t="s">
        <v>54</v>
      </c>
      <c r="D1030" s="2" t="s">
        <v>2626</v>
      </c>
      <c r="E1030" s="2" t="s">
        <v>22</v>
      </c>
      <c r="F1030" s="3">
        <v>4774</v>
      </c>
      <c r="G1030" s="3">
        <v>550000</v>
      </c>
      <c r="H1030" s="4">
        <v>371848</v>
      </c>
      <c r="I1030" s="4">
        <v>575083</v>
      </c>
      <c r="J1030" s="16">
        <f t="shared" si="32"/>
        <v>-0.32391272727272724</v>
      </c>
      <c r="K1030" s="16">
        <f t="shared" si="33"/>
        <v>0.54655396828811775</v>
      </c>
    </row>
    <row r="1031" spans="1:11" ht="19.5" customHeight="1" x14ac:dyDescent="0.25">
      <c r="A1031" s="2" t="s">
        <v>2627</v>
      </c>
      <c r="B1031" s="2" t="s">
        <v>16</v>
      </c>
      <c r="C1031" s="2" t="s">
        <v>2628</v>
      </c>
      <c r="D1031" s="2" t="s">
        <v>2629</v>
      </c>
      <c r="E1031" s="2" t="s">
        <v>2630</v>
      </c>
      <c r="F1031" s="3">
        <v>9941502.4000000004</v>
      </c>
      <c r="G1031" s="3">
        <v>10924650</v>
      </c>
      <c r="H1031" s="4">
        <v>11015310</v>
      </c>
      <c r="I1031" s="4">
        <v>10979027</v>
      </c>
      <c r="J1031" s="16">
        <f t="shared" si="32"/>
        <v>8.2986640304265613E-3</v>
      </c>
      <c r="K1031" s="16">
        <f t="shared" si="33"/>
        <v>-3.2938700771925067E-3</v>
      </c>
    </row>
    <row r="1032" spans="1:11" ht="19.5" customHeight="1" x14ac:dyDescent="0.25">
      <c r="A1032" s="2" t="s">
        <v>2627</v>
      </c>
      <c r="B1032" s="2" t="s">
        <v>16</v>
      </c>
      <c r="C1032" s="2" t="s">
        <v>2631</v>
      </c>
      <c r="D1032" s="2" t="s">
        <v>2632</v>
      </c>
      <c r="E1032" s="2" t="s">
        <v>2633</v>
      </c>
      <c r="F1032" s="3">
        <v>7950</v>
      </c>
      <c r="G1032" s="3">
        <v>4261</v>
      </c>
      <c r="H1032" s="4">
        <v>7000</v>
      </c>
      <c r="I1032" s="4">
        <v>7000</v>
      </c>
      <c r="J1032" s="16">
        <f t="shared" si="32"/>
        <v>0.64280685285144323</v>
      </c>
      <c r="K1032" s="16">
        <f t="shared" si="33"/>
        <v>0</v>
      </c>
    </row>
    <row r="1033" spans="1:11" ht="19.5" customHeight="1" x14ac:dyDescent="0.25">
      <c r="A1033" s="2" t="s">
        <v>2627</v>
      </c>
      <c r="B1033" s="2" t="s">
        <v>16</v>
      </c>
      <c r="C1033" s="2" t="s">
        <v>2634</v>
      </c>
      <c r="D1033" s="2" t="s">
        <v>2635</v>
      </c>
      <c r="E1033" s="2" t="s">
        <v>2636</v>
      </c>
      <c r="F1033" s="3">
        <v>284012.39</v>
      </c>
      <c r="G1033" s="3">
        <v>350000</v>
      </c>
      <c r="H1033" s="4">
        <v>350000</v>
      </c>
      <c r="I1033" s="4">
        <v>350000</v>
      </c>
      <c r="J1033" s="16">
        <f t="shared" si="32"/>
        <v>0</v>
      </c>
      <c r="K1033" s="16">
        <f t="shared" si="33"/>
        <v>0</v>
      </c>
    </row>
    <row r="1034" spans="1:11" ht="19.5" customHeight="1" x14ac:dyDescent="0.25">
      <c r="A1034" s="2" t="s">
        <v>2627</v>
      </c>
      <c r="B1034" s="2" t="s">
        <v>16</v>
      </c>
      <c r="C1034" s="2" t="s">
        <v>2637</v>
      </c>
      <c r="D1034" s="2" t="s">
        <v>2638</v>
      </c>
      <c r="E1034" s="2" t="s">
        <v>2639</v>
      </c>
      <c r="F1034" s="3">
        <v>0</v>
      </c>
      <c r="G1034" s="3">
        <v>8224</v>
      </c>
      <c r="H1034" s="4">
        <v>5000</v>
      </c>
      <c r="I1034" s="4">
        <v>5000</v>
      </c>
      <c r="J1034" s="16">
        <f t="shared" si="32"/>
        <v>-0.392023346303502</v>
      </c>
      <c r="K1034" s="16">
        <f t="shared" si="33"/>
        <v>0</v>
      </c>
    </row>
    <row r="1035" spans="1:11" ht="19.5" customHeight="1" x14ac:dyDescent="0.25">
      <c r="A1035" s="2" t="s">
        <v>2627</v>
      </c>
      <c r="B1035" s="2" t="s">
        <v>16</v>
      </c>
      <c r="C1035" s="2" t="s">
        <v>2640</v>
      </c>
      <c r="D1035" s="2" t="s">
        <v>2641</v>
      </c>
      <c r="E1035" s="2" t="s">
        <v>2642</v>
      </c>
      <c r="F1035" s="3">
        <v>134475.21</v>
      </c>
      <c r="G1035" s="3">
        <v>151000</v>
      </c>
      <c r="H1035" s="4">
        <v>105000</v>
      </c>
      <c r="I1035" s="4">
        <v>105000</v>
      </c>
      <c r="J1035" s="16">
        <f t="shared" si="32"/>
        <v>-0.30463576158940397</v>
      </c>
      <c r="K1035" s="16">
        <f t="shared" si="33"/>
        <v>0</v>
      </c>
    </row>
    <row r="1036" spans="1:11" ht="19.5" customHeight="1" x14ac:dyDescent="0.25">
      <c r="A1036" s="2" t="s">
        <v>2627</v>
      </c>
      <c r="B1036" s="2" t="s">
        <v>16</v>
      </c>
      <c r="C1036" s="2" t="s">
        <v>2643</v>
      </c>
      <c r="D1036" s="2" t="s">
        <v>2644</v>
      </c>
      <c r="E1036" s="2" t="s">
        <v>2645</v>
      </c>
      <c r="F1036" s="3">
        <v>23227.37</v>
      </c>
      <c r="G1036" s="3">
        <v>0</v>
      </c>
      <c r="H1036" s="4">
        <v>0</v>
      </c>
      <c r="I1036" s="4">
        <v>0</v>
      </c>
      <c r="J1036" s="16" t="str">
        <f t="shared" si="32"/>
        <v>--</v>
      </c>
      <c r="K1036" s="16" t="str">
        <f t="shared" si="33"/>
        <v>--</v>
      </c>
    </row>
    <row r="1037" spans="1:11" ht="19.5" customHeight="1" x14ac:dyDescent="0.25">
      <c r="A1037" s="2" t="s">
        <v>2627</v>
      </c>
      <c r="B1037" s="2" t="s">
        <v>44</v>
      </c>
      <c r="C1037" s="2" t="s">
        <v>2646</v>
      </c>
      <c r="D1037" s="2" t="s">
        <v>2647</v>
      </c>
      <c r="E1037" s="2" t="s">
        <v>1819</v>
      </c>
      <c r="F1037" s="3">
        <v>1639208.26</v>
      </c>
      <c r="G1037" s="3">
        <v>2260715</v>
      </c>
      <c r="H1037" s="4">
        <v>1155203</v>
      </c>
      <c r="I1037" s="4">
        <v>1026530</v>
      </c>
      <c r="J1037" s="16">
        <f t="shared" si="32"/>
        <v>-0.48900989288786956</v>
      </c>
      <c r="K1037" s="16">
        <f t="shared" si="33"/>
        <v>-0.11138561793901158</v>
      </c>
    </row>
    <row r="1038" spans="1:11" ht="19.5" customHeight="1" x14ac:dyDescent="0.25">
      <c r="A1038" s="2" t="s">
        <v>2627</v>
      </c>
      <c r="B1038" s="2" t="s">
        <v>887</v>
      </c>
      <c r="C1038" s="2" t="s">
        <v>2648</v>
      </c>
      <c r="D1038" s="2" t="s">
        <v>2649</v>
      </c>
      <c r="E1038" s="2" t="s">
        <v>2650</v>
      </c>
      <c r="F1038" s="3">
        <v>220799.54</v>
      </c>
      <c r="G1038" s="3">
        <v>313500</v>
      </c>
      <c r="H1038" s="4">
        <v>308000</v>
      </c>
      <c r="I1038" s="4">
        <v>323500</v>
      </c>
      <c r="J1038" s="16">
        <f t="shared" si="32"/>
        <v>-1.7543859649122862E-2</v>
      </c>
      <c r="K1038" s="16">
        <f t="shared" si="33"/>
        <v>5.0324675324675328E-2</v>
      </c>
    </row>
    <row r="1039" spans="1:11" ht="19.5" customHeight="1" x14ac:dyDescent="0.25">
      <c r="A1039" s="2" t="s">
        <v>2627</v>
      </c>
      <c r="B1039" s="2" t="s">
        <v>54</v>
      </c>
      <c r="C1039" s="2" t="s">
        <v>54</v>
      </c>
      <c r="D1039" s="2" t="s">
        <v>2651</v>
      </c>
      <c r="E1039" s="2" t="s">
        <v>2652</v>
      </c>
      <c r="F1039" s="3">
        <v>177767679.69999999</v>
      </c>
      <c r="G1039" s="3">
        <v>183018785</v>
      </c>
      <c r="H1039" s="4">
        <v>185879257</v>
      </c>
      <c r="I1039" s="4">
        <v>190389942</v>
      </c>
      <c r="J1039" s="16">
        <f t="shared" si="32"/>
        <v>1.5629390174347391E-2</v>
      </c>
      <c r="K1039" s="16">
        <f t="shared" si="33"/>
        <v>2.4266747526325627E-2</v>
      </c>
    </row>
    <row r="1040" spans="1:11" ht="19.5" customHeight="1" x14ac:dyDescent="0.25">
      <c r="A1040" s="2" t="s">
        <v>2627</v>
      </c>
      <c r="B1040" s="2" t="s">
        <v>54</v>
      </c>
      <c r="C1040" s="2" t="s">
        <v>54</v>
      </c>
      <c r="D1040" s="2" t="s">
        <v>2653</v>
      </c>
      <c r="E1040" s="2" t="s">
        <v>2654</v>
      </c>
      <c r="F1040" s="3">
        <v>457134.02</v>
      </c>
      <c r="G1040" s="3">
        <v>614970</v>
      </c>
      <c r="H1040" s="4">
        <v>1346891</v>
      </c>
      <c r="I1040" s="4">
        <v>1438123</v>
      </c>
      <c r="J1040" s="16">
        <f t="shared" si="32"/>
        <v>1.1901735043985884</v>
      </c>
      <c r="K1040" s="16">
        <f t="shared" si="33"/>
        <v>6.7735251033676835E-2</v>
      </c>
    </row>
    <row r="1041" spans="1:11" ht="19.5" customHeight="1" x14ac:dyDescent="0.25">
      <c r="A1041" s="2" t="s">
        <v>2627</v>
      </c>
      <c r="B1041" s="2" t="s">
        <v>54</v>
      </c>
      <c r="C1041" s="2" t="s">
        <v>54</v>
      </c>
      <c r="D1041" s="2" t="s">
        <v>2655</v>
      </c>
      <c r="E1041" s="2" t="s">
        <v>202</v>
      </c>
      <c r="F1041" s="3">
        <v>200000</v>
      </c>
      <c r="G1041" s="3">
        <v>200000</v>
      </c>
      <c r="H1041" s="4">
        <v>350000</v>
      </c>
      <c r="I1041" s="4">
        <v>350000</v>
      </c>
      <c r="J1041" s="16">
        <f t="shared" si="32"/>
        <v>0.75</v>
      </c>
      <c r="K1041" s="16">
        <f t="shared" si="33"/>
        <v>0</v>
      </c>
    </row>
    <row r="1042" spans="1:11" ht="19.5" customHeight="1" x14ac:dyDescent="0.25">
      <c r="A1042" s="2" t="s">
        <v>2627</v>
      </c>
      <c r="B1042" s="2" t="s">
        <v>54</v>
      </c>
      <c r="C1042" s="2" t="s">
        <v>54</v>
      </c>
      <c r="D1042" s="2" t="s">
        <v>2656</v>
      </c>
      <c r="E1042" s="2" t="s">
        <v>2657</v>
      </c>
      <c r="F1042" s="3">
        <v>4702950.45</v>
      </c>
      <c r="G1042" s="3">
        <v>5435625</v>
      </c>
      <c r="H1042" s="4">
        <v>3829540</v>
      </c>
      <c r="I1042" s="4">
        <v>3843940</v>
      </c>
      <c r="J1042" s="16">
        <f t="shared" si="32"/>
        <v>-0.29547384155455902</v>
      </c>
      <c r="K1042" s="16">
        <f t="shared" si="33"/>
        <v>3.7602427445593278E-3</v>
      </c>
    </row>
    <row r="1043" spans="1:11" ht="19.5" customHeight="1" x14ac:dyDescent="0.25">
      <c r="A1043" s="2" t="s">
        <v>2658</v>
      </c>
      <c r="B1043" s="2" t="s">
        <v>16</v>
      </c>
      <c r="C1043" s="2" t="s">
        <v>762</v>
      </c>
      <c r="D1043" s="2" t="s">
        <v>2659</v>
      </c>
      <c r="E1043" s="2" t="s">
        <v>2660</v>
      </c>
      <c r="F1043" s="3">
        <v>769868.46</v>
      </c>
      <c r="G1043" s="3">
        <v>905914</v>
      </c>
      <c r="H1043" s="4">
        <v>1031108</v>
      </c>
      <c r="I1043" s="4">
        <v>1036458</v>
      </c>
      <c r="J1043" s="16">
        <f t="shared" si="32"/>
        <v>0.13819634093302446</v>
      </c>
      <c r="K1043" s="16">
        <f t="shared" si="33"/>
        <v>5.1885932414450497E-3</v>
      </c>
    </row>
    <row r="1044" spans="1:11" ht="19.5" customHeight="1" x14ac:dyDescent="0.25">
      <c r="A1044" s="2" t="s">
        <v>2661</v>
      </c>
      <c r="B1044" s="2" t="s">
        <v>16</v>
      </c>
      <c r="C1044" s="2" t="s">
        <v>2662</v>
      </c>
      <c r="D1044" s="2" t="s">
        <v>2663</v>
      </c>
      <c r="E1044" s="2" t="s">
        <v>2664</v>
      </c>
      <c r="F1044" s="3">
        <v>514317.2</v>
      </c>
      <c r="G1044" s="3">
        <v>453000</v>
      </c>
      <c r="H1044" s="4">
        <v>699000</v>
      </c>
      <c r="I1044" s="4">
        <v>699000</v>
      </c>
      <c r="J1044" s="16">
        <f t="shared" si="32"/>
        <v>0.54304635761589415</v>
      </c>
      <c r="K1044" s="16">
        <f t="shared" si="33"/>
        <v>0</v>
      </c>
    </row>
    <row r="1045" spans="1:11" ht="19.5" customHeight="1" x14ac:dyDescent="0.25">
      <c r="A1045" s="2" t="s">
        <v>2661</v>
      </c>
      <c r="B1045" s="2" t="s">
        <v>16</v>
      </c>
      <c r="C1045" s="2" t="s">
        <v>343</v>
      </c>
      <c r="D1045" s="2" t="s">
        <v>2665</v>
      </c>
      <c r="E1045" s="2" t="s">
        <v>345</v>
      </c>
      <c r="F1045" s="3">
        <v>0</v>
      </c>
      <c r="G1045" s="3">
        <v>0</v>
      </c>
      <c r="H1045" s="4">
        <v>125000</v>
      </c>
      <c r="I1045" s="4">
        <v>125000</v>
      </c>
      <c r="J1045" s="16" t="str">
        <f t="shared" si="32"/>
        <v>--</v>
      </c>
      <c r="K1045" s="16">
        <f t="shared" si="33"/>
        <v>0</v>
      </c>
    </row>
    <row r="1046" spans="1:11" ht="19.5" customHeight="1" x14ac:dyDescent="0.25">
      <c r="A1046" s="2" t="s">
        <v>2661</v>
      </c>
      <c r="B1046" s="2" t="s">
        <v>44</v>
      </c>
      <c r="C1046" s="2" t="s">
        <v>2666</v>
      </c>
      <c r="D1046" s="2" t="s">
        <v>2667</v>
      </c>
      <c r="E1046" s="2" t="s">
        <v>2668</v>
      </c>
      <c r="F1046" s="3">
        <v>848721.46</v>
      </c>
      <c r="G1046" s="3">
        <v>380000</v>
      </c>
      <c r="H1046" s="4">
        <v>50000</v>
      </c>
      <c r="I1046" s="4">
        <v>50000</v>
      </c>
      <c r="J1046" s="16">
        <f t="shared" si="32"/>
        <v>-0.86842105263157898</v>
      </c>
      <c r="K1046" s="16">
        <f t="shared" si="33"/>
        <v>0</v>
      </c>
    </row>
    <row r="1047" spans="1:11" ht="19.5" customHeight="1" x14ac:dyDescent="0.25">
      <c r="A1047" s="2" t="s">
        <v>2669</v>
      </c>
      <c r="B1047" s="2" t="s">
        <v>16</v>
      </c>
      <c r="C1047" s="2" t="s">
        <v>2670</v>
      </c>
      <c r="D1047" s="2" t="s">
        <v>2671</v>
      </c>
      <c r="E1047" s="2" t="s">
        <v>2672</v>
      </c>
      <c r="F1047" s="3">
        <v>3546321.68</v>
      </c>
      <c r="G1047" s="3">
        <v>4202887</v>
      </c>
      <c r="H1047" s="4">
        <v>4252887</v>
      </c>
      <c r="I1047" s="4">
        <v>4252887</v>
      </c>
      <c r="J1047" s="16">
        <f t="shared" si="32"/>
        <v>1.1896584419233802E-2</v>
      </c>
      <c r="K1047" s="16">
        <f t="shared" si="33"/>
        <v>0</v>
      </c>
    </row>
    <row r="1048" spans="1:11" ht="19.5" customHeight="1" x14ac:dyDescent="0.25">
      <c r="A1048" s="2" t="s">
        <v>2669</v>
      </c>
      <c r="B1048" s="2" t="s">
        <v>16</v>
      </c>
      <c r="C1048" s="2" t="s">
        <v>2673</v>
      </c>
      <c r="D1048" s="2" t="s">
        <v>2674</v>
      </c>
      <c r="E1048" s="2" t="s">
        <v>2675</v>
      </c>
      <c r="F1048" s="3">
        <v>4977199.1399999997</v>
      </c>
      <c r="G1048" s="3">
        <v>5696898</v>
      </c>
      <c r="H1048" s="4">
        <v>5696898</v>
      </c>
      <c r="I1048" s="4">
        <v>5698898</v>
      </c>
      <c r="J1048" s="16">
        <f t="shared" si="32"/>
        <v>0</v>
      </c>
      <c r="K1048" s="16">
        <f t="shared" si="33"/>
        <v>3.5106824801856007E-4</v>
      </c>
    </row>
    <row r="1049" spans="1:11" ht="19.5" customHeight="1" x14ac:dyDescent="0.25">
      <c r="A1049" s="2" t="s">
        <v>2669</v>
      </c>
      <c r="B1049" s="2" t="s">
        <v>16</v>
      </c>
      <c r="C1049" s="2" t="s">
        <v>2676</v>
      </c>
      <c r="D1049" s="2" t="s">
        <v>2677</v>
      </c>
      <c r="E1049" s="2" t="s">
        <v>2678</v>
      </c>
      <c r="F1049" s="3">
        <v>1274194</v>
      </c>
      <c r="G1049" s="3">
        <v>1274194</v>
      </c>
      <c r="H1049" s="4">
        <v>1274194</v>
      </c>
      <c r="I1049" s="4">
        <v>1274194</v>
      </c>
      <c r="J1049" s="16">
        <f t="shared" si="32"/>
        <v>0</v>
      </c>
      <c r="K1049" s="16">
        <f t="shared" si="33"/>
        <v>0</v>
      </c>
    </row>
    <row r="1050" spans="1:11" ht="19.5" customHeight="1" x14ac:dyDescent="0.25">
      <c r="A1050" s="2" t="s">
        <v>2669</v>
      </c>
      <c r="B1050" s="2" t="s">
        <v>44</v>
      </c>
      <c r="C1050" s="2" t="s">
        <v>2679</v>
      </c>
      <c r="D1050" s="2" t="s">
        <v>2680</v>
      </c>
      <c r="E1050" s="2" t="s">
        <v>2681</v>
      </c>
      <c r="F1050" s="3">
        <v>5186825.51</v>
      </c>
      <c r="G1050" s="4">
        <v>6422565</v>
      </c>
      <c r="H1050" s="4">
        <v>5366565</v>
      </c>
      <c r="I1050" s="4">
        <v>5366565</v>
      </c>
      <c r="J1050" s="16">
        <f t="shared" si="32"/>
        <v>-0.16442029002431269</v>
      </c>
      <c r="K1050" s="16">
        <f t="shared" si="33"/>
        <v>0</v>
      </c>
    </row>
    <row r="1051" spans="1:11" ht="19.5" customHeight="1" x14ac:dyDescent="0.25">
      <c r="A1051" s="2" t="s">
        <v>2669</v>
      </c>
      <c r="B1051" s="2" t="s">
        <v>54</v>
      </c>
      <c r="C1051" s="2" t="s">
        <v>54</v>
      </c>
      <c r="D1051" s="2" t="s">
        <v>2682</v>
      </c>
      <c r="E1051" s="2" t="s">
        <v>22</v>
      </c>
      <c r="F1051" s="3">
        <v>4708060.5</v>
      </c>
      <c r="G1051" s="3">
        <v>4030746</v>
      </c>
      <c r="H1051" s="4">
        <v>4293122</v>
      </c>
      <c r="I1051" s="4">
        <v>4293122</v>
      </c>
      <c r="J1051" s="16">
        <f t="shared" si="32"/>
        <v>6.5093657600850952E-2</v>
      </c>
      <c r="K1051" s="16">
        <f t="shared" si="33"/>
        <v>0</v>
      </c>
    </row>
    <row r="1052" spans="1:11" ht="19.5" customHeight="1" x14ac:dyDescent="0.25">
      <c r="A1052" s="2" t="s">
        <v>2669</v>
      </c>
      <c r="B1052" s="2" t="s">
        <v>54</v>
      </c>
      <c r="C1052" s="2" t="s">
        <v>54</v>
      </c>
      <c r="D1052" s="2" t="s">
        <v>2683</v>
      </c>
      <c r="E1052" s="2" t="s">
        <v>2684</v>
      </c>
      <c r="F1052" s="3">
        <v>295114</v>
      </c>
      <c r="G1052" s="3">
        <v>300114</v>
      </c>
      <c r="H1052" s="4">
        <v>305000</v>
      </c>
      <c r="I1052" s="4">
        <v>305000</v>
      </c>
      <c r="J1052" s="16">
        <f t="shared" si="32"/>
        <v>1.6280480084234661E-2</v>
      </c>
      <c r="K1052" s="16">
        <f t="shared" si="33"/>
        <v>0</v>
      </c>
    </row>
    <row r="1053" spans="1:11" ht="19.5" customHeight="1" x14ac:dyDescent="0.25">
      <c r="A1053" s="6" t="s">
        <v>2669</v>
      </c>
      <c r="B1053" s="6" t="s">
        <v>54</v>
      </c>
      <c r="C1053" s="6" t="s">
        <v>54</v>
      </c>
      <c r="D1053" s="7" t="s">
        <v>2685</v>
      </c>
      <c r="E1053" s="6" t="s">
        <v>2488</v>
      </c>
      <c r="F1053" s="9">
        <v>0</v>
      </c>
      <c r="G1053" s="9">
        <v>0</v>
      </c>
      <c r="H1053" s="4">
        <v>0</v>
      </c>
      <c r="I1053" s="4">
        <v>0</v>
      </c>
      <c r="J1053" s="16" t="str">
        <f t="shared" si="32"/>
        <v>--</v>
      </c>
      <c r="K1053" s="16" t="str">
        <f t="shared" si="33"/>
        <v>--</v>
      </c>
    </row>
    <row r="1054" spans="1:11" ht="19.5" customHeight="1" x14ac:dyDescent="0.25">
      <c r="A1054" s="2" t="s">
        <v>2669</v>
      </c>
      <c r="B1054" s="2" t="s">
        <v>54</v>
      </c>
      <c r="C1054" s="2" t="s">
        <v>54</v>
      </c>
      <c r="D1054" s="2" t="s">
        <v>2686</v>
      </c>
      <c r="E1054" s="2" t="s">
        <v>2687</v>
      </c>
      <c r="F1054" s="3">
        <v>492000</v>
      </c>
      <c r="G1054" s="3">
        <v>500000</v>
      </c>
      <c r="H1054" s="4">
        <v>480000</v>
      </c>
      <c r="I1054" s="4">
        <v>480000</v>
      </c>
      <c r="J1054" s="16">
        <f t="shared" si="32"/>
        <v>-4.0000000000000036E-2</v>
      </c>
      <c r="K1054" s="16">
        <f t="shared" si="33"/>
        <v>0</v>
      </c>
    </row>
    <row r="1055" spans="1:11" ht="19.5" customHeight="1" x14ac:dyDescent="0.25">
      <c r="A1055" s="2" t="s">
        <v>2669</v>
      </c>
      <c r="B1055" s="2" t="s">
        <v>243</v>
      </c>
      <c r="C1055" s="2" t="s">
        <v>2688</v>
      </c>
      <c r="D1055" s="2" t="s">
        <v>2689</v>
      </c>
      <c r="E1055" s="2" t="s">
        <v>2690</v>
      </c>
      <c r="F1055" s="4">
        <v>6990.07</v>
      </c>
      <c r="G1055" s="3">
        <v>2000</v>
      </c>
      <c r="H1055" s="4">
        <v>8000</v>
      </c>
      <c r="I1055" s="4">
        <v>8000</v>
      </c>
      <c r="J1055" s="16">
        <f t="shared" si="32"/>
        <v>3</v>
      </c>
      <c r="K1055" s="16">
        <f t="shared" si="33"/>
        <v>0</v>
      </c>
    </row>
    <row r="1056" spans="1:11" ht="19.5" customHeight="1" x14ac:dyDescent="0.25">
      <c r="A1056" s="2" t="s">
        <v>2691</v>
      </c>
      <c r="B1056" s="2" t="s">
        <v>2152</v>
      </c>
      <c r="C1056" s="2" t="s">
        <v>2692</v>
      </c>
      <c r="D1056" s="2" t="s">
        <v>2693</v>
      </c>
      <c r="E1056" s="2" t="s">
        <v>22</v>
      </c>
      <c r="F1056" s="3">
        <v>49313419.619999997</v>
      </c>
      <c r="G1056" s="3">
        <v>56241063</v>
      </c>
      <c r="H1056" s="4">
        <v>57344482</v>
      </c>
      <c r="I1056" s="4">
        <v>58581656</v>
      </c>
      <c r="J1056" s="16">
        <f t="shared" si="32"/>
        <v>1.961945491677497E-2</v>
      </c>
      <c r="K1056" s="16">
        <f t="shared" si="33"/>
        <v>2.1574421057635407E-2</v>
      </c>
    </row>
    <row r="1057" spans="1:11" ht="19.5" customHeight="1" x14ac:dyDescent="0.25">
      <c r="A1057" s="2" t="s">
        <v>2691</v>
      </c>
      <c r="B1057" s="2" t="s">
        <v>2152</v>
      </c>
      <c r="C1057" s="2" t="s">
        <v>2692</v>
      </c>
      <c r="D1057" s="2" t="s">
        <v>2694</v>
      </c>
      <c r="E1057" s="2" t="s">
        <v>2695</v>
      </c>
      <c r="F1057" s="3">
        <v>25625728.59</v>
      </c>
      <c r="G1057" s="3">
        <v>26700000</v>
      </c>
      <c r="H1057" s="4">
        <v>27925000</v>
      </c>
      <c r="I1057" s="4">
        <v>27925000</v>
      </c>
      <c r="J1057" s="16">
        <f t="shared" si="32"/>
        <v>4.5880149812734139E-2</v>
      </c>
      <c r="K1057" s="16">
        <f t="shared" si="33"/>
        <v>0</v>
      </c>
    </row>
    <row r="1058" spans="1:11" ht="19.5" customHeight="1" x14ac:dyDescent="0.25">
      <c r="A1058" s="2" t="s">
        <v>2691</v>
      </c>
      <c r="B1058" s="2" t="s">
        <v>2152</v>
      </c>
      <c r="C1058" s="2" t="s">
        <v>2692</v>
      </c>
      <c r="D1058" s="2" t="s">
        <v>2696</v>
      </c>
      <c r="E1058" s="2" t="s">
        <v>2697</v>
      </c>
      <c r="F1058" s="3">
        <v>70245686.430000007</v>
      </c>
      <c r="G1058" s="3">
        <v>71239582</v>
      </c>
      <c r="H1058" s="4">
        <v>84082171</v>
      </c>
      <c r="I1058" s="4">
        <v>90357570</v>
      </c>
      <c r="J1058" s="16">
        <f t="shared" si="32"/>
        <v>0.18027322226567799</v>
      </c>
      <c r="K1058" s="16">
        <f t="shared" si="33"/>
        <v>7.4634121899635586E-2</v>
      </c>
    </row>
    <row r="1059" spans="1:11" ht="19.5" customHeight="1" x14ac:dyDescent="0.25">
      <c r="A1059" s="2" t="s">
        <v>2691</v>
      </c>
      <c r="B1059" s="2" t="s">
        <v>2152</v>
      </c>
      <c r="C1059" s="2" t="s">
        <v>2692</v>
      </c>
      <c r="D1059" s="2" t="s">
        <v>2698</v>
      </c>
      <c r="E1059" s="2" t="s">
        <v>2699</v>
      </c>
      <c r="F1059" s="3">
        <v>403100845.66000003</v>
      </c>
      <c r="G1059" s="4">
        <v>157390000</v>
      </c>
      <c r="H1059" s="4">
        <v>158700369</v>
      </c>
      <c r="I1059" s="4">
        <v>162809344</v>
      </c>
      <c r="J1059" s="16">
        <f t="shared" si="32"/>
        <v>8.3256178918609258E-3</v>
      </c>
      <c r="K1059" s="16">
        <f t="shared" si="33"/>
        <v>2.5891401676576997E-2</v>
      </c>
    </row>
    <row r="1060" spans="1:11" ht="19.5" customHeight="1" x14ac:dyDescent="0.25">
      <c r="A1060" s="2" t="s">
        <v>2691</v>
      </c>
      <c r="B1060" s="2" t="s">
        <v>2152</v>
      </c>
      <c r="C1060" s="2" t="s">
        <v>2692</v>
      </c>
      <c r="D1060" s="2" t="s">
        <v>2700</v>
      </c>
      <c r="E1060" s="2" t="s">
        <v>2701</v>
      </c>
      <c r="F1060" s="3">
        <v>3055118.79</v>
      </c>
      <c r="G1060" s="3">
        <v>3400000</v>
      </c>
      <c r="H1060" s="4">
        <v>4000000</v>
      </c>
      <c r="I1060" s="4">
        <v>4000000</v>
      </c>
      <c r="J1060" s="16">
        <f t="shared" si="32"/>
        <v>0.17647058823529416</v>
      </c>
      <c r="K1060" s="16">
        <f t="shared" si="33"/>
        <v>0</v>
      </c>
    </row>
    <row r="1061" spans="1:11" ht="19.5" customHeight="1" x14ac:dyDescent="0.25">
      <c r="A1061" s="2" t="s">
        <v>2691</v>
      </c>
      <c r="B1061" s="2" t="s">
        <v>2152</v>
      </c>
      <c r="C1061" s="2" t="s">
        <v>2702</v>
      </c>
      <c r="D1061" s="2" t="s">
        <v>2703</v>
      </c>
      <c r="E1061" s="2" t="s">
        <v>2704</v>
      </c>
      <c r="F1061" s="3">
        <v>57998216.909999996</v>
      </c>
      <c r="G1061" s="3">
        <v>52723717</v>
      </c>
      <c r="H1061" s="4">
        <v>56311050</v>
      </c>
      <c r="I1061" s="4">
        <v>58328775</v>
      </c>
      <c r="J1061" s="16">
        <f t="shared" si="32"/>
        <v>6.8040214236033458E-2</v>
      </c>
      <c r="K1061" s="16">
        <f t="shared" si="33"/>
        <v>3.5831777244430763E-2</v>
      </c>
    </row>
    <row r="1062" spans="1:11" ht="19.5" customHeight="1" x14ac:dyDescent="0.25">
      <c r="A1062" s="2" t="s">
        <v>2705</v>
      </c>
      <c r="B1062" s="2" t="s">
        <v>16</v>
      </c>
      <c r="C1062" s="2" t="s">
        <v>2706</v>
      </c>
      <c r="D1062" s="2" t="s">
        <v>2707</v>
      </c>
      <c r="E1062" s="2" t="s">
        <v>2708</v>
      </c>
      <c r="F1062" s="3">
        <v>10000</v>
      </c>
      <c r="G1062" s="3">
        <v>10000</v>
      </c>
      <c r="H1062" s="4">
        <v>10000</v>
      </c>
      <c r="I1062" s="4">
        <v>10000</v>
      </c>
      <c r="J1062" s="16">
        <f t="shared" si="32"/>
        <v>0</v>
      </c>
      <c r="K1062" s="16">
        <f t="shared" si="33"/>
        <v>0</v>
      </c>
    </row>
    <row r="1063" spans="1:11" ht="19.5" customHeight="1" x14ac:dyDescent="0.25">
      <c r="A1063" s="2" t="s">
        <v>2705</v>
      </c>
      <c r="B1063" s="2" t="s">
        <v>54</v>
      </c>
      <c r="C1063" s="2" t="s">
        <v>54</v>
      </c>
      <c r="D1063" s="2" t="s">
        <v>2709</v>
      </c>
      <c r="E1063" s="2" t="s">
        <v>22</v>
      </c>
      <c r="F1063" s="3">
        <v>16934342.109999999</v>
      </c>
      <c r="G1063" s="3">
        <v>21362380.129999999</v>
      </c>
      <c r="H1063" s="4">
        <v>21362380</v>
      </c>
      <c r="I1063" s="4">
        <v>21362380</v>
      </c>
      <c r="J1063" s="16">
        <f t="shared" si="32"/>
        <v>-6.085464132610241E-9</v>
      </c>
      <c r="K1063" s="16">
        <f t="shared" si="33"/>
        <v>0</v>
      </c>
    </row>
    <row r="1064" spans="1:11" ht="19.5" customHeight="1" x14ac:dyDescent="0.25">
      <c r="A1064" s="2" t="s">
        <v>2705</v>
      </c>
      <c r="B1064" s="2" t="s">
        <v>54</v>
      </c>
      <c r="C1064" s="2" t="s">
        <v>54</v>
      </c>
      <c r="D1064" s="2" t="s">
        <v>2710</v>
      </c>
      <c r="E1064" s="2" t="s">
        <v>2711</v>
      </c>
      <c r="F1064" s="3">
        <v>920805.47</v>
      </c>
      <c r="G1064" s="3">
        <v>1080000</v>
      </c>
      <c r="H1064" s="4">
        <v>1110000</v>
      </c>
      <c r="I1064" s="4">
        <v>1110000</v>
      </c>
      <c r="J1064" s="16">
        <f t="shared" si="32"/>
        <v>2.7777777777777679E-2</v>
      </c>
      <c r="K1064" s="16">
        <f t="shared" si="33"/>
        <v>0</v>
      </c>
    </row>
    <row r="1065" spans="1:11" ht="19.5" customHeight="1" x14ac:dyDescent="0.25">
      <c r="A1065" s="2" t="s">
        <v>2705</v>
      </c>
      <c r="B1065" s="2" t="s">
        <v>54</v>
      </c>
      <c r="C1065" s="2" t="s">
        <v>54</v>
      </c>
      <c r="D1065" s="2" t="s">
        <v>2712</v>
      </c>
      <c r="E1065" s="2" t="s">
        <v>2713</v>
      </c>
      <c r="F1065" s="3">
        <v>333678.63</v>
      </c>
      <c r="G1065" s="3">
        <v>447020</v>
      </c>
      <c r="H1065" s="4">
        <v>447020</v>
      </c>
      <c r="I1065" s="4">
        <v>447020</v>
      </c>
      <c r="J1065" s="16">
        <f t="shared" si="32"/>
        <v>0</v>
      </c>
      <c r="K1065" s="16">
        <f t="shared" si="33"/>
        <v>0</v>
      </c>
    </row>
    <row r="1066" spans="1:11" ht="19.5" customHeight="1" x14ac:dyDescent="0.25">
      <c r="A1066" s="2" t="s">
        <v>2705</v>
      </c>
      <c r="B1066" s="2" t="s">
        <v>54</v>
      </c>
      <c r="C1066" s="2" t="s">
        <v>54</v>
      </c>
      <c r="D1066" s="2" t="s">
        <v>2714</v>
      </c>
      <c r="E1066" s="2" t="s">
        <v>2715</v>
      </c>
      <c r="F1066" s="3">
        <v>362480.04</v>
      </c>
      <c r="G1066" s="3">
        <v>4837519.96</v>
      </c>
      <c r="H1066" s="4">
        <v>1000000</v>
      </c>
      <c r="I1066" s="4">
        <v>0</v>
      </c>
      <c r="J1066" s="16">
        <f t="shared" si="32"/>
        <v>-0.79328250668344524</v>
      </c>
      <c r="K1066" s="16">
        <f t="shared" si="33"/>
        <v>-1</v>
      </c>
    </row>
    <row r="1067" spans="1:11" ht="19.5" customHeight="1" x14ac:dyDescent="0.25">
      <c r="A1067" s="2" t="s">
        <v>2705</v>
      </c>
      <c r="B1067" s="2" t="s">
        <v>54</v>
      </c>
      <c r="C1067" s="2" t="s">
        <v>54</v>
      </c>
      <c r="D1067" s="2" t="s">
        <v>2716</v>
      </c>
      <c r="E1067" s="2" t="s">
        <v>2717</v>
      </c>
      <c r="F1067" s="3">
        <v>316000</v>
      </c>
      <c r="G1067" s="3">
        <v>600000</v>
      </c>
      <c r="H1067" s="4">
        <v>600000</v>
      </c>
      <c r="I1067" s="4">
        <v>600000</v>
      </c>
      <c r="J1067" s="16">
        <f t="shared" si="32"/>
        <v>0</v>
      </c>
      <c r="K1067" s="16">
        <f t="shared" si="33"/>
        <v>0</v>
      </c>
    </row>
    <row r="1068" spans="1:11" ht="19.5" customHeight="1" x14ac:dyDescent="0.25">
      <c r="A1068" s="2" t="s">
        <v>2705</v>
      </c>
      <c r="B1068" s="2" t="s">
        <v>54</v>
      </c>
      <c r="C1068" s="2" t="s">
        <v>54</v>
      </c>
      <c r="D1068" s="2" t="s">
        <v>2720</v>
      </c>
      <c r="E1068" s="2" t="s">
        <v>2721</v>
      </c>
      <c r="F1068" s="3">
        <v>7215516.6799999997</v>
      </c>
      <c r="G1068" s="3">
        <v>11033889.539999999</v>
      </c>
      <c r="H1068" s="4">
        <v>11003890</v>
      </c>
      <c r="I1068" s="4">
        <v>11003890</v>
      </c>
      <c r="J1068" s="16">
        <f t="shared" si="32"/>
        <v>-2.7188544793061986E-3</v>
      </c>
      <c r="K1068" s="16">
        <f t="shared" si="33"/>
        <v>0</v>
      </c>
    </row>
    <row r="1069" spans="1:11" ht="19.5" customHeight="1" x14ac:dyDescent="0.25">
      <c r="A1069" s="2" t="s">
        <v>2705</v>
      </c>
      <c r="B1069" s="2" t="s">
        <v>54</v>
      </c>
      <c r="C1069" s="2" t="s">
        <v>54</v>
      </c>
      <c r="D1069" s="8" t="s">
        <v>2718</v>
      </c>
      <c r="E1069" s="2" t="s">
        <v>2719</v>
      </c>
      <c r="F1069" s="4">
        <v>0</v>
      </c>
      <c r="G1069" s="3">
        <v>0</v>
      </c>
      <c r="H1069" s="4">
        <v>100000</v>
      </c>
      <c r="I1069" s="4">
        <v>0</v>
      </c>
      <c r="J1069" s="16" t="str">
        <f t="shared" si="32"/>
        <v>--</v>
      </c>
      <c r="K1069" s="16">
        <f t="shared" si="33"/>
        <v>-1</v>
      </c>
    </row>
    <row r="1070" spans="1:11" ht="19.5" customHeight="1" x14ac:dyDescent="0.25">
      <c r="A1070" s="2" t="s">
        <v>2705</v>
      </c>
      <c r="B1070" s="2" t="s">
        <v>54</v>
      </c>
      <c r="C1070" s="2" t="s">
        <v>54</v>
      </c>
      <c r="D1070" s="2" t="s">
        <v>2722</v>
      </c>
      <c r="E1070" s="2" t="s">
        <v>2723</v>
      </c>
      <c r="F1070" s="3">
        <v>156858.81</v>
      </c>
      <c r="G1070" s="3">
        <v>4073639.26</v>
      </c>
      <c r="H1070" s="4">
        <v>1000000</v>
      </c>
      <c r="I1070" s="4">
        <v>1000000</v>
      </c>
      <c r="J1070" s="16">
        <f t="shared" si="32"/>
        <v>-0.7545192550996771</v>
      </c>
      <c r="K1070" s="16">
        <f t="shared" si="33"/>
        <v>0</v>
      </c>
    </row>
    <row r="1071" spans="1:11" ht="19.5" customHeight="1" x14ac:dyDescent="0.25">
      <c r="A1071" s="2" t="s">
        <v>2724</v>
      </c>
      <c r="B1071" s="2" t="s">
        <v>16</v>
      </c>
      <c r="C1071" s="2" t="s">
        <v>2725</v>
      </c>
      <c r="D1071" s="2" t="s">
        <v>2726</v>
      </c>
      <c r="E1071" s="2" t="s">
        <v>2727</v>
      </c>
      <c r="F1071" s="3">
        <v>2372825.7000000002</v>
      </c>
      <c r="G1071" s="3">
        <v>5458467</v>
      </c>
      <c r="H1071" s="4">
        <v>7000000</v>
      </c>
      <c r="I1071" s="4">
        <v>7000000</v>
      </c>
      <c r="J1071" s="16">
        <f t="shared" si="32"/>
        <v>0.28241134369778176</v>
      </c>
      <c r="K1071" s="16">
        <f t="shared" si="33"/>
        <v>0</v>
      </c>
    </row>
    <row r="1072" spans="1:11" ht="19.5" customHeight="1" x14ac:dyDescent="0.25">
      <c r="A1072" s="2" t="s">
        <v>2724</v>
      </c>
      <c r="B1072" s="2" t="s">
        <v>16</v>
      </c>
      <c r="C1072" s="2" t="s">
        <v>2728</v>
      </c>
      <c r="D1072" s="2" t="s">
        <v>2729</v>
      </c>
      <c r="E1072" s="2" t="s">
        <v>2730</v>
      </c>
      <c r="F1072" s="3">
        <v>2701131</v>
      </c>
      <c r="G1072" s="3">
        <v>0</v>
      </c>
      <c r="H1072" s="4">
        <v>0</v>
      </c>
      <c r="I1072" s="4">
        <v>0</v>
      </c>
      <c r="J1072" s="16" t="str">
        <f t="shared" si="32"/>
        <v>--</v>
      </c>
      <c r="K1072" s="16" t="str">
        <f t="shared" si="33"/>
        <v>--</v>
      </c>
    </row>
    <row r="1073" spans="1:11" ht="19.5" customHeight="1" x14ac:dyDescent="0.25">
      <c r="A1073" s="2" t="s">
        <v>2724</v>
      </c>
      <c r="B1073" s="2" t="s">
        <v>16</v>
      </c>
      <c r="C1073" s="2" t="s">
        <v>2731</v>
      </c>
      <c r="D1073" s="2" t="s">
        <v>2732</v>
      </c>
      <c r="E1073" s="2" t="s">
        <v>2733</v>
      </c>
      <c r="F1073" s="3">
        <v>53434158.149999999</v>
      </c>
      <c r="G1073" s="3">
        <v>71052464</v>
      </c>
      <c r="H1073" s="4">
        <v>84195790</v>
      </c>
      <c r="I1073" s="4">
        <v>82970165</v>
      </c>
      <c r="J1073" s="16">
        <f t="shared" si="32"/>
        <v>0.18498057998382711</v>
      </c>
      <c r="K1073" s="16">
        <f t="shared" si="33"/>
        <v>-1.4556844231760291E-2</v>
      </c>
    </row>
    <row r="1074" spans="1:11" ht="19.5" customHeight="1" x14ac:dyDescent="0.25">
      <c r="A1074" s="2" t="s">
        <v>2724</v>
      </c>
      <c r="B1074" s="2" t="s">
        <v>16</v>
      </c>
      <c r="C1074" s="2" t="s">
        <v>2734</v>
      </c>
      <c r="D1074" s="2" t="s">
        <v>2735</v>
      </c>
      <c r="E1074" s="2" t="s">
        <v>2736</v>
      </c>
      <c r="F1074" s="4">
        <v>733137225.352</v>
      </c>
      <c r="G1074" s="3">
        <v>516994085</v>
      </c>
      <c r="H1074" s="4">
        <v>552500000</v>
      </c>
      <c r="I1074" s="4">
        <v>615150000</v>
      </c>
      <c r="J1074" s="16">
        <f t="shared" si="32"/>
        <v>6.8677603922683073E-2</v>
      </c>
      <c r="K1074" s="16">
        <f t="shared" si="33"/>
        <v>0.11339366515837113</v>
      </c>
    </row>
    <row r="1075" spans="1:11" ht="19.5" customHeight="1" x14ac:dyDescent="0.25">
      <c r="A1075" s="2" t="s">
        <v>2724</v>
      </c>
      <c r="B1075" s="2" t="s">
        <v>16</v>
      </c>
      <c r="C1075" s="2" t="s">
        <v>2734</v>
      </c>
      <c r="D1075" s="2" t="s">
        <v>2737</v>
      </c>
      <c r="E1075" s="2" t="s">
        <v>2738</v>
      </c>
      <c r="F1075" s="3">
        <v>28042641.02</v>
      </c>
      <c r="G1075" s="3">
        <v>44375000</v>
      </c>
      <c r="H1075" s="4">
        <v>98332700</v>
      </c>
      <c r="I1075" s="4">
        <v>80747100</v>
      </c>
      <c r="J1075" s="16">
        <f t="shared" si="32"/>
        <v>1.2159481690140845</v>
      </c>
      <c r="K1075" s="16">
        <f t="shared" si="33"/>
        <v>-0.17883776200592483</v>
      </c>
    </row>
    <row r="1076" spans="1:11" ht="19.5" customHeight="1" x14ac:dyDescent="0.25">
      <c r="A1076" s="2" t="s">
        <v>2724</v>
      </c>
      <c r="B1076" s="2" t="s">
        <v>16</v>
      </c>
      <c r="C1076" s="2" t="s">
        <v>2734</v>
      </c>
      <c r="D1076" s="2" t="s">
        <v>2739</v>
      </c>
      <c r="E1076" s="2" t="s">
        <v>2740</v>
      </c>
      <c r="F1076" s="3">
        <v>5838622.9800000004</v>
      </c>
      <c r="G1076" s="3">
        <v>12000000</v>
      </c>
      <c r="H1076" s="4">
        <v>16000000</v>
      </c>
      <c r="I1076" s="4">
        <v>16000000</v>
      </c>
      <c r="J1076" s="16">
        <f t="shared" si="32"/>
        <v>0.33333333333333326</v>
      </c>
      <c r="K1076" s="16">
        <f t="shared" si="33"/>
        <v>0</v>
      </c>
    </row>
    <row r="1077" spans="1:11" ht="19.5" customHeight="1" x14ac:dyDescent="0.25">
      <c r="A1077" s="2" t="s">
        <v>2724</v>
      </c>
      <c r="B1077" s="2" t="s">
        <v>16</v>
      </c>
      <c r="C1077" s="2" t="s">
        <v>2741</v>
      </c>
      <c r="D1077" s="2" t="s">
        <v>2742</v>
      </c>
      <c r="E1077" s="2" t="s">
        <v>2743</v>
      </c>
      <c r="F1077" s="3">
        <v>8837201.5999999996</v>
      </c>
      <c r="G1077" s="3">
        <v>12000000</v>
      </c>
      <c r="H1077" s="4">
        <v>12000000</v>
      </c>
      <c r="I1077" s="4">
        <v>12000000</v>
      </c>
      <c r="J1077" s="16">
        <f t="shared" si="32"/>
        <v>0</v>
      </c>
      <c r="K1077" s="16">
        <f t="shared" si="33"/>
        <v>0</v>
      </c>
    </row>
    <row r="1078" spans="1:11" ht="19.5" customHeight="1" x14ac:dyDescent="0.25">
      <c r="A1078" s="2" t="s">
        <v>2724</v>
      </c>
      <c r="B1078" s="2" t="s">
        <v>16</v>
      </c>
      <c r="C1078" s="2" t="s">
        <v>2744</v>
      </c>
      <c r="D1078" s="2" t="s">
        <v>2745</v>
      </c>
      <c r="E1078" s="2" t="s">
        <v>2746</v>
      </c>
      <c r="F1078" s="3">
        <v>822016218.11000001</v>
      </c>
      <c r="G1078" s="3">
        <v>1080868119</v>
      </c>
      <c r="H1078" s="4">
        <v>931200000</v>
      </c>
      <c r="I1078" s="4">
        <v>980800000</v>
      </c>
      <c r="J1078" s="16">
        <f t="shared" si="32"/>
        <v>-0.13847028732651523</v>
      </c>
      <c r="K1078" s="16">
        <f t="shared" si="33"/>
        <v>5.3264604810996596E-2</v>
      </c>
    </row>
    <row r="1079" spans="1:11" ht="19.5" customHeight="1" x14ac:dyDescent="0.25">
      <c r="A1079" s="2" t="s">
        <v>2724</v>
      </c>
      <c r="B1079" s="2" t="s">
        <v>16</v>
      </c>
      <c r="C1079" s="2" t="s">
        <v>2747</v>
      </c>
      <c r="D1079" s="2" t="s">
        <v>2748</v>
      </c>
      <c r="E1079" s="2" t="s">
        <v>2749</v>
      </c>
      <c r="F1079" s="3">
        <v>419721920.19</v>
      </c>
      <c r="G1079" s="3">
        <v>424877857</v>
      </c>
      <c r="H1079" s="4">
        <v>415000000</v>
      </c>
      <c r="I1079" s="4">
        <v>415000000</v>
      </c>
      <c r="J1079" s="16">
        <f t="shared" si="32"/>
        <v>-2.3248698036998472E-2</v>
      </c>
      <c r="K1079" s="16">
        <f t="shared" si="33"/>
        <v>0</v>
      </c>
    </row>
    <row r="1080" spans="1:11" ht="19.5" customHeight="1" x14ac:dyDescent="0.25">
      <c r="A1080" s="2" t="s">
        <v>2724</v>
      </c>
      <c r="B1080" s="2" t="s">
        <v>16</v>
      </c>
      <c r="C1080" s="2" t="s">
        <v>2750</v>
      </c>
      <c r="D1080" s="2" t="s">
        <v>2751</v>
      </c>
      <c r="E1080" s="2" t="s">
        <v>2752</v>
      </c>
      <c r="F1080" s="3">
        <v>0</v>
      </c>
      <c r="G1080" s="3">
        <v>0</v>
      </c>
      <c r="H1080" s="4">
        <v>900000000</v>
      </c>
      <c r="I1080" s="4">
        <v>300000000</v>
      </c>
      <c r="J1080" s="16" t="str">
        <f t="shared" si="32"/>
        <v>--</v>
      </c>
      <c r="K1080" s="16">
        <f t="shared" si="33"/>
        <v>-0.66666666666666674</v>
      </c>
    </row>
    <row r="1081" spans="1:11" ht="19.5" customHeight="1" x14ac:dyDescent="0.25">
      <c r="A1081" s="2" t="s">
        <v>2724</v>
      </c>
      <c r="B1081" s="2" t="s">
        <v>16</v>
      </c>
      <c r="C1081" s="2" t="s">
        <v>2753</v>
      </c>
      <c r="D1081" s="2" t="s">
        <v>2754</v>
      </c>
      <c r="E1081" s="2" t="s">
        <v>2755</v>
      </c>
      <c r="F1081" s="4">
        <v>834564060</v>
      </c>
      <c r="G1081" s="3">
        <v>966187400</v>
      </c>
      <c r="H1081" s="4">
        <v>991000000</v>
      </c>
      <c r="I1081" s="4">
        <v>951000000</v>
      </c>
      <c r="J1081" s="16">
        <f t="shared" si="32"/>
        <v>2.5680939329161268E-2</v>
      </c>
      <c r="K1081" s="16">
        <f t="shared" si="33"/>
        <v>-4.0363269424823378E-2</v>
      </c>
    </row>
    <row r="1082" spans="1:11" ht="19.5" customHeight="1" x14ac:dyDescent="0.25">
      <c r="A1082" s="2" t="s">
        <v>2724</v>
      </c>
      <c r="B1082" s="2" t="s">
        <v>16</v>
      </c>
      <c r="C1082" s="2" t="s">
        <v>2756</v>
      </c>
      <c r="D1082" s="8" t="s">
        <v>2757</v>
      </c>
      <c r="E1082" s="2" t="s">
        <v>2758</v>
      </c>
      <c r="F1082" s="3">
        <v>0</v>
      </c>
      <c r="G1082" s="3">
        <v>0</v>
      </c>
      <c r="H1082" s="4">
        <v>10500000</v>
      </c>
      <c r="I1082" s="4">
        <v>10500000</v>
      </c>
      <c r="J1082" s="16" t="str">
        <f t="shared" si="32"/>
        <v>--</v>
      </c>
      <c r="K1082" s="16">
        <f t="shared" si="33"/>
        <v>0</v>
      </c>
    </row>
    <row r="1083" spans="1:11" ht="19.5" customHeight="1" x14ac:dyDescent="0.25">
      <c r="A1083" s="2" t="s">
        <v>2724</v>
      </c>
      <c r="B1083" s="2" t="s">
        <v>16</v>
      </c>
      <c r="C1083" s="2" t="s">
        <v>2759</v>
      </c>
      <c r="D1083" s="2" t="s">
        <v>2760</v>
      </c>
      <c r="E1083" s="2" t="s">
        <v>2761</v>
      </c>
      <c r="F1083" s="3">
        <v>252049361.52000001</v>
      </c>
      <c r="G1083" s="3">
        <v>196735771</v>
      </c>
      <c r="H1083" s="4">
        <v>216671003</v>
      </c>
      <c r="I1083" s="4">
        <v>241843358</v>
      </c>
      <c r="J1083" s="16">
        <f t="shared" si="32"/>
        <v>0.10132998131793736</v>
      </c>
      <c r="K1083" s="16">
        <f t="shared" si="33"/>
        <v>0.11617777483588787</v>
      </c>
    </row>
    <row r="1084" spans="1:11" ht="19.5" customHeight="1" x14ac:dyDescent="0.25">
      <c r="A1084" s="2" t="s">
        <v>2724</v>
      </c>
      <c r="B1084" s="2" t="s">
        <v>44</v>
      </c>
      <c r="C1084" s="2" t="s">
        <v>2762</v>
      </c>
      <c r="D1084" s="2" t="s">
        <v>2763</v>
      </c>
      <c r="E1084" s="2" t="s">
        <v>2764</v>
      </c>
      <c r="F1084" s="3">
        <v>8799030.8800000008</v>
      </c>
      <c r="G1084" s="3">
        <v>15552893</v>
      </c>
      <c r="H1084" s="4">
        <v>10083900</v>
      </c>
      <c r="I1084" s="4">
        <v>9660200</v>
      </c>
      <c r="J1084" s="16">
        <f t="shared" si="32"/>
        <v>-0.35163830934862084</v>
      </c>
      <c r="K1084" s="16">
        <f t="shared" si="33"/>
        <v>-4.2017473398189176E-2</v>
      </c>
    </row>
    <row r="1085" spans="1:11" ht="19.5" customHeight="1" x14ac:dyDescent="0.25">
      <c r="A1085" s="2" t="s">
        <v>2724</v>
      </c>
      <c r="B1085" s="2" t="s">
        <v>44</v>
      </c>
      <c r="C1085" s="2" t="s">
        <v>2765</v>
      </c>
      <c r="D1085" s="2" t="s">
        <v>2766</v>
      </c>
      <c r="E1085" s="2" t="s">
        <v>2767</v>
      </c>
      <c r="F1085" s="3">
        <v>6599506394.6160002</v>
      </c>
      <c r="G1085" s="3">
        <v>9285724215</v>
      </c>
      <c r="H1085" s="4">
        <v>11004684967</v>
      </c>
      <c r="I1085" s="4">
        <v>8661585383</v>
      </c>
      <c r="J1085" s="16">
        <f t="shared" si="32"/>
        <v>0.18511865226658575</v>
      </c>
      <c r="K1085" s="16">
        <f t="shared" si="33"/>
        <v>-0.2129183698603192</v>
      </c>
    </row>
    <row r="1086" spans="1:11" ht="19.5" customHeight="1" x14ac:dyDescent="0.25">
      <c r="A1086" s="2" t="s">
        <v>2724</v>
      </c>
      <c r="B1086" s="2" t="s">
        <v>44</v>
      </c>
      <c r="C1086" s="2" t="s">
        <v>2765</v>
      </c>
      <c r="D1086" s="2" t="s">
        <v>2768</v>
      </c>
      <c r="E1086" s="2" t="s">
        <v>2525</v>
      </c>
      <c r="F1086" s="3">
        <v>322759916.66000003</v>
      </c>
      <c r="G1086" s="3">
        <v>407513907</v>
      </c>
      <c r="H1086" s="4">
        <v>543733300</v>
      </c>
      <c r="I1086" s="4">
        <v>509264400</v>
      </c>
      <c r="J1086" s="16">
        <f t="shared" si="32"/>
        <v>0.33426931120659886</v>
      </c>
      <c r="K1086" s="16">
        <f t="shared" si="33"/>
        <v>-6.3393027427233184E-2</v>
      </c>
    </row>
    <row r="1087" spans="1:11" ht="19.5" customHeight="1" x14ac:dyDescent="0.25">
      <c r="A1087" s="2" t="s">
        <v>2724</v>
      </c>
      <c r="B1087" s="2" t="s">
        <v>44</v>
      </c>
      <c r="C1087" s="2" t="s">
        <v>2769</v>
      </c>
      <c r="D1087" s="2" t="s">
        <v>2770</v>
      </c>
      <c r="E1087" s="2" t="s">
        <v>2771</v>
      </c>
      <c r="F1087" s="3">
        <v>83509.570000000007</v>
      </c>
      <c r="G1087" s="3">
        <v>1596559</v>
      </c>
      <c r="H1087" s="4">
        <v>3000000</v>
      </c>
      <c r="I1087" s="4">
        <v>3000000</v>
      </c>
      <c r="J1087" s="16">
        <f t="shared" si="32"/>
        <v>0.87904111279320096</v>
      </c>
      <c r="K1087" s="16">
        <f t="shared" si="33"/>
        <v>0</v>
      </c>
    </row>
    <row r="1088" spans="1:11" ht="19.5" customHeight="1" x14ac:dyDescent="0.25">
      <c r="A1088" s="2" t="s">
        <v>2724</v>
      </c>
      <c r="B1088" s="2" t="s">
        <v>44</v>
      </c>
      <c r="C1088" s="2" t="s">
        <v>2772</v>
      </c>
      <c r="D1088" s="2" t="s">
        <v>2773</v>
      </c>
      <c r="E1088" s="2" t="s">
        <v>2774</v>
      </c>
      <c r="F1088" s="3">
        <v>161870455.22999999</v>
      </c>
      <c r="G1088" s="3">
        <v>243701597</v>
      </c>
      <c r="H1088" s="4">
        <v>241692200</v>
      </c>
      <c r="I1088" s="4">
        <v>241692200</v>
      </c>
      <c r="J1088" s="16">
        <f t="shared" si="32"/>
        <v>-8.2453173255159218E-3</v>
      </c>
      <c r="K1088" s="16">
        <f t="shared" si="33"/>
        <v>0</v>
      </c>
    </row>
    <row r="1089" spans="1:11" ht="19.5" customHeight="1" x14ac:dyDescent="0.25">
      <c r="A1089" s="2" t="s">
        <v>2724</v>
      </c>
      <c r="B1089" s="2" t="s">
        <v>54</v>
      </c>
      <c r="C1089" s="2" t="s">
        <v>54</v>
      </c>
      <c r="D1089" s="2" t="s">
        <v>2775</v>
      </c>
      <c r="E1089" s="2" t="s">
        <v>1052</v>
      </c>
      <c r="F1089" s="3">
        <v>149748742.28</v>
      </c>
      <c r="G1089" s="3">
        <v>147571100</v>
      </c>
      <c r="H1089" s="4">
        <v>158301609</v>
      </c>
      <c r="I1089" s="4">
        <v>158837954</v>
      </c>
      <c r="J1089" s="16">
        <f t="shared" si="32"/>
        <v>7.2714162867932863E-2</v>
      </c>
      <c r="K1089" s="16">
        <f t="shared" si="33"/>
        <v>3.388120963445207E-3</v>
      </c>
    </row>
    <row r="1090" spans="1:11" ht="19.5" customHeight="1" x14ac:dyDescent="0.25">
      <c r="A1090" s="2" t="s">
        <v>2724</v>
      </c>
      <c r="B1090" s="2" t="s">
        <v>54</v>
      </c>
      <c r="C1090" s="2" t="s">
        <v>54</v>
      </c>
      <c r="D1090" s="2" t="s">
        <v>2776</v>
      </c>
      <c r="E1090" s="2" t="s">
        <v>2777</v>
      </c>
      <c r="F1090" s="3">
        <v>2500000</v>
      </c>
      <c r="G1090" s="3">
        <v>2500000</v>
      </c>
      <c r="H1090" s="4">
        <v>2500000</v>
      </c>
      <c r="I1090" s="4">
        <v>0</v>
      </c>
      <c r="J1090" s="16">
        <f t="shared" si="32"/>
        <v>0</v>
      </c>
      <c r="K1090" s="16">
        <f t="shared" si="33"/>
        <v>-1</v>
      </c>
    </row>
    <row r="1091" spans="1:11" ht="19.5" customHeight="1" x14ac:dyDescent="0.25">
      <c r="A1091" s="2" t="s">
        <v>2724</v>
      </c>
      <c r="B1091" s="2" t="s">
        <v>54</v>
      </c>
      <c r="C1091" s="2" t="s">
        <v>54</v>
      </c>
      <c r="D1091" s="2" t="s">
        <v>2778</v>
      </c>
      <c r="E1091" s="2" t="s">
        <v>2779</v>
      </c>
      <c r="F1091" s="3">
        <v>14111993687.922001</v>
      </c>
      <c r="G1091" s="3">
        <v>15300589680</v>
      </c>
      <c r="H1091" s="4">
        <v>14548812079</v>
      </c>
      <c r="I1091" s="4">
        <v>18540178346</v>
      </c>
      <c r="J1091" s="16">
        <f t="shared" ref="J1091:J1154" si="34">IFERROR(H1091/G1091-1,"--")</f>
        <v>-4.9133897236828594E-2</v>
      </c>
      <c r="K1091" s="16">
        <f t="shared" ref="K1091:K1154" si="35">IFERROR(I1091/H1091-1,"--")</f>
        <v>0.2743431041192157</v>
      </c>
    </row>
    <row r="1092" spans="1:11" ht="19.5" customHeight="1" x14ac:dyDescent="0.25">
      <c r="A1092" s="2" t="s">
        <v>2724</v>
      </c>
      <c r="B1092" s="2" t="s">
        <v>54</v>
      </c>
      <c r="C1092" s="2" t="s">
        <v>54</v>
      </c>
      <c r="D1092" s="2" t="s">
        <v>2780</v>
      </c>
      <c r="E1092" s="2" t="s">
        <v>2781</v>
      </c>
      <c r="F1092" s="3">
        <v>476676968.73000002</v>
      </c>
      <c r="G1092" s="3">
        <v>388430886</v>
      </c>
      <c r="H1092" s="4">
        <v>494158753</v>
      </c>
      <c r="I1092" s="4">
        <v>590346922</v>
      </c>
      <c r="J1092" s="16">
        <f t="shared" si="34"/>
        <v>0.27219222469348114</v>
      </c>
      <c r="K1092" s="16">
        <f t="shared" si="35"/>
        <v>0.19465033942240018</v>
      </c>
    </row>
    <row r="1093" spans="1:11" ht="19.5" customHeight="1" x14ac:dyDescent="0.25">
      <c r="A1093" s="2" t="s">
        <v>2724</v>
      </c>
      <c r="B1093" s="2" t="s">
        <v>54</v>
      </c>
      <c r="C1093" s="2" t="s">
        <v>54</v>
      </c>
      <c r="D1093" s="2" t="s">
        <v>2782</v>
      </c>
      <c r="E1093" s="2" t="s">
        <v>2783</v>
      </c>
      <c r="F1093" s="4">
        <v>500000</v>
      </c>
      <c r="G1093" s="3">
        <v>500000</v>
      </c>
      <c r="H1093" s="4">
        <v>1000000</v>
      </c>
      <c r="I1093" s="4">
        <v>1000000</v>
      </c>
      <c r="J1093" s="16">
        <f t="shared" si="34"/>
        <v>1</v>
      </c>
      <c r="K1093" s="16">
        <f t="shared" si="35"/>
        <v>0</v>
      </c>
    </row>
    <row r="1094" spans="1:11" ht="19.5" customHeight="1" x14ac:dyDescent="0.25">
      <c r="A1094" s="2" t="s">
        <v>2724</v>
      </c>
      <c r="B1094" s="2" t="s">
        <v>54</v>
      </c>
      <c r="C1094" s="2" t="s">
        <v>54</v>
      </c>
      <c r="D1094" s="2" t="s">
        <v>2784</v>
      </c>
      <c r="E1094" s="2" t="s">
        <v>2785</v>
      </c>
      <c r="F1094" s="4">
        <v>0</v>
      </c>
      <c r="G1094" s="3">
        <v>500000</v>
      </c>
      <c r="H1094" s="4">
        <v>250000</v>
      </c>
      <c r="I1094" s="4">
        <v>250000</v>
      </c>
      <c r="J1094" s="16">
        <f t="shared" si="34"/>
        <v>-0.5</v>
      </c>
      <c r="K1094" s="16">
        <f t="shared" si="35"/>
        <v>0</v>
      </c>
    </row>
    <row r="1095" spans="1:11" ht="19.5" customHeight="1" x14ac:dyDescent="0.25">
      <c r="A1095" s="2" t="s">
        <v>2724</v>
      </c>
      <c r="B1095" s="2" t="s">
        <v>227</v>
      </c>
      <c r="C1095" s="2" t="s">
        <v>2786</v>
      </c>
      <c r="D1095" s="2" t="s">
        <v>2787</v>
      </c>
      <c r="E1095" s="2" t="s">
        <v>2788</v>
      </c>
      <c r="F1095" s="3">
        <v>839671.48</v>
      </c>
      <c r="G1095" s="3">
        <v>3000000</v>
      </c>
      <c r="H1095" s="4">
        <v>1000000</v>
      </c>
      <c r="I1095" s="4">
        <v>1000000</v>
      </c>
      <c r="J1095" s="16">
        <f t="shared" si="34"/>
        <v>-0.66666666666666674</v>
      </c>
      <c r="K1095" s="16">
        <f t="shared" si="35"/>
        <v>0</v>
      </c>
    </row>
    <row r="1096" spans="1:11" ht="19.5" customHeight="1" x14ac:dyDescent="0.25">
      <c r="A1096" s="2" t="s">
        <v>2789</v>
      </c>
      <c r="B1096" s="2" t="s">
        <v>16</v>
      </c>
      <c r="C1096" s="2" t="s">
        <v>2790</v>
      </c>
      <c r="D1096" s="2" t="s">
        <v>2791</v>
      </c>
      <c r="E1096" s="2" t="s">
        <v>22</v>
      </c>
      <c r="F1096" s="3">
        <v>10268015.220000001</v>
      </c>
      <c r="G1096" s="4">
        <v>10729000</v>
      </c>
      <c r="H1096" s="4">
        <v>12299149</v>
      </c>
      <c r="I1096" s="4">
        <v>12551618</v>
      </c>
      <c r="J1096" s="16">
        <f t="shared" si="34"/>
        <v>0.14634625780594646</v>
      </c>
      <c r="K1096" s="16">
        <f t="shared" si="35"/>
        <v>2.0527355185306018E-2</v>
      </c>
    </row>
    <row r="1097" spans="1:11" ht="19.5" customHeight="1" x14ac:dyDescent="0.25">
      <c r="A1097" s="2" t="s">
        <v>2792</v>
      </c>
      <c r="B1097" s="2" t="s">
        <v>16</v>
      </c>
      <c r="C1097" s="2" t="s">
        <v>2443</v>
      </c>
      <c r="D1097" s="2" t="s">
        <v>2793</v>
      </c>
      <c r="E1097" s="2" t="s">
        <v>2445</v>
      </c>
      <c r="F1097" s="3">
        <v>487708.7</v>
      </c>
      <c r="G1097" s="3">
        <v>600000</v>
      </c>
      <c r="H1097" s="4">
        <v>0</v>
      </c>
      <c r="I1097" s="4">
        <v>0</v>
      </c>
      <c r="J1097" s="16">
        <f t="shared" si="34"/>
        <v>-1</v>
      </c>
      <c r="K1097" s="16" t="str">
        <f t="shared" si="35"/>
        <v>--</v>
      </c>
    </row>
    <row r="1098" spans="1:11" ht="19.5" customHeight="1" x14ac:dyDescent="0.25">
      <c r="A1098" s="2" t="s">
        <v>2792</v>
      </c>
      <c r="B1098" s="2" t="s">
        <v>16</v>
      </c>
      <c r="C1098" s="2" t="s">
        <v>2794</v>
      </c>
      <c r="D1098" s="2" t="s">
        <v>2795</v>
      </c>
      <c r="E1098" s="2" t="s">
        <v>2796</v>
      </c>
      <c r="F1098" s="3">
        <v>33922234.520000003</v>
      </c>
      <c r="G1098" s="3">
        <v>32600000</v>
      </c>
      <c r="H1098" s="4">
        <v>20600000</v>
      </c>
      <c r="I1098" s="4">
        <v>20600000</v>
      </c>
      <c r="J1098" s="16">
        <f t="shared" si="34"/>
        <v>-0.36809815950920244</v>
      </c>
      <c r="K1098" s="16">
        <f t="shared" si="35"/>
        <v>0</v>
      </c>
    </row>
    <row r="1099" spans="1:11" ht="19.5" customHeight="1" x14ac:dyDescent="0.25">
      <c r="A1099" s="2" t="s">
        <v>2792</v>
      </c>
      <c r="B1099" s="2" t="s">
        <v>16</v>
      </c>
      <c r="C1099" s="2" t="s">
        <v>2797</v>
      </c>
      <c r="D1099" s="2" t="s">
        <v>2798</v>
      </c>
      <c r="E1099" s="2" t="s">
        <v>2799</v>
      </c>
      <c r="F1099" s="3">
        <v>6726286.8300000001</v>
      </c>
      <c r="G1099" s="3">
        <v>8000000</v>
      </c>
      <c r="H1099" s="4">
        <v>9000000</v>
      </c>
      <c r="I1099" s="4">
        <v>9000000</v>
      </c>
      <c r="J1099" s="16">
        <f t="shared" si="34"/>
        <v>0.125</v>
      </c>
      <c r="K1099" s="16">
        <f t="shared" si="35"/>
        <v>0</v>
      </c>
    </row>
    <row r="1100" spans="1:11" ht="19.5" customHeight="1" x14ac:dyDescent="0.25">
      <c r="A1100" s="2" t="s">
        <v>2792</v>
      </c>
      <c r="B1100" s="2" t="s">
        <v>16</v>
      </c>
      <c r="C1100" s="2" t="s">
        <v>2800</v>
      </c>
      <c r="D1100" s="2" t="s">
        <v>2801</v>
      </c>
      <c r="E1100" s="2" t="s">
        <v>2802</v>
      </c>
      <c r="F1100" s="3">
        <v>7053020.4199999999</v>
      </c>
      <c r="G1100" s="3">
        <v>7850000</v>
      </c>
      <c r="H1100" s="4">
        <v>10010000</v>
      </c>
      <c r="I1100" s="4">
        <v>10010000</v>
      </c>
      <c r="J1100" s="16">
        <f t="shared" si="34"/>
        <v>0.27515923566878975</v>
      </c>
      <c r="K1100" s="16">
        <f t="shared" si="35"/>
        <v>0</v>
      </c>
    </row>
    <row r="1101" spans="1:11" ht="19.5" customHeight="1" x14ac:dyDescent="0.25">
      <c r="A1101" s="2" t="s">
        <v>2792</v>
      </c>
      <c r="B1101" s="2" t="s">
        <v>16</v>
      </c>
      <c r="C1101" s="2" t="s">
        <v>35</v>
      </c>
      <c r="D1101" s="2" t="s">
        <v>2803</v>
      </c>
      <c r="E1101" s="2" t="s">
        <v>2804</v>
      </c>
      <c r="F1101" s="4">
        <v>0</v>
      </c>
      <c r="G1101" s="3">
        <v>12500000</v>
      </c>
      <c r="H1101" s="4">
        <v>7000000</v>
      </c>
      <c r="I1101" s="4">
        <v>0</v>
      </c>
      <c r="J1101" s="16">
        <f t="shared" si="34"/>
        <v>-0.43999999999999995</v>
      </c>
      <c r="K1101" s="16">
        <f t="shared" si="35"/>
        <v>-1</v>
      </c>
    </row>
    <row r="1102" spans="1:11" ht="19.5" customHeight="1" x14ac:dyDescent="0.25">
      <c r="A1102" s="2" t="s">
        <v>2792</v>
      </c>
      <c r="B1102" s="2" t="s">
        <v>16</v>
      </c>
      <c r="C1102" s="2" t="s">
        <v>2805</v>
      </c>
      <c r="D1102" s="2" t="s">
        <v>2806</v>
      </c>
      <c r="E1102" s="2" t="s">
        <v>2807</v>
      </c>
      <c r="F1102" s="3">
        <v>5125006.75</v>
      </c>
      <c r="G1102" s="3">
        <v>6085000</v>
      </c>
      <c r="H1102" s="4">
        <v>6085000</v>
      </c>
      <c r="I1102" s="4">
        <v>6085000</v>
      </c>
      <c r="J1102" s="16">
        <f t="shared" si="34"/>
        <v>0</v>
      </c>
      <c r="K1102" s="16">
        <f t="shared" si="35"/>
        <v>0</v>
      </c>
    </row>
    <row r="1103" spans="1:11" ht="19.5" customHeight="1" x14ac:dyDescent="0.25">
      <c r="A1103" s="2" t="s">
        <v>2792</v>
      </c>
      <c r="B1103" s="2" t="s">
        <v>16</v>
      </c>
      <c r="C1103" s="2" t="s">
        <v>2808</v>
      </c>
      <c r="D1103" s="2" t="s">
        <v>2809</v>
      </c>
      <c r="E1103" s="2" t="s">
        <v>2810</v>
      </c>
      <c r="F1103" s="3">
        <v>1312588.1200000001</v>
      </c>
      <c r="G1103" s="3">
        <v>1820000</v>
      </c>
      <c r="H1103" s="4">
        <v>1820000</v>
      </c>
      <c r="I1103" s="4">
        <v>1820000</v>
      </c>
      <c r="J1103" s="16">
        <f t="shared" si="34"/>
        <v>0</v>
      </c>
      <c r="K1103" s="16">
        <f t="shared" si="35"/>
        <v>0</v>
      </c>
    </row>
    <row r="1104" spans="1:11" ht="19.5" customHeight="1" x14ac:dyDescent="0.25">
      <c r="A1104" s="2" t="s">
        <v>2792</v>
      </c>
      <c r="B1104" s="2" t="s">
        <v>16</v>
      </c>
      <c r="C1104" s="2" t="s">
        <v>1563</v>
      </c>
      <c r="D1104" s="2" t="s">
        <v>2811</v>
      </c>
      <c r="E1104" s="2" t="s">
        <v>2812</v>
      </c>
      <c r="F1104" s="3">
        <v>5999999.9900000002</v>
      </c>
      <c r="G1104" s="3">
        <v>6000000</v>
      </c>
      <c r="H1104" s="4">
        <v>6000000</v>
      </c>
      <c r="I1104" s="4">
        <v>6000000</v>
      </c>
      <c r="J1104" s="16">
        <f t="shared" si="34"/>
        <v>0</v>
      </c>
      <c r="K1104" s="16">
        <f t="shared" si="35"/>
        <v>0</v>
      </c>
    </row>
    <row r="1105" spans="1:11" ht="19.5" customHeight="1" x14ac:dyDescent="0.25">
      <c r="A1105" s="2" t="s">
        <v>2792</v>
      </c>
      <c r="B1105" s="2" t="s">
        <v>16</v>
      </c>
      <c r="C1105" s="2" t="s">
        <v>1563</v>
      </c>
      <c r="D1105" s="2" t="s">
        <v>2813</v>
      </c>
      <c r="E1105" s="2" t="s">
        <v>2814</v>
      </c>
      <c r="F1105" s="3">
        <v>11750000</v>
      </c>
      <c r="G1105" s="3">
        <v>11000000</v>
      </c>
      <c r="H1105" s="4">
        <v>11000000</v>
      </c>
      <c r="I1105" s="4">
        <v>11000000</v>
      </c>
      <c r="J1105" s="16">
        <f t="shared" si="34"/>
        <v>0</v>
      </c>
      <c r="K1105" s="16">
        <f t="shared" si="35"/>
        <v>0</v>
      </c>
    </row>
    <row r="1106" spans="1:11" ht="19.5" customHeight="1" x14ac:dyDescent="0.25">
      <c r="A1106" s="2" t="s">
        <v>2792</v>
      </c>
      <c r="B1106" s="2" t="s">
        <v>16</v>
      </c>
      <c r="C1106" s="2" t="s">
        <v>2815</v>
      </c>
      <c r="D1106" s="2" t="s">
        <v>2816</v>
      </c>
      <c r="E1106" s="2" t="s">
        <v>2817</v>
      </c>
      <c r="F1106" s="3">
        <v>0</v>
      </c>
      <c r="G1106" s="3">
        <v>5250000</v>
      </c>
      <c r="H1106" s="4">
        <v>6000000</v>
      </c>
      <c r="I1106" s="4">
        <v>6000000</v>
      </c>
      <c r="J1106" s="16">
        <f t="shared" si="34"/>
        <v>0.14285714285714279</v>
      </c>
      <c r="K1106" s="16">
        <f t="shared" si="35"/>
        <v>0</v>
      </c>
    </row>
    <row r="1107" spans="1:11" ht="19.5" customHeight="1" x14ac:dyDescent="0.25">
      <c r="A1107" s="2" t="s">
        <v>2792</v>
      </c>
      <c r="B1107" s="2" t="s">
        <v>16</v>
      </c>
      <c r="C1107" s="2" t="s">
        <v>2818</v>
      </c>
      <c r="D1107" s="2" t="s">
        <v>2819</v>
      </c>
      <c r="E1107" s="2" t="s">
        <v>2820</v>
      </c>
      <c r="F1107" s="3">
        <v>0</v>
      </c>
      <c r="G1107" s="3">
        <v>350000</v>
      </c>
      <c r="H1107" s="4">
        <v>350000</v>
      </c>
      <c r="I1107" s="4">
        <v>350000</v>
      </c>
      <c r="J1107" s="16">
        <f t="shared" si="34"/>
        <v>0</v>
      </c>
      <c r="K1107" s="16">
        <f t="shared" si="35"/>
        <v>0</v>
      </c>
    </row>
    <row r="1108" spans="1:11" ht="19.5" customHeight="1" x14ac:dyDescent="0.25">
      <c r="A1108" s="2" t="s">
        <v>2792</v>
      </c>
      <c r="B1108" s="2" t="s">
        <v>16</v>
      </c>
      <c r="C1108" s="2" t="s">
        <v>2821</v>
      </c>
      <c r="D1108" s="2" t="s">
        <v>2822</v>
      </c>
      <c r="E1108" s="2" t="s">
        <v>2823</v>
      </c>
      <c r="F1108" s="3">
        <v>27695.83</v>
      </c>
      <c r="G1108" s="3">
        <v>150000</v>
      </c>
      <c r="H1108" s="4">
        <v>75000</v>
      </c>
      <c r="I1108" s="4">
        <v>75000</v>
      </c>
      <c r="J1108" s="16">
        <f t="shared" si="34"/>
        <v>-0.5</v>
      </c>
      <c r="K1108" s="16">
        <f t="shared" si="35"/>
        <v>0</v>
      </c>
    </row>
    <row r="1109" spans="1:11" ht="19.5" customHeight="1" x14ac:dyDescent="0.25">
      <c r="A1109" s="2" t="s">
        <v>2792</v>
      </c>
      <c r="B1109" s="2" t="s">
        <v>44</v>
      </c>
      <c r="C1109" s="2" t="s">
        <v>2824</v>
      </c>
      <c r="D1109" s="2" t="s">
        <v>2825</v>
      </c>
      <c r="E1109" s="2" t="s">
        <v>2826</v>
      </c>
      <c r="F1109" s="3">
        <v>10496773.26</v>
      </c>
      <c r="G1109" s="3">
        <v>20000000</v>
      </c>
      <c r="H1109" s="4">
        <v>20000000</v>
      </c>
      <c r="I1109" s="4">
        <v>20000000</v>
      </c>
      <c r="J1109" s="16">
        <f t="shared" si="34"/>
        <v>0</v>
      </c>
      <c r="K1109" s="16">
        <f t="shared" si="35"/>
        <v>0</v>
      </c>
    </row>
    <row r="1110" spans="1:11" ht="19.5" customHeight="1" x14ac:dyDescent="0.25">
      <c r="A1110" s="2" t="s">
        <v>2792</v>
      </c>
      <c r="B1110" s="2" t="s">
        <v>44</v>
      </c>
      <c r="C1110" s="2" t="s">
        <v>2827</v>
      </c>
      <c r="D1110" s="2" t="s">
        <v>2828</v>
      </c>
      <c r="E1110" s="2" t="s">
        <v>2829</v>
      </c>
      <c r="F1110" s="4">
        <v>453486.53</v>
      </c>
      <c r="G1110" s="3">
        <v>1010000</v>
      </c>
      <c r="H1110" s="4">
        <v>0</v>
      </c>
      <c r="I1110" s="4">
        <v>0</v>
      </c>
      <c r="J1110" s="16">
        <f t="shared" si="34"/>
        <v>-1</v>
      </c>
      <c r="K1110" s="16" t="str">
        <f t="shared" si="35"/>
        <v>--</v>
      </c>
    </row>
    <row r="1111" spans="1:11" ht="19.5" customHeight="1" x14ac:dyDescent="0.25">
      <c r="A1111" s="2" t="s">
        <v>2792</v>
      </c>
      <c r="B1111" s="2" t="s">
        <v>44</v>
      </c>
      <c r="C1111" s="2" t="s">
        <v>2830</v>
      </c>
      <c r="D1111" s="2" t="s">
        <v>2831</v>
      </c>
      <c r="E1111" s="2" t="s">
        <v>2510</v>
      </c>
      <c r="F1111" s="3">
        <v>9029431.6799999997</v>
      </c>
      <c r="G1111" s="3">
        <v>8450000</v>
      </c>
      <c r="H1111" s="4">
        <v>7700000</v>
      </c>
      <c r="I1111" s="4">
        <v>7700000</v>
      </c>
      <c r="J1111" s="16">
        <f t="shared" si="34"/>
        <v>-8.8757396449704151E-2</v>
      </c>
      <c r="K1111" s="16">
        <f t="shared" si="35"/>
        <v>0</v>
      </c>
    </row>
    <row r="1112" spans="1:11" ht="19.5" customHeight="1" x14ac:dyDescent="0.25">
      <c r="A1112" s="2" t="s">
        <v>2792</v>
      </c>
      <c r="B1112" s="2" t="s">
        <v>44</v>
      </c>
      <c r="C1112" s="2" t="s">
        <v>2832</v>
      </c>
      <c r="D1112" s="2" t="s">
        <v>2833</v>
      </c>
      <c r="E1112" s="2" t="s">
        <v>1819</v>
      </c>
      <c r="F1112" s="3">
        <v>5764569.4500000002</v>
      </c>
      <c r="G1112" s="3">
        <v>5500000</v>
      </c>
      <c r="H1112" s="4">
        <v>5500000</v>
      </c>
      <c r="I1112" s="4">
        <v>5500000</v>
      </c>
      <c r="J1112" s="16">
        <f t="shared" si="34"/>
        <v>0</v>
      </c>
      <c r="K1112" s="16">
        <f t="shared" si="35"/>
        <v>0</v>
      </c>
    </row>
    <row r="1113" spans="1:11" ht="19.5" customHeight="1" x14ac:dyDescent="0.25">
      <c r="A1113" s="2" t="s">
        <v>2792</v>
      </c>
      <c r="B1113" s="2" t="s">
        <v>44</v>
      </c>
      <c r="C1113" s="2" t="s">
        <v>2834</v>
      </c>
      <c r="D1113" s="2" t="s">
        <v>2835</v>
      </c>
      <c r="E1113" s="2" t="s">
        <v>2836</v>
      </c>
      <c r="F1113" s="3">
        <v>17631147.079999998</v>
      </c>
      <c r="G1113" s="3">
        <v>22058470</v>
      </c>
      <c r="H1113" s="4">
        <v>72883470</v>
      </c>
      <c r="I1113" s="4">
        <v>38830720</v>
      </c>
      <c r="J1113" s="16">
        <f t="shared" si="34"/>
        <v>2.3041035937669294</v>
      </c>
      <c r="K1113" s="16">
        <f t="shared" si="35"/>
        <v>-0.46722185428328267</v>
      </c>
    </row>
    <row r="1114" spans="1:11" ht="19.5" customHeight="1" x14ac:dyDescent="0.25">
      <c r="A1114" s="2" t="s">
        <v>2792</v>
      </c>
      <c r="B1114" s="2" t="s">
        <v>44</v>
      </c>
      <c r="C1114" s="2" t="s">
        <v>2837</v>
      </c>
      <c r="D1114" s="2" t="s">
        <v>2838</v>
      </c>
      <c r="E1114" s="2" t="s">
        <v>2839</v>
      </c>
      <c r="F1114" s="3">
        <v>2503332.5699999998</v>
      </c>
      <c r="G1114" s="3">
        <v>6105000</v>
      </c>
      <c r="H1114" s="4">
        <v>4000000</v>
      </c>
      <c r="I1114" s="4">
        <v>4000000</v>
      </c>
      <c r="J1114" s="16">
        <f t="shared" si="34"/>
        <v>-0.34479934479934482</v>
      </c>
      <c r="K1114" s="16">
        <f t="shared" si="35"/>
        <v>0</v>
      </c>
    </row>
    <row r="1115" spans="1:11" ht="19.5" customHeight="1" x14ac:dyDescent="0.25">
      <c r="A1115" s="2" t="s">
        <v>2792</v>
      </c>
      <c r="B1115" s="2" t="s">
        <v>44</v>
      </c>
      <c r="C1115" s="2" t="s">
        <v>2840</v>
      </c>
      <c r="D1115" s="2" t="s">
        <v>2841</v>
      </c>
      <c r="E1115" s="2" t="s">
        <v>2842</v>
      </c>
      <c r="F1115" s="3">
        <v>63987734.289999999</v>
      </c>
      <c r="G1115" s="3">
        <v>65865756</v>
      </c>
      <c r="H1115" s="4">
        <v>125942756</v>
      </c>
      <c r="I1115" s="4">
        <v>85691166</v>
      </c>
      <c r="J1115" s="16">
        <f t="shared" si="34"/>
        <v>0.91211281321966453</v>
      </c>
      <c r="K1115" s="16">
        <f t="shared" si="35"/>
        <v>-0.31960226438112882</v>
      </c>
    </row>
    <row r="1116" spans="1:11" ht="19.5" customHeight="1" x14ac:dyDescent="0.25">
      <c r="A1116" s="2" t="s">
        <v>2792</v>
      </c>
      <c r="B1116" s="2" t="s">
        <v>44</v>
      </c>
      <c r="C1116" s="2" t="s">
        <v>2843</v>
      </c>
      <c r="D1116" s="2" t="s">
        <v>2844</v>
      </c>
      <c r="E1116" s="2" t="s">
        <v>2845</v>
      </c>
      <c r="F1116" s="3">
        <v>7606753.7400000002</v>
      </c>
      <c r="G1116" s="3">
        <v>19000000</v>
      </c>
      <c r="H1116" s="4">
        <v>15000000</v>
      </c>
      <c r="I1116" s="4">
        <v>15000000</v>
      </c>
      <c r="J1116" s="16">
        <f t="shared" si="34"/>
        <v>-0.21052631578947367</v>
      </c>
      <c r="K1116" s="16">
        <f t="shared" si="35"/>
        <v>0</v>
      </c>
    </row>
    <row r="1117" spans="1:11" ht="19.5" customHeight="1" x14ac:dyDescent="0.25">
      <c r="A1117" s="2" t="s">
        <v>2792</v>
      </c>
      <c r="B1117" s="2" t="s">
        <v>44</v>
      </c>
      <c r="C1117" s="2" t="s">
        <v>2846</v>
      </c>
      <c r="D1117" s="2" t="s">
        <v>2847</v>
      </c>
      <c r="E1117" s="2" t="s">
        <v>2848</v>
      </c>
      <c r="F1117" s="3">
        <v>2376955.69</v>
      </c>
      <c r="G1117" s="3">
        <v>112860</v>
      </c>
      <c r="H1117" s="4">
        <v>0</v>
      </c>
      <c r="I1117" s="4">
        <v>0</v>
      </c>
      <c r="J1117" s="16">
        <f t="shared" si="34"/>
        <v>-1</v>
      </c>
      <c r="K1117" s="16" t="str">
        <f t="shared" si="35"/>
        <v>--</v>
      </c>
    </row>
    <row r="1118" spans="1:11" ht="19.5" customHeight="1" x14ac:dyDescent="0.25">
      <c r="A1118" s="2" t="s">
        <v>2792</v>
      </c>
      <c r="B1118" s="2" t="s">
        <v>44</v>
      </c>
      <c r="C1118" s="2" t="s">
        <v>2849</v>
      </c>
      <c r="D1118" s="2" t="s">
        <v>2850</v>
      </c>
      <c r="E1118" s="2" t="s">
        <v>2851</v>
      </c>
      <c r="F1118" s="3">
        <v>46418465.369999997</v>
      </c>
      <c r="G1118" s="3">
        <v>127961920</v>
      </c>
      <c r="H1118" s="4">
        <v>110176079</v>
      </c>
      <c r="I1118" s="4">
        <v>110176079</v>
      </c>
      <c r="J1118" s="16">
        <f t="shared" si="34"/>
        <v>-0.1389932332994066</v>
      </c>
      <c r="K1118" s="16">
        <f t="shared" si="35"/>
        <v>0</v>
      </c>
    </row>
    <row r="1119" spans="1:11" ht="19.5" customHeight="1" x14ac:dyDescent="0.25">
      <c r="A1119" s="2" t="s">
        <v>2792</v>
      </c>
      <c r="B1119" s="2" t="s">
        <v>44</v>
      </c>
      <c r="C1119" s="2" t="s">
        <v>550</v>
      </c>
      <c r="D1119" s="2" t="s">
        <v>2852</v>
      </c>
      <c r="E1119" s="2" t="s">
        <v>2853</v>
      </c>
      <c r="F1119" s="3">
        <v>0</v>
      </c>
      <c r="G1119" s="3">
        <v>1500000</v>
      </c>
      <c r="H1119" s="4">
        <v>0</v>
      </c>
      <c r="I1119" s="4">
        <v>0</v>
      </c>
      <c r="J1119" s="16">
        <f t="shared" si="34"/>
        <v>-1</v>
      </c>
      <c r="K1119" s="16" t="str">
        <f t="shared" si="35"/>
        <v>--</v>
      </c>
    </row>
    <row r="1120" spans="1:11" ht="19.5" customHeight="1" x14ac:dyDescent="0.25">
      <c r="A1120" s="2" t="s">
        <v>2792</v>
      </c>
      <c r="B1120" s="2" t="s">
        <v>44</v>
      </c>
      <c r="C1120" s="2" t="s">
        <v>2854</v>
      </c>
      <c r="D1120" s="2" t="s">
        <v>2855</v>
      </c>
      <c r="E1120" s="2" t="s">
        <v>2856</v>
      </c>
      <c r="F1120" s="3">
        <v>732593.97</v>
      </c>
      <c r="G1120" s="3">
        <v>1000000</v>
      </c>
      <c r="H1120" s="4">
        <v>1000000</v>
      </c>
      <c r="I1120" s="4">
        <v>1000000</v>
      </c>
      <c r="J1120" s="16">
        <f t="shared" si="34"/>
        <v>0</v>
      </c>
      <c r="K1120" s="16">
        <f t="shared" si="35"/>
        <v>0</v>
      </c>
    </row>
    <row r="1121" spans="1:11" ht="19.5" customHeight="1" x14ac:dyDescent="0.25">
      <c r="A1121" s="2" t="s">
        <v>2792</v>
      </c>
      <c r="B1121" s="2" t="s">
        <v>54</v>
      </c>
      <c r="C1121" s="2" t="s">
        <v>54</v>
      </c>
      <c r="D1121" s="2" t="s">
        <v>2857</v>
      </c>
      <c r="E1121" s="2" t="s">
        <v>62</v>
      </c>
      <c r="F1121" s="3">
        <v>15589251.800000001</v>
      </c>
      <c r="G1121" s="3">
        <v>16932239</v>
      </c>
      <c r="H1121" s="4">
        <v>17267311</v>
      </c>
      <c r="I1121" s="4">
        <v>17555983</v>
      </c>
      <c r="J1121" s="16">
        <f t="shared" si="34"/>
        <v>1.9788995418739352E-2</v>
      </c>
      <c r="K1121" s="16">
        <f t="shared" si="35"/>
        <v>1.671783174577679E-2</v>
      </c>
    </row>
    <row r="1122" spans="1:11" ht="19.5" customHeight="1" x14ac:dyDescent="0.25">
      <c r="A1122" s="2" t="s">
        <v>2792</v>
      </c>
      <c r="B1122" s="2" t="s">
        <v>54</v>
      </c>
      <c r="C1122" s="2" t="s">
        <v>54</v>
      </c>
      <c r="D1122" s="2" t="s">
        <v>2858</v>
      </c>
      <c r="E1122" s="2" t="s">
        <v>2859</v>
      </c>
      <c r="F1122" s="3">
        <v>500000</v>
      </c>
      <c r="G1122" s="3">
        <v>450000</v>
      </c>
      <c r="H1122" s="4">
        <v>450000</v>
      </c>
      <c r="I1122" s="4">
        <v>450000</v>
      </c>
      <c r="J1122" s="16">
        <f t="shared" si="34"/>
        <v>0</v>
      </c>
      <c r="K1122" s="16">
        <f t="shared" si="35"/>
        <v>0</v>
      </c>
    </row>
    <row r="1123" spans="1:11" ht="19.5" customHeight="1" x14ac:dyDescent="0.25">
      <c r="A1123" s="2" t="s">
        <v>2792</v>
      </c>
      <c r="B1123" s="2" t="s">
        <v>54</v>
      </c>
      <c r="C1123" s="2" t="s">
        <v>54</v>
      </c>
      <c r="D1123" s="2" t="s">
        <v>2860</v>
      </c>
      <c r="E1123" s="2" t="s">
        <v>2445</v>
      </c>
      <c r="F1123" s="3">
        <v>1386000</v>
      </c>
      <c r="G1123" s="3">
        <v>1386000</v>
      </c>
      <c r="H1123" s="4">
        <v>0</v>
      </c>
      <c r="I1123" s="4">
        <v>0</v>
      </c>
      <c r="J1123" s="16">
        <f t="shared" si="34"/>
        <v>-1</v>
      </c>
      <c r="K1123" s="16" t="str">
        <f t="shared" si="35"/>
        <v>--</v>
      </c>
    </row>
    <row r="1124" spans="1:11" ht="19.5" customHeight="1" x14ac:dyDescent="0.25">
      <c r="A1124" s="2" t="s">
        <v>2792</v>
      </c>
      <c r="B1124" s="2" t="s">
        <v>54</v>
      </c>
      <c r="C1124" s="2" t="s">
        <v>54</v>
      </c>
      <c r="D1124" s="2" t="s">
        <v>2861</v>
      </c>
      <c r="E1124" s="2" t="s">
        <v>2862</v>
      </c>
      <c r="F1124" s="3">
        <v>2423277.88</v>
      </c>
      <c r="G1124" s="3">
        <v>2620996</v>
      </c>
      <c r="H1124" s="4">
        <v>4868659</v>
      </c>
      <c r="I1124" s="4">
        <v>4868659</v>
      </c>
      <c r="J1124" s="16">
        <f t="shared" si="34"/>
        <v>0.8575606372539295</v>
      </c>
      <c r="K1124" s="16">
        <f t="shared" si="35"/>
        <v>0</v>
      </c>
    </row>
    <row r="1125" spans="1:11" ht="19.5" customHeight="1" x14ac:dyDescent="0.25">
      <c r="A1125" s="2" t="s">
        <v>2792</v>
      </c>
      <c r="B1125" s="2" t="s">
        <v>54</v>
      </c>
      <c r="C1125" s="2" t="s">
        <v>54</v>
      </c>
      <c r="D1125" s="2" t="s">
        <v>2863</v>
      </c>
      <c r="E1125" s="2" t="s">
        <v>2864</v>
      </c>
      <c r="F1125" s="3">
        <v>238939802.03</v>
      </c>
      <c r="G1125" s="3">
        <v>238172285</v>
      </c>
      <c r="H1125" s="4">
        <v>256956156</v>
      </c>
      <c r="I1125" s="4">
        <v>262210314</v>
      </c>
      <c r="J1125" s="16">
        <f t="shared" si="34"/>
        <v>7.8866737160455003E-2</v>
      </c>
      <c r="K1125" s="16">
        <f t="shared" si="35"/>
        <v>2.0447682911321152E-2</v>
      </c>
    </row>
    <row r="1126" spans="1:11" ht="19.5" customHeight="1" x14ac:dyDescent="0.25">
      <c r="A1126" s="2" t="s">
        <v>2792</v>
      </c>
      <c r="B1126" s="2" t="s">
        <v>54</v>
      </c>
      <c r="C1126" s="2" t="s">
        <v>54</v>
      </c>
      <c r="D1126" s="2" t="s">
        <v>2865</v>
      </c>
      <c r="E1126" s="2" t="s">
        <v>2866</v>
      </c>
      <c r="F1126" s="3">
        <v>18353361.77</v>
      </c>
      <c r="G1126" s="3">
        <v>17851755</v>
      </c>
      <c r="H1126" s="4">
        <v>27000000</v>
      </c>
      <c r="I1126" s="4">
        <v>27000000</v>
      </c>
      <c r="J1126" s="16">
        <f t="shared" si="34"/>
        <v>0.51245633832639981</v>
      </c>
      <c r="K1126" s="16">
        <f t="shared" si="35"/>
        <v>0</v>
      </c>
    </row>
    <row r="1127" spans="1:11" ht="19.5" customHeight="1" x14ac:dyDescent="0.25">
      <c r="A1127" s="2" t="s">
        <v>2792</v>
      </c>
      <c r="B1127" s="2" t="s">
        <v>54</v>
      </c>
      <c r="C1127" s="2" t="s">
        <v>54</v>
      </c>
      <c r="D1127" s="2" t="s">
        <v>2867</v>
      </c>
      <c r="E1127" s="2" t="s">
        <v>2868</v>
      </c>
      <c r="F1127" s="4">
        <v>76896183.109999999</v>
      </c>
      <c r="G1127" s="3">
        <v>82839846</v>
      </c>
      <c r="H1127" s="4">
        <v>89506596</v>
      </c>
      <c r="I1127" s="4">
        <v>88914846</v>
      </c>
      <c r="J1127" s="16">
        <f t="shared" si="34"/>
        <v>8.0477575972316417E-2</v>
      </c>
      <c r="K1127" s="16">
        <f t="shared" si="35"/>
        <v>-6.6112446059282126E-3</v>
      </c>
    </row>
    <row r="1128" spans="1:11" ht="19.5" customHeight="1" x14ac:dyDescent="0.25">
      <c r="A1128" s="2" t="s">
        <v>2792</v>
      </c>
      <c r="B1128" s="2" t="s">
        <v>54</v>
      </c>
      <c r="C1128" s="2" t="s">
        <v>54</v>
      </c>
      <c r="D1128" s="2" t="s">
        <v>2869</v>
      </c>
      <c r="E1128" s="2" t="s">
        <v>2870</v>
      </c>
      <c r="F1128" s="3">
        <v>16356461.4</v>
      </c>
      <c r="G1128" s="3">
        <v>15910427</v>
      </c>
      <c r="H1128" s="4">
        <v>19805937</v>
      </c>
      <c r="I1128" s="4">
        <v>19805937</v>
      </c>
      <c r="J1128" s="16">
        <f t="shared" si="34"/>
        <v>0.24484006620312582</v>
      </c>
      <c r="K1128" s="16">
        <f t="shared" si="35"/>
        <v>0</v>
      </c>
    </row>
    <row r="1129" spans="1:11" ht="19.5" customHeight="1" x14ac:dyDescent="0.25">
      <c r="A1129" s="2" t="s">
        <v>2792</v>
      </c>
      <c r="B1129" s="2" t="s">
        <v>54</v>
      </c>
      <c r="C1129" s="2" t="s">
        <v>54</v>
      </c>
      <c r="D1129" s="2" t="s">
        <v>2871</v>
      </c>
      <c r="E1129" s="2" t="s">
        <v>2872</v>
      </c>
      <c r="F1129" s="3">
        <v>23528664.140000001</v>
      </c>
      <c r="G1129" s="3">
        <v>25991154</v>
      </c>
      <c r="H1129" s="4">
        <v>33830547</v>
      </c>
      <c r="I1129" s="4">
        <v>34409472</v>
      </c>
      <c r="J1129" s="16">
        <f t="shared" si="34"/>
        <v>0.30161773501861444</v>
      </c>
      <c r="K1129" s="16">
        <f t="shared" si="35"/>
        <v>1.7112493037727106E-2</v>
      </c>
    </row>
    <row r="1130" spans="1:11" ht="19.5" customHeight="1" x14ac:dyDescent="0.25">
      <c r="A1130" s="2" t="s">
        <v>2792</v>
      </c>
      <c r="B1130" s="2" t="s">
        <v>54</v>
      </c>
      <c r="C1130" s="2" t="s">
        <v>54</v>
      </c>
      <c r="D1130" s="2" t="s">
        <v>2873</v>
      </c>
      <c r="E1130" s="2" t="s">
        <v>2874</v>
      </c>
      <c r="F1130" s="3">
        <v>2500000</v>
      </c>
      <c r="G1130" s="3">
        <v>2500000</v>
      </c>
      <c r="H1130" s="4">
        <v>3000000</v>
      </c>
      <c r="I1130" s="4">
        <v>3000000</v>
      </c>
      <c r="J1130" s="16">
        <f t="shared" si="34"/>
        <v>0.19999999999999996</v>
      </c>
      <c r="K1130" s="16">
        <f t="shared" si="35"/>
        <v>0</v>
      </c>
    </row>
    <row r="1131" spans="1:11" ht="19.5" customHeight="1" x14ac:dyDescent="0.25">
      <c r="A1131" s="2" t="s">
        <v>2792</v>
      </c>
      <c r="B1131" s="2" t="s">
        <v>54</v>
      </c>
      <c r="C1131" s="2" t="s">
        <v>54</v>
      </c>
      <c r="D1131" s="2" t="s">
        <v>2875</v>
      </c>
      <c r="E1131" s="2" t="s">
        <v>2876</v>
      </c>
      <c r="F1131" s="3">
        <v>6697196</v>
      </c>
      <c r="G1131" s="3">
        <v>10000000</v>
      </c>
      <c r="H1131" s="4">
        <v>10250000</v>
      </c>
      <c r="I1131" s="4">
        <v>10250000</v>
      </c>
      <c r="J1131" s="16">
        <f t="shared" si="34"/>
        <v>2.4999999999999911E-2</v>
      </c>
      <c r="K1131" s="16">
        <f t="shared" si="35"/>
        <v>0</v>
      </c>
    </row>
    <row r="1132" spans="1:11" ht="19.5" customHeight="1" x14ac:dyDescent="0.25">
      <c r="A1132" s="2" t="s">
        <v>2792</v>
      </c>
      <c r="B1132" s="2" t="s">
        <v>54</v>
      </c>
      <c r="C1132" s="2" t="s">
        <v>54</v>
      </c>
      <c r="D1132" s="2" t="s">
        <v>2877</v>
      </c>
      <c r="E1132" s="2" t="s">
        <v>2878</v>
      </c>
      <c r="F1132" s="3">
        <v>12236016.939999999</v>
      </c>
      <c r="G1132" s="4">
        <v>13350000</v>
      </c>
      <c r="H1132" s="4">
        <v>15500000</v>
      </c>
      <c r="I1132" s="4">
        <v>15500000</v>
      </c>
      <c r="J1132" s="16">
        <f t="shared" si="34"/>
        <v>0.16104868913857673</v>
      </c>
      <c r="K1132" s="16">
        <f t="shared" si="35"/>
        <v>0</v>
      </c>
    </row>
    <row r="1133" spans="1:11" ht="19.5" customHeight="1" x14ac:dyDescent="0.25">
      <c r="A1133" s="2" t="s">
        <v>2792</v>
      </c>
      <c r="B1133" s="2" t="s">
        <v>54</v>
      </c>
      <c r="C1133" s="2" t="s">
        <v>54</v>
      </c>
      <c r="D1133" s="2" t="s">
        <v>2879</v>
      </c>
      <c r="E1133" s="2" t="s">
        <v>2880</v>
      </c>
      <c r="F1133" s="3">
        <v>986587.78</v>
      </c>
      <c r="G1133" s="3">
        <v>1000000</v>
      </c>
      <c r="H1133" s="4">
        <v>1000000</v>
      </c>
      <c r="I1133" s="4">
        <v>1000000</v>
      </c>
      <c r="J1133" s="16">
        <f t="shared" si="34"/>
        <v>0</v>
      </c>
      <c r="K1133" s="16">
        <f t="shared" si="35"/>
        <v>0</v>
      </c>
    </row>
    <row r="1134" spans="1:11" ht="19.5" customHeight="1" x14ac:dyDescent="0.25">
      <c r="A1134" s="2" t="s">
        <v>2792</v>
      </c>
      <c r="B1134" s="2" t="s">
        <v>54</v>
      </c>
      <c r="C1134" s="2" t="s">
        <v>54</v>
      </c>
      <c r="D1134" s="2" t="s">
        <v>2881</v>
      </c>
      <c r="E1134" s="2" t="s">
        <v>2882</v>
      </c>
      <c r="F1134" s="3">
        <v>14653568</v>
      </c>
      <c r="G1134" s="3">
        <v>16000000</v>
      </c>
      <c r="H1134" s="4">
        <v>16000000</v>
      </c>
      <c r="I1134" s="4">
        <v>16000000</v>
      </c>
      <c r="J1134" s="16">
        <f t="shared" si="34"/>
        <v>0</v>
      </c>
      <c r="K1134" s="16">
        <f t="shared" si="35"/>
        <v>0</v>
      </c>
    </row>
    <row r="1135" spans="1:11" ht="19.5" customHeight="1" x14ac:dyDescent="0.25">
      <c r="A1135" s="2" t="s">
        <v>2792</v>
      </c>
      <c r="B1135" s="2" t="s">
        <v>54</v>
      </c>
      <c r="C1135" s="2" t="s">
        <v>54</v>
      </c>
      <c r="D1135" s="2" t="s">
        <v>2883</v>
      </c>
      <c r="E1135" s="2" t="s">
        <v>2884</v>
      </c>
      <c r="F1135" s="4">
        <v>2156370.4900000002</v>
      </c>
      <c r="G1135" s="3">
        <v>1250000</v>
      </c>
      <c r="H1135" s="4">
        <v>1250000</v>
      </c>
      <c r="I1135" s="4">
        <v>1250000</v>
      </c>
      <c r="J1135" s="16">
        <f t="shared" si="34"/>
        <v>0</v>
      </c>
      <c r="K1135" s="16">
        <f t="shared" si="35"/>
        <v>0</v>
      </c>
    </row>
    <row r="1136" spans="1:11" ht="19.5" customHeight="1" x14ac:dyDescent="0.25">
      <c r="A1136" s="2" t="s">
        <v>2792</v>
      </c>
      <c r="B1136" s="2" t="s">
        <v>54</v>
      </c>
      <c r="C1136" s="2" t="s">
        <v>54</v>
      </c>
      <c r="D1136" s="2" t="s">
        <v>2885</v>
      </c>
      <c r="E1136" s="2" t="s">
        <v>2886</v>
      </c>
      <c r="F1136" s="3">
        <v>0</v>
      </c>
      <c r="G1136" s="3">
        <v>0</v>
      </c>
      <c r="H1136" s="4">
        <v>0</v>
      </c>
      <c r="I1136" s="4">
        <v>0</v>
      </c>
      <c r="J1136" s="16" t="str">
        <f t="shared" si="34"/>
        <v>--</v>
      </c>
      <c r="K1136" s="16" t="str">
        <f t="shared" si="35"/>
        <v>--</v>
      </c>
    </row>
    <row r="1137" spans="1:11" ht="19.5" customHeight="1" x14ac:dyDescent="0.25">
      <c r="A1137" s="6" t="s">
        <v>2792</v>
      </c>
      <c r="B1137" s="6" t="s">
        <v>54</v>
      </c>
      <c r="C1137" s="6" t="s">
        <v>54</v>
      </c>
      <c r="D1137" s="7" t="s">
        <v>2887</v>
      </c>
      <c r="E1137" s="6" t="s">
        <v>2888</v>
      </c>
      <c r="F1137" s="4">
        <v>0</v>
      </c>
      <c r="G1137" s="4">
        <v>0</v>
      </c>
      <c r="H1137" s="4">
        <v>1250000</v>
      </c>
      <c r="I1137" s="4">
        <v>1250000</v>
      </c>
      <c r="J1137" s="16" t="str">
        <f t="shared" si="34"/>
        <v>--</v>
      </c>
      <c r="K1137" s="16">
        <f t="shared" si="35"/>
        <v>0</v>
      </c>
    </row>
    <row r="1138" spans="1:11" ht="19.5" customHeight="1" x14ac:dyDescent="0.25">
      <c r="A1138" s="2" t="s">
        <v>2792</v>
      </c>
      <c r="B1138" s="2" t="s">
        <v>54</v>
      </c>
      <c r="C1138" s="2" t="s">
        <v>54</v>
      </c>
      <c r="D1138" s="2" t="s">
        <v>2889</v>
      </c>
      <c r="E1138" s="2" t="s">
        <v>1023</v>
      </c>
      <c r="F1138" s="3">
        <v>1213722.6100000001</v>
      </c>
      <c r="G1138" s="3">
        <v>1251713</v>
      </c>
      <c r="H1138" s="4">
        <v>1298574</v>
      </c>
      <c r="I1138" s="4">
        <v>1587246</v>
      </c>
      <c r="J1138" s="16">
        <f t="shared" si="34"/>
        <v>3.7437495655953112E-2</v>
      </c>
      <c r="K1138" s="16">
        <f t="shared" si="35"/>
        <v>0.2222992297705022</v>
      </c>
    </row>
    <row r="1139" spans="1:11" ht="19.5" customHeight="1" x14ac:dyDescent="0.25">
      <c r="A1139" s="2" t="s">
        <v>2792</v>
      </c>
      <c r="B1139" s="2" t="s">
        <v>243</v>
      </c>
      <c r="C1139" s="2" t="s">
        <v>2890</v>
      </c>
      <c r="D1139" s="2" t="s">
        <v>2891</v>
      </c>
      <c r="E1139" s="2" t="s">
        <v>2892</v>
      </c>
      <c r="F1139" s="3">
        <v>12147519.130000001</v>
      </c>
      <c r="G1139" s="3">
        <v>20000000</v>
      </c>
      <c r="H1139" s="4">
        <v>16000000</v>
      </c>
      <c r="I1139" s="4">
        <v>16000000</v>
      </c>
      <c r="J1139" s="16">
        <f t="shared" si="34"/>
        <v>-0.19999999999999996</v>
      </c>
      <c r="K1139" s="16">
        <f t="shared" si="35"/>
        <v>0</v>
      </c>
    </row>
    <row r="1140" spans="1:11" ht="19.5" customHeight="1" x14ac:dyDescent="0.25">
      <c r="A1140" s="2" t="s">
        <v>2792</v>
      </c>
      <c r="B1140" s="2" t="s">
        <v>243</v>
      </c>
      <c r="C1140" s="2" t="s">
        <v>2890</v>
      </c>
      <c r="D1140" s="2" t="s">
        <v>2893</v>
      </c>
      <c r="E1140" s="2" t="s">
        <v>22</v>
      </c>
      <c r="F1140" s="3">
        <v>1054625.32</v>
      </c>
      <c r="G1140" s="3">
        <v>5500000</v>
      </c>
      <c r="H1140" s="4">
        <v>5500000</v>
      </c>
      <c r="I1140" s="4">
        <v>5500000</v>
      </c>
      <c r="J1140" s="16">
        <f t="shared" si="34"/>
        <v>0</v>
      </c>
      <c r="K1140" s="16">
        <f t="shared" si="35"/>
        <v>0</v>
      </c>
    </row>
    <row r="1141" spans="1:11" ht="19.5" customHeight="1" x14ac:dyDescent="0.25">
      <c r="A1141" s="2" t="s">
        <v>2792</v>
      </c>
      <c r="B1141" s="2" t="s">
        <v>243</v>
      </c>
      <c r="C1141" s="2" t="s">
        <v>2894</v>
      </c>
      <c r="D1141" s="2" t="s">
        <v>2895</v>
      </c>
      <c r="E1141" s="2" t="s">
        <v>2896</v>
      </c>
      <c r="F1141" s="3">
        <v>80672217.040000007</v>
      </c>
      <c r="G1141" s="3">
        <v>80170822</v>
      </c>
      <c r="H1141" s="4">
        <v>99585489</v>
      </c>
      <c r="I1141" s="4">
        <v>100512696</v>
      </c>
      <c r="J1141" s="16">
        <f t="shared" si="34"/>
        <v>0.24216624596913827</v>
      </c>
      <c r="K1141" s="16">
        <f t="shared" si="35"/>
        <v>9.3106637253144164E-3</v>
      </c>
    </row>
    <row r="1142" spans="1:11" ht="19.5" customHeight="1" x14ac:dyDescent="0.25">
      <c r="A1142" s="2" t="s">
        <v>2792</v>
      </c>
      <c r="B1142" s="2" t="s">
        <v>243</v>
      </c>
      <c r="C1142" s="2" t="s">
        <v>2897</v>
      </c>
      <c r="D1142" s="2" t="s">
        <v>2898</v>
      </c>
      <c r="E1142" s="2" t="s">
        <v>2899</v>
      </c>
      <c r="F1142" s="3">
        <v>0</v>
      </c>
      <c r="G1142" s="4">
        <v>250000</v>
      </c>
      <c r="H1142" s="4">
        <v>250000</v>
      </c>
      <c r="I1142" s="4">
        <v>250000</v>
      </c>
      <c r="J1142" s="16">
        <f t="shared" si="34"/>
        <v>0</v>
      </c>
      <c r="K1142" s="16">
        <f t="shared" si="35"/>
        <v>0</v>
      </c>
    </row>
    <row r="1143" spans="1:11" ht="19.5" customHeight="1" x14ac:dyDescent="0.25">
      <c r="A1143" s="2" t="s">
        <v>2900</v>
      </c>
      <c r="B1143" s="2" t="s">
        <v>16</v>
      </c>
      <c r="C1143" s="2" t="s">
        <v>2901</v>
      </c>
      <c r="D1143" s="2" t="s">
        <v>2902</v>
      </c>
      <c r="E1143" s="2" t="s">
        <v>2903</v>
      </c>
      <c r="F1143" s="3">
        <v>13096.4</v>
      </c>
      <c r="G1143" s="3">
        <v>25000</v>
      </c>
      <c r="H1143" s="4">
        <v>35000</v>
      </c>
      <c r="I1143" s="4">
        <v>35000</v>
      </c>
      <c r="J1143" s="16">
        <f t="shared" si="34"/>
        <v>0.39999999999999991</v>
      </c>
      <c r="K1143" s="16">
        <f t="shared" si="35"/>
        <v>0</v>
      </c>
    </row>
    <row r="1144" spans="1:11" ht="19.5" customHeight="1" x14ac:dyDescent="0.25">
      <c r="A1144" s="2" t="s">
        <v>2900</v>
      </c>
      <c r="B1144" s="2" t="s">
        <v>54</v>
      </c>
      <c r="C1144" s="2" t="s">
        <v>54</v>
      </c>
      <c r="D1144" s="2" t="s">
        <v>2904</v>
      </c>
      <c r="E1144" s="2" t="s">
        <v>22</v>
      </c>
      <c r="F1144" s="3">
        <v>656821.93999999994</v>
      </c>
      <c r="G1144" s="3">
        <v>689993</v>
      </c>
      <c r="H1144" s="4">
        <v>733463</v>
      </c>
      <c r="I1144" s="4">
        <v>767026</v>
      </c>
      <c r="J1144" s="16">
        <f t="shared" si="34"/>
        <v>6.300063913691889E-2</v>
      </c>
      <c r="K1144" s="16">
        <f t="shared" si="35"/>
        <v>4.5759636137064907E-2</v>
      </c>
    </row>
    <row r="1145" spans="1:11" ht="19.5" customHeight="1" x14ac:dyDescent="0.25">
      <c r="A1145" s="2" t="s">
        <v>2900</v>
      </c>
      <c r="B1145" s="2" t="s">
        <v>54</v>
      </c>
      <c r="C1145" s="2" t="s">
        <v>54</v>
      </c>
      <c r="D1145" s="2" t="s">
        <v>2905</v>
      </c>
      <c r="E1145" s="2" t="s">
        <v>2845</v>
      </c>
      <c r="F1145" s="3">
        <v>709594.9</v>
      </c>
      <c r="G1145" s="3">
        <v>852606</v>
      </c>
      <c r="H1145" s="4">
        <v>852606</v>
      </c>
      <c r="I1145" s="4">
        <v>852606</v>
      </c>
      <c r="J1145" s="16">
        <f t="shared" si="34"/>
        <v>0</v>
      </c>
      <c r="K1145" s="16">
        <f t="shared" si="35"/>
        <v>0</v>
      </c>
    </row>
    <row r="1146" spans="1:11" ht="19.5" customHeight="1" x14ac:dyDescent="0.25">
      <c r="A1146" s="2" t="s">
        <v>2900</v>
      </c>
      <c r="B1146" s="2" t="s">
        <v>54</v>
      </c>
      <c r="C1146" s="2" t="s">
        <v>54</v>
      </c>
      <c r="D1146" s="2" t="s">
        <v>2906</v>
      </c>
      <c r="E1146" s="2" t="s">
        <v>2907</v>
      </c>
      <c r="F1146" s="3">
        <v>113679.65</v>
      </c>
      <c r="G1146" s="3">
        <v>93120</v>
      </c>
      <c r="H1146" s="4">
        <v>113680</v>
      </c>
      <c r="I1146" s="4">
        <v>113680</v>
      </c>
      <c r="J1146" s="16">
        <f t="shared" si="34"/>
        <v>0.22079037800687296</v>
      </c>
      <c r="K1146" s="16">
        <f t="shared" si="35"/>
        <v>0</v>
      </c>
    </row>
    <row r="1147" spans="1:11" ht="19.5" customHeight="1" x14ac:dyDescent="0.25">
      <c r="A1147" s="2" t="s">
        <v>2900</v>
      </c>
      <c r="B1147" s="2" t="s">
        <v>54</v>
      </c>
      <c r="C1147" s="2" t="s">
        <v>54</v>
      </c>
      <c r="D1147" s="2" t="s">
        <v>2908</v>
      </c>
      <c r="E1147" s="2" t="s">
        <v>2909</v>
      </c>
      <c r="F1147" s="3">
        <v>1741873.84</v>
      </c>
      <c r="G1147" s="3">
        <v>3000000</v>
      </c>
      <c r="H1147" s="4">
        <v>3389967</v>
      </c>
      <c r="I1147" s="4">
        <v>3356404</v>
      </c>
      <c r="J1147" s="16">
        <f t="shared" si="34"/>
        <v>0.12998899999999991</v>
      </c>
      <c r="K1147" s="16">
        <f t="shared" si="35"/>
        <v>-9.9006863488642072E-3</v>
      </c>
    </row>
    <row r="1148" spans="1:11" ht="19.5" customHeight="1" x14ac:dyDescent="0.25">
      <c r="A1148" s="2" t="s">
        <v>2910</v>
      </c>
      <c r="B1148" s="2" t="s">
        <v>16</v>
      </c>
      <c r="C1148" s="2" t="s">
        <v>20</v>
      </c>
      <c r="D1148" s="2" t="s">
        <v>2911</v>
      </c>
      <c r="E1148" s="2" t="s">
        <v>22</v>
      </c>
      <c r="F1148" s="3">
        <v>10211371.630000001</v>
      </c>
      <c r="G1148" s="3">
        <v>11208680</v>
      </c>
      <c r="H1148" s="4">
        <v>11378121</v>
      </c>
      <c r="I1148" s="4">
        <v>11689893</v>
      </c>
      <c r="J1148" s="16">
        <f t="shared" si="34"/>
        <v>1.5116945081847355E-2</v>
      </c>
      <c r="K1148" s="16">
        <f t="shared" si="35"/>
        <v>2.7401009358223538E-2</v>
      </c>
    </row>
    <row r="1149" spans="1:11" ht="19.5" customHeight="1" x14ac:dyDescent="0.25">
      <c r="A1149" s="2" t="s">
        <v>2910</v>
      </c>
      <c r="B1149" s="2" t="s">
        <v>16</v>
      </c>
      <c r="C1149" s="2" t="s">
        <v>2912</v>
      </c>
      <c r="D1149" s="2" t="s">
        <v>2913</v>
      </c>
      <c r="E1149" s="2" t="s">
        <v>2914</v>
      </c>
      <c r="F1149" s="3">
        <v>1513000</v>
      </c>
      <c r="G1149" s="3">
        <v>1518000</v>
      </c>
      <c r="H1149" s="4">
        <v>1513000</v>
      </c>
      <c r="I1149" s="4">
        <v>1513000</v>
      </c>
      <c r="J1149" s="16">
        <f t="shared" si="34"/>
        <v>-3.2938076416337836E-3</v>
      </c>
      <c r="K1149" s="16">
        <f t="shared" si="35"/>
        <v>0</v>
      </c>
    </row>
    <row r="1150" spans="1:11" ht="19.5" customHeight="1" x14ac:dyDescent="0.25">
      <c r="A1150" s="2" t="s">
        <v>2910</v>
      </c>
      <c r="B1150" s="2" t="s">
        <v>16</v>
      </c>
      <c r="C1150" s="2" t="s">
        <v>2915</v>
      </c>
      <c r="D1150" s="2" t="s">
        <v>2916</v>
      </c>
      <c r="E1150" s="2" t="s">
        <v>2917</v>
      </c>
      <c r="F1150" s="3">
        <v>500</v>
      </c>
      <c r="G1150" s="3">
        <v>2000</v>
      </c>
      <c r="H1150" s="4">
        <v>500</v>
      </c>
      <c r="I1150" s="4">
        <v>500</v>
      </c>
      <c r="J1150" s="16">
        <f t="shared" si="34"/>
        <v>-0.75</v>
      </c>
      <c r="K1150" s="16">
        <f t="shared" si="35"/>
        <v>0</v>
      </c>
    </row>
    <row r="1151" spans="1:11" ht="19.5" customHeight="1" x14ac:dyDescent="0.25">
      <c r="A1151" s="2" t="s">
        <v>2918</v>
      </c>
      <c r="B1151" s="2" t="s">
        <v>16</v>
      </c>
      <c r="C1151" s="2" t="s">
        <v>35</v>
      </c>
      <c r="D1151" s="2" t="s">
        <v>2919</v>
      </c>
      <c r="E1151" s="2" t="s">
        <v>2920</v>
      </c>
      <c r="F1151" s="3">
        <v>350000000</v>
      </c>
      <c r="G1151" s="3">
        <v>175000000</v>
      </c>
      <c r="H1151" s="4">
        <v>0</v>
      </c>
      <c r="I1151" s="4">
        <v>0</v>
      </c>
      <c r="J1151" s="16">
        <f t="shared" si="34"/>
        <v>-1</v>
      </c>
      <c r="K1151" s="16" t="str">
        <f t="shared" si="35"/>
        <v>--</v>
      </c>
    </row>
    <row r="1152" spans="1:11" ht="19.5" customHeight="1" x14ac:dyDescent="0.25">
      <c r="A1152" s="2" t="s">
        <v>2918</v>
      </c>
      <c r="B1152" s="2" t="s">
        <v>16</v>
      </c>
      <c r="C1152" s="2" t="s">
        <v>35</v>
      </c>
      <c r="D1152" s="2" t="s">
        <v>2921</v>
      </c>
      <c r="E1152" s="2" t="s">
        <v>2922</v>
      </c>
      <c r="F1152" s="3">
        <v>0</v>
      </c>
      <c r="G1152" s="3">
        <v>182169262</v>
      </c>
      <c r="H1152" s="4">
        <v>0</v>
      </c>
      <c r="I1152" s="4">
        <v>0</v>
      </c>
      <c r="J1152" s="16">
        <f t="shared" si="34"/>
        <v>-1</v>
      </c>
      <c r="K1152" s="16" t="str">
        <f t="shared" si="35"/>
        <v>--</v>
      </c>
    </row>
    <row r="1153" spans="1:11" ht="19.5" customHeight="1" x14ac:dyDescent="0.25">
      <c r="A1153" s="2" t="s">
        <v>2918</v>
      </c>
      <c r="B1153" s="2" t="s">
        <v>16</v>
      </c>
      <c r="C1153" s="2" t="s">
        <v>35</v>
      </c>
      <c r="D1153" s="2" t="s">
        <v>2923</v>
      </c>
      <c r="E1153" s="2" t="s">
        <v>2924</v>
      </c>
      <c r="F1153" s="3">
        <v>0</v>
      </c>
      <c r="G1153" s="3">
        <v>25000000</v>
      </c>
      <c r="H1153" s="4">
        <v>0</v>
      </c>
      <c r="I1153" s="4">
        <v>0</v>
      </c>
      <c r="J1153" s="16">
        <f t="shared" si="34"/>
        <v>-1</v>
      </c>
      <c r="K1153" s="16" t="str">
        <f t="shared" si="35"/>
        <v>--</v>
      </c>
    </row>
    <row r="1154" spans="1:11" ht="19.5" customHeight="1" x14ac:dyDescent="0.25">
      <c r="A1154" s="2" t="s">
        <v>2918</v>
      </c>
      <c r="B1154" s="2" t="s">
        <v>16</v>
      </c>
      <c r="C1154" s="2" t="s">
        <v>35</v>
      </c>
      <c r="D1154" s="2" t="s">
        <v>2925</v>
      </c>
      <c r="E1154" s="2" t="s">
        <v>2926</v>
      </c>
      <c r="F1154" s="3">
        <v>0</v>
      </c>
      <c r="G1154" s="3">
        <v>157044514</v>
      </c>
      <c r="H1154" s="4">
        <v>0</v>
      </c>
      <c r="I1154" s="4">
        <v>0</v>
      </c>
      <c r="J1154" s="16">
        <f t="shared" si="34"/>
        <v>-1</v>
      </c>
      <c r="K1154" s="16" t="str">
        <f t="shared" si="35"/>
        <v>--</v>
      </c>
    </row>
    <row r="1155" spans="1:11" ht="19.5" customHeight="1" x14ac:dyDescent="0.25">
      <c r="A1155" s="2" t="s">
        <v>2918</v>
      </c>
      <c r="B1155" s="2" t="s">
        <v>16</v>
      </c>
      <c r="C1155" s="2" t="s">
        <v>35</v>
      </c>
      <c r="D1155" s="2" t="s">
        <v>2927</v>
      </c>
      <c r="E1155" s="2" t="s">
        <v>2928</v>
      </c>
      <c r="F1155" s="3">
        <v>0</v>
      </c>
      <c r="G1155" s="3">
        <v>124000000</v>
      </c>
      <c r="H1155" s="4">
        <v>0</v>
      </c>
      <c r="I1155" s="4">
        <v>0</v>
      </c>
      <c r="J1155" s="16">
        <f t="shared" ref="J1155:J1218" si="36">IFERROR(H1155/G1155-1,"--")</f>
        <v>-1</v>
      </c>
      <c r="K1155" s="16" t="str">
        <f t="shared" ref="K1155:K1218" si="37">IFERROR(I1155/H1155-1,"--")</f>
        <v>--</v>
      </c>
    </row>
    <row r="1156" spans="1:11" ht="19.5" customHeight="1" x14ac:dyDescent="0.25">
      <c r="A1156" s="2" t="s">
        <v>2918</v>
      </c>
      <c r="B1156" s="2" t="s">
        <v>16</v>
      </c>
      <c r="C1156" s="2" t="s">
        <v>35</v>
      </c>
      <c r="D1156" s="2" t="s">
        <v>2929</v>
      </c>
      <c r="E1156" s="2" t="s">
        <v>2930</v>
      </c>
      <c r="F1156" s="3">
        <v>0</v>
      </c>
      <c r="G1156" s="3">
        <v>45000000</v>
      </c>
      <c r="H1156" s="4">
        <v>0</v>
      </c>
      <c r="I1156" s="4">
        <v>0</v>
      </c>
      <c r="J1156" s="16">
        <f t="shared" si="36"/>
        <v>-1</v>
      </c>
      <c r="K1156" s="16" t="str">
        <f t="shared" si="37"/>
        <v>--</v>
      </c>
    </row>
    <row r="1157" spans="1:11" ht="19.5" customHeight="1" x14ac:dyDescent="0.25">
      <c r="A1157" s="2" t="s">
        <v>2918</v>
      </c>
      <c r="B1157" s="2" t="s">
        <v>16</v>
      </c>
      <c r="C1157" s="2" t="s">
        <v>35</v>
      </c>
      <c r="D1157" s="2" t="s">
        <v>2931</v>
      </c>
      <c r="E1157" s="2" t="s">
        <v>2932</v>
      </c>
      <c r="F1157" s="3">
        <v>0</v>
      </c>
      <c r="G1157" s="3">
        <v>18300000</v>
      </c>
      <c r="H1157" s="4">
        <v>0</v>
      </c>
      <c r="I1157" s="4">
        <v>0</v>
      </c>
      <c r="J1157" s="16">
        <f t="shared" si="36"/>
        <v>-1</v>
      </c>
      <c r="K1157" s="16" t="str">
        <f t="shared" si="37"/>
        <v>--</v>
      </c>
    </row>
    <row r="1158" spans="1:11" ht="19.5" customHeight="1" x14ac:dyDescent="0.25">
      <c r="A1158" s="2" t="s">
        <v>2918</v>
      </c>
      <c r="B1158" s="2" t="s">
        <v>16</v>
      </c>
      <c r="C1158" s="2" t="s">
        <v>35</v>
      </c>
      <c r="D1158" s="2" t="s">
        <v>2933</v>
      </c>
      <c r="E1158" s="2" t="s">
        <v>2934</v>
      </c>
      <c r="F1158" s="3">
        <v>0</v>
      </c>
      <c r="G1158" s="3">
        <v>3000000</v>
      </c>
      <c r="H1158" s="4">
        <v>0</v>
      </c>
      <c r="I1158" s="4">
        <v>0</v>
      </c>
      <c r="J1158" s="16">
        <f t="shared" si="36"/>
        <v>-1</v>
      </c>
      <c r="K1158" s="16" t="str">
        <f t="shared" si="37"/>
        <v>--</v>
      </c>
    </row>
    <row r="1159" spans="1:11" ht="19.5" customHeight="1" x14ac:dyDescent="0.25">
      <c r="A1159" s="2" t="s">
        <v>2918</v>
      </c>
      <c r="B1159" s="2" t="s">
        <v>16</v>
      </c>
      <c r="C1159" s="2" t="s">
        <v>35</v>
      </c>
      <c r="D1159" s="2" t="s">
        <v>2935</v>
      </c>
      <c r="E1159" s="2" t="s">
        <v>2936</v>
      </c>
      <c r="F1159" s="3">
        <v>0</v>
      </c>
      <c r="G1159" s="3">
        <v>15200000</v>
      </c>
      <c r="H1159" s="4">
        <v>0</v>
      </c>
      <c r="I1159" s="4">
        <v>0</v>
      </c>
      <c r="J1159" s="16">
        <f t="shared" si="36"/>
        <v>-1</v>
      </c>
      <c r="K1159" s="16" t="str">
        <f t="shared" si="37"/>
        <v>--</v>
      </c>
    </row>
    <row r="1160" spans="1:11" ht="19.5" customHeight="1" x14ac:dyDescent="0.25">
      <c r="A1160" s="6" t="s">
        <v>2918</v>
      </c>
      <c r="B1160" s="6" t="s">
        <v>16</v>
      </c>
      <c r="C1160" s="6" t="s">
        <v>35</v>
      </c>
      <c r="D1160" s="7" t="s">
        <v>2937</v>
      </c>
      <c r="E1160" s="6" t="s">
        <v>2938</v>
      </c>
      <c r="F1160" s="9">
        <v>0</v>
      </c>
      <c r="G1160" s="9">
        <v>0</v>
      </c>
      <c r="H1160" s="4">
        <v>1000000</v>
      </c>
      <c r="I1160" s="4">
        <v>0</v>
      </c>
      <c r="J1160" s="16" t="str">
        <f t="shared" si="36"/>
        <v>--</v>
      </c>
      <c r="K1160" s="16">
        <f t="shared" si="37"/>
        <v>-1</v>
      </c>
    </row>
    <row r="1161" spans="1:11" ht="19.5" customHeight="1" x14ac:dyDescent="0.25">
      <c r="A1161" s="2" t="s">
        <v>2918</v>
      </c>
      <c r="B1161" s="2" t="s">
        <v>16</v>
      </c>
      <c r="C1161" s="2" t="s">
        <v>35</v>
      </c>
      <c r="D1161" s="2" t="s">
        <v>2939</v>
      </c>
      <c r="E1161" s="2" t="s">
        <v>2940</v>
      </c>
      <c r="F1161" s="3">
        <v>34919945.240000002</v>
      </c>
      <c r="G1161" s="3">
        <v>32999999.5</v>
      </c>
      <c r="H1161" s="4">
        <v>18000000</v>
      </c>
      <c r="I1161" s="4">
        <v>0</v>
      </c>
      <c r="J1161" s="16">
        <f t="shared" si="36"/>
        <v>-0.45454544628099158</v>
      </c>
      <c r="K1161" s="16">
        <f t="shared" si="37"/>
        <v>-1</v>
      </c>
    </row>
    <row r="1162" spans="1:11" ht="19.5" customHeight="1" x14ac:dyDescent="0.25">
      <c r="A1162" s="2" t="s">
        <v>2918</v>
      </c>
      <c r="B1162" s="2" t="s">
        <v>16</v>
      </c>
      <c r="C1162" s="2" t="s">
        <v>35</v>
      </c>
      <c r="D1162" s="2" t="s">
        <v>2941</v>
      </c>
      <c r="E1162" s="2" t="s">
        <v>2942</v>
      </c>
      <c r="F1162" s="3">
        <v>0</v>
      </c>
      <c r="G1162" s="3">
        <v>650000000</v>
      </c>
      <c r="H1162" s="4">
        <v>0</v>
      </c>
      <c r="I1162" s="4">
        <v>0</v>
      </c>
      <c r="J1162" s="16">
        <f t="shared" si="36"/>
        <v>-1</v>
      </c>
      <c r="K1162" s="16" t="str">
        <f t="shared" si="37"/>
        <v>--</v>
      </c>
    </row>
    <row r="1163" spans="1:11" ht="19.5" customHeight="1" x14ac:dyDescent="0.25">
      <c r="A1163" s="2" t="s">
        <v>2918</v>
      </c>
      <c r="B1163" s="2" t="s">
        <v>887</v>
      </c>
      <c r="C1163" s="2" t="s">
        <v>2943</v>
      </c>
      <c r="D1163" s="2" t="s">
        <v>2944</v>
      </c>
      <c r="E1163" s="2" t="s">
        <v>2945</v>
      </c>
      <c r="F1163" s="3">
        <v>12652.22</v>
      </c>
      <c r="G1163" s="4">
        <v>30000</v>
      </c>
      <c r="H1163" s="4">
        <v>30000</v>
      </c>
      <c r="I1163" s="4">
        <v>30000</v>
      </c>
      <c r="J1163" s="16">
        <f t="shared" si="36"/>
        <v>0</v>
      </c>
      <c r="K1163" s="16">
        <f t="shared" si="37"/>
        <v>0</v>
      </c>
    </row>
    <row r="1164" spans="1:11" ht="19.5" customHeight="1" x14ac:dyDescent="0.25">
      <c r="A1164" s="2" t="s">
        <v>2918</v>
      </c>
      <c r="B1164" s="2" t="s">
        <v>54</v>
      </c>
      <c r="C1164" s="2" t="s">
        <v>54</v>
      </c>
      <c r="D1164" s="2" t="s">
        <v>2946</v>
      </c>
      <c r="E1164" s="2" t="s">
        <v>22</v>
      </c>
      <c r="F1164" s="3">
        <v>3043099.55</v>
      </c>
      <c r="G1164" s="3">
        <v>3328628</v>
      </c>
      <c r="H1164" s="4">
        <v>4128353</v>
      </c>
      <c r="I1164" s="4">
        <v>4128353</v>
      </c>
      <c r="J1164" s="16">
        <f t="shared" si="36"/>
        <v>0.24025664628189158</v>
      </c>
      <c r="K1164" s="16">
        <f t="shared" si="37"/>
        <v>0</v>
      </c>
    </row>
    <row r="1165" spans="1:11" ht="19.5" customHeight="1" x14ac:dyDescent="0.25">
      <c r="A1165" s="2" t="s">
        <v>2918</v>
      </c>
      <c r="B1165" s="2" t="s">
        <v>54</v>
      </c>
      <c r="C1165" s="2" t="s">
        <v>54</v>
      </c>
      <c r="D1165" s="2" t="s">
        <v>2947</v>
      </c>
      <c r="E1165" s="2" t="s">
        <v>2948</v>
      </c>
      <c r="F1165" s="3">
        <v>1015523.93</v>
      </c>
      <c r="G1165" s="3">
        <v>799725</v>
      </c>
      <c r="H1165" s="4">
        <v>0</v>
      </c>
      <c r="I1165" s="4">
        <v>0</v>
      </c>
      <c r="J1165" s="16">
        <f t="shared" si="36"/>
        <v>-1</v>
      </c>
      <c r="K1165" s="16" t="str">
        <f t="shared" si="37"/>
        <v>--</v>
      </c>
    </row>
    <row r="1166" spans="1:11" ht="19.5" customHeight="1" x14ac:dyDescent="0.25">
      <c r="A1166" s="2" t="s">
        <v>2918</v>
      </c>
      <c r="B1166" s="2" t="s">
        <v>243</v>
      </c>
      <c r="C1166" s="2" t="s">
        <v>2949</v>
      </c>
      <c r="D1166" s="2" t="s">
        <v>2950</v>
      </c>
      <c r="E1166" s="2" t="s">
        <v>2951</v>
      </c>
      <c r="F1166" s="3">
        <v>14911437.16</v>
      </c>
      <c r="G1166" s="3">
        <v>16995903</v>
      </c>
      <c r="H1166" s="4">
        <v>16500000</v>
      </c>
      <c r="I1166" s="4">
        <v>17200000</v>
      </c>
      <c r="J1166" s="16">
        <f t="shared" si="36"/>
        <v>-2.9177796554852087E-2</v>
      </c>
      <c r="K1166" s="16">
        <f t="shared" si="37"/>
        <v>4.2424242424242475E-2</v>
      </c>
    </row>
    <row r="1167" spans="1:11" ht="19.5" customHeight="1" x14ac:dyDescent="0.25">
      <c r="A1167" s="2" t="s">
        <v>2918</v>
      </c>
      <c r="B1167" s="2" t="s">
        <v>243</v>
      </c>
      <c r="C1167" s="2" t="s">
        <v>2949</v>
      </c>
      <c r="D1167" s="2" t="s">
        <v>2952</v>
      </c>
      <c r="E1167" s="2" t="s">
        <v>2953</v>
      </c>
      <c r="F1167" s="3">
        <v>5408504.2599999998</v>
      </c>
      <c r="G1167" s="3">
        <v>6543051</v>
      </c>
      <c r="H1167" s="4">
        <v>6730000</v>
      </c>
      <c r="I1167" s="4">
        <v>7050000</v>
      </c>
      <c r="J1167" s="16">
        <f t="shared" si="36"/>
        <v>2.8572144707415648E-2</v>
      </c>
      <c r="K1167" s="16">
        <f t="shared" si="37"/>
        <v>4.7548291233283857E-2</v>
      </c>
    </row>
    <row r="1168" spans="1:11" ht="19.5" customHeight="1" x14ac:dyDescent="0.25">
      <c r="A1168" s="2" t="s">
        <v>2954</v>
      </c>
      <c r="B1168" s="2" t="s">
        <v>16</v>
      </c>
      <c r="C1168" s="2" t="s">
        <v>2955</v>
      </c>
      <c r="D1168" s="2" t="s">
        <v>2956</v>
      </c>
      <c r="E1168" s="2" t="s">
        <v>22</v>
      </c>
      <c r="F1168" s="3">
        <v>5176277.7699999996</v>
      </c>
      <c r="G1168" s="3">
        <v>5541043</v>
      </c>
      <c r="H1168" s="4">
        <v>5641043</v>
      </c>
      <c r="I1168" s="4">
        <v>5641043</v>
      </c>
      <c r="J1168" s="16">
        <f t="shared" si="36"/>
        <v>1.8047143831946499E-2</v>
      </c>
      <c r="K1168" s="16">
        <f t="shared" si="37"/>
        <v>0</v>
      </c>
    </row>
    <row r="1169" spans="1:11" ht="19.5" customHeight="1" x14ac:dyDescent="0.25">
      <c r="A1169" s="2" t="s">
        <v>2957</v>
      </c>
      <c r="B1169" s="2" t="s">
        <v>16</v>
      </c>
      <c r="C1169" s="2" t="s">
        <v>2958</v>
      </c>
      <c r="D1169" s="2" t="s">
        <v>2959</v>
      </c>
      <c r="E1169" s="2" t="s">
        <v>2960</v>
      </c>
      <c r="F1169" s="3">
        <v>30000</v>
      </c>
      <c r="G1169" s="3">
        <v>150000</v>
      </c>
      <c r="H1169" s="4">
        <v>150000</v>
      </c>
      <c r="I1169" s="4">
        <v>150000</v>
      </c>
      <c r="J1169" s="16">
        <f t="shared" si="36"/>
        <v>0</v>
      </c>
      <c r="K1169" s="16">
        <f t="shared" si="37"/>
        <v>0</v>
      </c>
    </row>
    <row r="1170" spans="1:11" ht="19.5" customHeight="1" x14ac:dyDescent="0.25">
      <c r="A1170" s="2" t="s">
        <v>2957</v>
      </c>
      <c r="B1170" s="2" t="s">
        <v>16</v>
      </c>
      <c r="C1170" s="2" t="s">
        <v>2961</v>
      </c>
      <c r="D1170" s="2" t="s">
        <v>2962</v>
      </c>
      <c r="E1170" s="2" t="s">
        <v>2963</v>
      </c>
      <c r="F1170" s="3">
        <v>3720</v>
      </c>
      <c r="G1170" s="3">
        <v>10000</v>
      </c>
      <c r="H1170" s="4">
        <v>10000</v>
      </c>
      <c r="I1170" s="4">
        <v>10000</v>
      </c>
      <c r="J1170" s="16">
        <f t="shared" si="36"/>
        <v>0</v>
      </c>
      <c r="K1170" s="16">
        <f t="shared" si="37"/>
        <v>0</v>
      </c>
    </row>
    <row r="1171" spans="1:11" ht="19.5" customHeight="1" x14ac:dyDescent="0.25">
      <c r="A1171" s="6" t="s">
        <v>2957</v>
      </c>
      <c r="B1171" s="6" t="s">
        <v>16</v>
      </c>
      <c r="C1171" s="6" t="s">
        <v>2964</v>
      </c>
      <c r="D1171" s="7" t="s">
        <v>2965</v>
      </c>
      <c r="E1171" s="6" t="s">
        <v>2966</v>
      </c>
      <c r="F1171" s="4">
        <v>0</v>
      </c>
      <c r="G1171" s="4">
        <v>0</v>
      </c>
      <c r="H1171" s="4">
        <v>0</v>
      </c>
      <c r="I1171" s="4">
        <v>0</v>
      </c>
      <c r="J1171" s="16" t="str">
        <f t="shared" si="36"/>
        <v>--</v>
      </c>
      <c r="K1171" s="16" t="str">
        <f t="shared" si="37"/>
        <v>--</v>
      </c>
    </row>
    <row r="1172" spans="1:11" ht="19.5" customHeight="1" x14ac:dyDescent="0.25">
      <c r="A1172" s="2" t="s">
        <v>2957</v>
      </c>
      <c r="B1172" s="2" t="s">
        <v>44</v>
      </c>
      <c r="C1172" s="2" t="s">
        <v>550</v>
      </c>
      <c r="D1172" s="2" t="s">
        <v>2967</v>
      </c>
      <c r="E1172" s="2" t="s">
        <v>2968</v>
      </c>
      <c r="F1172" s="3">
        <v>0</v>
      </c>
      <c r="G1172" s="3">
        <v>1200000</v>
      </c>
      <c r="H1172" s="4">
        <v>0</v>
      </c>
      <c r="I1172" s="4">
        <v>0</v>
      </c>
      <c r="J1172" s="16">
        <f t="shared" si="36"/>
        <v>-1</v>
      </c>
      <c r="K1172" s="16" t="str">
        <f t="shared" si="37"/>
        <v>--</v>
      </c>
    </row>
    <row r="1173" spans="1:11" ht="19.5" customHeight="1" x14ac:dyDescent="0.25">
      <c r="A1173" s="6" t="s">
        <v>2957</v>
      </c>
      <c r="B1173" s="6" t="s">
        <v>54</v>
      </c>
      <c r="C1173" s="6" t="s">
        <v>54</v>
      </c>
      <c r="D1173" s="7" t="s">
        <v>2969</v>
      </c>
      <c r="E1173" s="6" t="s">
        <v>2970</v>
      </c>
      <c r="F1173" s="9">
        <v>0</v>
      </c>
      <c r="G1173" s="9">
        <v>0</v>
      </c>
      <c r="H1173" s="4">
        <v>200000</v>
      </c>
      <c r="I1173" s="4">
        <v>200000</v>
      </c>
      <c r="J1173" s="16" t="str">
        <f t="shared" si="36"/>
        <v>--</v>
      </c>
      <c r="K1173" s="16">
        <f t="shared" si="37"/>
        <v>0</v>
      </c>
    </row>
    <row r="1174" spans="1:11" ht="19.5" customHeight="1" x14ac:dyDescent="0.25">
      <c r="A1174" s="2" t="s">
        <v>2957</v>
      </c>
      <c r="B1174" s="2" t="s">
        <v>54</v>
      </c>
      <c r="C1174" s="2" t="s">
        <v>54</v>
      </c>
      <c r="D1174" s="2" t="s">
        <v>2971</v>
      </c>
      <c r="E1174" s="2" t="s">
        <v>2972</v>
      </c>
      <c r="F1174" s="3">
        <v>5180712</v>
      </c>
      <c r="G1174" s="3">
        <v>4791092</v>
      </c>
      <c r="H1174" s="4">
        <v>5016092</v>
      </c>
      <c r="I1174" s="4">
        <v>5016092</v>
      </c>
      <c r="J1174" s="16">
        <f t="shared" si="36"/>
        <v>4.6962153930669714E-2</v>
      </c>
      <c r="K1174" s="16">
        <f t="shared" si="37"/>
        <v>0</v>
      </c>
    </row>
    <row r="1175" spans="1:11" ht="19.5" customHeight="1" x14ac:dyDescent="0.25">
      <c r="A1175" s="2" t="s">
        <v>2957</v>
      </c>
      <c r="B1175" s="2" t="s">
        <v>54</v>
      </c>
      <c r="C1175" s="2" t="s">
        <v>54</v>
      </c>
      <c r="D1175" s="2" t="s">
        <v>2973</v>
      </c>
      <c r="E1175" s="2" t="s">
        <v>2974</v>
      </c>
      <c r="F1175" s="3">
        <v>6707853</v>
      </c>
      <c r="G1175" s="3">
        <v>6298753</v>
      </c>
      <c r="H1175" s="4">
        <v>7232753</v>
      </c>
      <c r="I1175" s="4">
        <v>6532753</v>
      </c>
      <c r="J1175" s="16">
        <f t="shared" si="36"/>
        <v>0.14828331893630375</v>
      </c>
      <c r="K1175" s="16">
        <f t="shared" si="37"/>
        <v>-9.6781958405049884E-2</v>
      </c>
    </row>
    <row r="1176" spans="1:11" ht="19.5" customHeight="1" x14ac:dyDescent="0.25">
      <c r="A1176" s="2" t="s">
        <v>2957</v>
      </c>
      <c r="B1176" s="2" t="s">
        <v>54</v>
      </c>
      <c r="C1176" s="2" t="s">
        <v>54</v>
      </c>
      <c r="D1176" s="2" t="s">
        <v>2975</v>
      </c>
      <c r="E1176" s="2" t="s">
        <v>2976</v>
      </c>
      <c r="F1176" s="3">
        <v>281300</v>
      </c>
      <c r="G1176" s="3">
        <v>261609</v>
      </c>
      <c r="H1176" s="4">
        <v>261609</v>
      </c>
      <c r="I1176" s="4">
        <v>261609</v>
      </c>
      <c r="J1176" s="16">
        <f t="shared" si="36"/>
        <v>0</v>
      </c>
      <c r="K1176" s="16">
        <f t="shared" si="37"/>
        <v>0</v>
      </c>
    </row>
    <row r="1177" spans="1:11" ht="19.5" customHeight="1" x14ac:dyDescent="0.25">
      <c r="A1177" s="2" t="s">
        <v>2957</v>
      </c>
      <c r="B1177" s="2" t="s">
        <v>54</v>
      </c>
      <c r="C1177" s="2" t="s">
        <v>54</v>
      </c>
      <c r="D1177" s="2" t="s">
        <v>2977</v>
      </c>
      <c r="E1177" s="2" t="s">
        <v>2978</v>
      </c>
      <c r="F1177" s="3">
        <v>485000</v>
      </c>
      <c r="G1177" s="3">
        <v>451050</v>
      </c>
      <c r="H1177" s="4">
        <v>536050</v>
      </c>
      <c r="I1177" s="4">
        <v>536050</v>
      </c>
      <c r="J1177" s="16">
        <f t="shared" si="36"/>
        <v>0.18844917414920737</v>
      </c>
      <c r="K1177" s="16">
        <f t="shared" si="37"/>
        <v>0</v>
      </c>
    </row>
    <row r="1178" spans="1:11" ht="19.5" customHeight="1" x14ac:dyDescent="0.25">
      <c r="A1178" s="2" t="s">
        <v>2957</v>
      </c>
      <c r="B1178" s="2" t="s">
        <v>54</v>
      </c>
      <c r="C1178" s="2" t="s">
        <v>54</v>
      </c>
      <c r="D1178" s="2" t="s">
        <v>2979</v>
      </c>
      <c r="E1178" s="2" t="s">
        <v>2980</v>
      </c>
      <c r="F1178" s="3">
        <v>550000</v>
      </c>
      <c r="G1178" s="3">
        <v>511500</v>
      </c>
      <c r="H1178" s="4">
        <v>572880</v>
      </c>
      <c r="I1178" s="4">
        <v>572880</v>
      </c>
      <c r="J1178" s="16">
        <f t="shared" si="36"/>
        <v>0.12000000000000011</v>
      </c>
      <c r="K1178" s="16">
        <f t="shared" si="37"/>
        <v>0</v>
      </c>
    </row>
    <row r="1179" spans="1:11" ht="19.5" customHeight="1" x14ac:dyDescent="0.25">
      <c r="A1179" s="2" t="s">
        <v>2957</v>
      </c>
      <c r="B1179" s="2" t="s">
        <v>54</v>
      </c>
      <c r="C1179" s="2" t="s">
        <v>54</v>
      </c>
      <c r="D1179" s="2" t="s">
        <v>2981</v>
      </c>
      <c r="E1179" s="2" t="s">
        <v>2982</v>
      </c>
      <c r="F1179" s="3">
        <v>1338500</v>
      </c>
      <c r="G1179" s="3">
        <v>1244805</v>
      </c>
      <c r="H1179" s="4">
        <v>1675000</v>
      </c>
      <c r="I1179" s="4">
        <v>1635000</v>
      </c>
      <c r="J1179" s="16">
        <f t="shared" si="36"/>
        <v>0.34559228152200538</v>
      </c>
      <c r="K1179" s="16">
        <f t="shared" si="37"/>
        <v>-2.3880597014925398E-2</v>
      </c>
    </row>
    <row r="1180" spans="1:11" ht="19.5" customHeight="1" x14ac:dyDescent="0.25">
      <c r="A1180" s="2" t="s">
        <v>2957</v>
      </c>
      <c r="B1180" s="2" t="s">
        <v>54</v>
      </c>
      <c r="C1180" s="2" t="s">
        <v>54</v>
      </c>
      <c r="D1180" s="2" t="s">
        <v>2983</v>
      </c>
      <c r="E1180" s="2" t="s">
        <v>2984</v>
      </c>
      <c r="F1180" s="3">
        <v>155582</v>
      </c>
      <c r="G1180" s="3">
        <v>144692</v>
      </c>
      <c r="H1180" s="4">
        <v>144692</v>
      </c>
      <c r="I1180" s="4">
        <v>144692</v>
      </c>
      <c r="J1180" s="16">
        <f t="shared" si="36"/>
        <v>0</v>
      </c>
      <c r="K1180" s="16">
        <f t="shared" si="37"/>
        <v>0</v>
      </c>
    </row>
    <row r="1181" spans="1:11" ht="19.5" customHeight="1" x14ac:dyDescent="0.25">
      <c r="A1181" s="2" t="s">
        <v>2985</v>
      </c>
      <c r="B1181" s="2" t="s">
        <v>16</v>
      </c>
      <c r="C1181" s="2" t="s">
        <v>2986</v>
      </c>
      <c r="D1181" s="2" t="s">
        <v>2987</v>
      </c>
      <c r="E1181" s="2" t="s">
        <v>2988</v>
      </c>
      <c r="F1181" s="3">
        <v>1322025.6399999999</v>
      </c>
      <c r="G1181" s="3">
        <v>1119900</v>
      </c>
      <c r="H1181" s="4">
        <v>1545498</v>
      </c>
      <c r="I1181" s="4">
        <v>1555368</v>
      </c>
      <c r="J1181" s="16">
        <f t="shared" si="36"/>
        <v>0.38003214572729704</v>
      </c>
      <c r="K1181" s="16">
        <f t="shared" si="37"/>
        <v>6.3862910207583834E-3</v>
      </c>
    </row>
    <row r="1182" spans="1:11" ht="19.5" customHeight="1" x14ac:dyDescent="0.25">
      <c r="A1182" s="2" t="s">
        <v>2985</v>
      </c>
      <c r="B1182" s="2" t="s">
        <v>16</v>
      </c>
      <c r="C1182" s="2" t="s">
        <v>2989</v>
      </c>
      <c r="D1182" s="2" t="s">
        <v>2990</v>
      </c>
      <c r="E1182" s="2" t="s">
        <v>2991</v>
      </c>
      <c r="F1182" s="3">
        <v>7447438.1699999999</v>
      </c>
      <c r="G1182" s="3">
        <v>7582069</v>
      </c>
      <c r="H1182" s="4">
        <v>8000000</v>
      </c>
      <c r="I1182" s="4">
        <v>8000000</v>
      </c>
      <c r="J1182" s="16">
        <f t="shared" si="36"/>
        <v>5.5120970278693004E-2</v>
      </c>
      <c r="K1182" s="16">
        <f t="shared" si="37"/>
        <v>0</v>
      </c>
    </row>
    <row r="1183" spans="1:11" ht="19.5" customHeight="1" x14ac:dyDescent="0.25">
      <c r="A1183" s="2" t="s">
        <v>2985</v>
      </c>
      <c r="B1183" s="2" t="s">
        <v>16</v>
      </c>
      <c r="C1183" s="2" t="s">
        <v>2992</v>
      </c>
      <c r="D1183" s="2" t="s">
        <v>2993</v>
      </c>
      <c r="E1183" s="2" t="s">
        <v>2994</v>
      </c>
      <c r="F1183" s="3">
        <v>2645754.44</v>
      </c>
      <c r="G1183" s="3">
        <v>2977759</v>
      </c>
      <c r="H1183" s="4">
        <v>3000000</v>
      </c>
      <c r="I1183" s="4">
        <v>3000000</v>
      </c>
      <c r="J1183" s="16">
        <f t="shared" si="36"/>
        <v>7.4690396368544132E-3</v>
      </c>
      <c r="K1183" s="16">
        <f t="shared" si="37"/>
        <v>0</v>
      </c>
    </row>
    <row r="1184" spans="1:11" ht="19.5" customHeight="1" x14ac:dyDescent="0.25">
      <c r="A1184" s="2" t="s">
        <v>2985</v>
      </c>
      <c r="B1184" s="2" t="s">
        <v>44</v>
      </c>
      <c r="C1184" s="2" t="s">
        <v>2995</v>
      </c>
      <c r="D1184" s="2" t="s">
        <v>2996</v>
      </c>
      <c r="E1184" s="2" t="s">
        <v>2997</v>
      </c>
      <c r="F1184" s="3">
        <v>68075224.370000005</v>
      </c>
      <c r="G1184" s="3">
        <v>77669930</v>
      </c>
      <c r="H1184" s="4">
        <v>84246693</v>
      </c>
      <c r="I1184" s="4">
        <v>85518074</v>
      </c>
      <c r="J1184" s="16">
        <f t="shared" si="36"/>
        <v>8.4675794094316803E-2</v>
      </c>
      <c r="K1184" s="16">
        <f t="shared" si="37"/>
        <v>1.5091168029586655E-2</v>
      </c>
    </row>
    <row r="1185" spans="1:11" ht="19.5" customHeight="1" x14ac:dyDescent="0.25">
      <c r="A1185" s="2" t="s">
        <v>2985</v>
      </c>
      <c r="B1185" s="2" t="s">
        <v>44</v>
      </c>
      <c r="C1185" s="2" t="s">
        <v>2998</v>
      </c>
      <c r="D1185" s="2" t="s">
        <v>2999</v>
      </c>
      <c r="E1185" s="2" t="s">
        <v>3000</v>
      </c>
      <c r="F1185" s="3">
        <v>119515168.72</v>
      </c>
      <c r="G1185" s="3">
        <v>125843151</v>
      </c>
      <c r="H1185" s="4">
        <v>129098355</v>
      </c>
      <c r="I1185" s="4">
        <v>130495615</v>
      </c>
      <c r="J1185" s="16">
        <f t="shared" si="36"/>
        <v>2.586715267484041E-2</v>
      </c>
      <c r="K1185" s="16">
        <f t="shared" si="37"/>
        <v>1.0823220791620569E-2</v>
      </c>
    </row>
    <row r="1186" spans="1:11" ht="19.5" customHeight="1" x14ac:dyDescent="0.25">
      <c r="A1186" s="2" t="s">
        <v>2985</v>
      </c>
      <c r="B1186" s="2" t="s">
        <v>44</v>
      </c>
      <c r="C1186" s="2" t="s">
        <v>3001</v>
      </c>
      <c r="D1186" s="2" t="s">
        <v>3002</v>
      </c>
      <c r="E1186" s="2" t="s">
        <v>3003</v>
      </c>
      <c r="F1186" s="3">
        <v>2590658.9900000002</v>
      </c>
      <c r="G1186" s="3">
        <v>2636527</v>
      </c>
      <c r="H1186" s="4">
        <v>3133972</v>
      </c>
      <c r="I1186" s="4">
        <v>3139040</v>
      </c>
      <c r="J1186" s="16">
        <f t="shared" si="36"/>
        <v>0.18867434317949328</v>
      </c>
      <c r="K1186" s="16">
        <f t="shared" si="37"/>
        <v>1.6171171918575311E-3</v>
      </c>
    </row>
    <row r="1187" spans="1:11" ht="19.5" customHeight="1" x14ac:dyDescent="0.25">
      <c r="A1187" s="2" t="s">
        <v>2985</v>
      </c>
      <c r="B1187" s="2" t="s">
        <v>44</v>
      </c>
      <c r="C1187" s="2" t="s">
        <v>3001</v>
      </c>
      <c r="D1187" s="2" t="s">
        <v>3004</v>
      </c>
      <c r="E1187" s="2" t="s">
        <v>3005</v>
      </c>
      <c r="F1187" s="3">
        <v>780915.49</v>
      </c>
      <c r="G1187" s="3">
        <v>877936</v>
      </c>
      <c r="H1187" s="4">
        <v>950000</v>
      </c>
      <c r="I1187" s="4">
        <v>950000</v>
      </c>
      <c r="J1187" s="16">
        <f t="shared" si="36"/>
        <v>8.2083432049716576E-2</v>
      </c>
      <c r="K1187" s="16">
        <f t="shared" si="37"/>
        <v>0</v>
      </c>
    </row>
    <row r="1188" spans="1:11" ht="19.5" customHeight="1" x14ac:dyDescent="0.25">
      <c r="A1188" s="2" t="s">
        <v>2985</v>
      </c>
      <c r="B1188" s="2" t="s">
        <v>44</v>
      </c>
      <c r="C1188" s="2" t="s">
        <v>3001</v>
      </c>
      <c r="D1188" s="2" t="s">
        <v>3006</v>
      </c>
      <c r="E1188" s="2" t="s">
        <v>3007</v>
      </c>
      <c r="F1188" s="3">
        <v>539593.34</v>
      </c>
      <c r="G1188" s="3">
        <v>662411</v>
      </c>
      <c r="H1188" s="4">
        <v>737411</v>
      </c>
      <c r="I1188" s="4">
        <v>737411</v>
      </c>
      <c r="J1188" s="16">
        <f t="shared" si="36"/>
        <v>0.11322275747232458</v>
      </c>
      <c r="K1188" s="16">
        <f t="shared" si="37"/>
        <v>0</v>
      </c>
    </row>
    <row r="1189" spans="1:11" ht="19.5" customHeight="1" x14ac:dyDescent="0.25">
      <c r="A1189" s="2" t="s">
        <v>2985</v>
      </c>
      <c r="B1189" s="2" t="s">
        <v>44</v>
      </c>
      <c r="C1189" s="2" t="s">
        <v>3008</v>
      </c>
      <c r="D1189" s="2" t="s">
        <v>3009</v>
      </c>
      <c r="E1189" s="2" t="s">
        <v>3010</v>
      </c>
      <c r="F1189" s="3">
        <v>8755407.4600000009</v>
      </c>
      <c r="G1189" s="3">
        <v>8301977</v>
      </c>
      <c r="H1189" s="4">
        <v>9100000</v>
      </c>
      <c r="I1189" s="4">
        <v>9100000</v>
      </c>
      <c r="J1189" s="16">
        <f t="shared" si="36"/>
        <v>9.6124453247702357E-2</v>
      </c>
      <c r="K1189" s="16">
        <f t="shared" si="37"/>
        <v>0</v>
      </c>
    </row>
    <row r="1190" spans="1:11" ht="19.5" customHeight="1" x14ac:dyDescent="0.25">
      <c r="A1190" s="2" t="s">
        <v>2985</v>
      </c>
      <c r="B1190" s="2" t="s">
        <v>44</v>
      </c>
      <c r="C1190" s="2" t="s">
        <v>3011</v>
      </c>
      <c r="D1190" s="8" t="s">
        <v>3016</v>
      </c>
      <c r="E1190" s="2" t="s">
        <v>3017</v>
      </c>
      <c r="F1190" s="3">
        <v>0</v>
      </c>
      <c r="G1190" s="3">
        <v>0</v>
      </c>
      <c r="H1190" s="4">
        <v>1031161</v>
      </c>
      <c r="I1190" s="4">
        <v>0</v>
      </c>
      <c r="J1190" s="16" t="str">
        <f t="shared" si="36"/>
        <v>--</v>
      </c>
      <c r="K1190" s="16">
        <f t="shared" si="37"/>
        <v>-1</v>
      </c>
    </row>
    <row r="1191" spans="1:11" ht="19.5" customHeight="1" x14ac:dyDescent="0.25">
      <c r="A1191" s="2" t="s">
        <v>2985</v>
      </c>
      <c r="B1191" s="2" t="s">
        <v>44</v>
      </c>
      <c r="C1191" s="2" t="s">
        <v>3011</v>
      </c>
      <c r="D1191" s="2" t="s">
        <v>3012</v>
      </c>
      <c r="E1191" s="2" t="s">
        <v>3013</v>
      </c>
      <c r="F1191" s="3">
        <v>691153.28</v>
      </c>
      <c r="G1191" s="3">
        <v>850000</v>
      </c>
      <c r="H1191" s="4">
        <v>850000</v>
      </c>
      <c r="I1191" s="4">
        <v>850000</v>
      </c>
      <c r="J1191" s="16">
        <f t="shared" si="36"/>
        <v>0</v>
      </c>
      <c r="K1191" s="16">
        <f t="shared" si="37"/>
        <v>0</v>
      </c>
    </row>
    <row r="1192" spans="1:11" ht="19.5" customHeight="1" x14ac:dyDescent="0.25">
      <c r="A1192" s="2" t="s">
        <v>2985</v>
      </c>
      <c r="B1192" s="2" t="s">
        <v>44</v>
      </c>
      <c r="C1192" s="2" t="s">
        <v>3011</v>
      </c>
      <c r="D1192" s="2" t="s">
        <v>3014</v>
      </c>
      <c r="E1192" s="2" t="s">
        <v>3015</v>
      </c>
      <c r="F1192" s="3">
        <v>1331165.58</v>
      </c>
      <c r="G1192" s="3">
        <v>1542241</v>
      </c>
      <c r="H1192" s="4">
        <v>2545971</v>
      </c>
      <c r="I1192" s="4">
        <v>1733658</v>
      </c>
      <c r="J1192" s="16">
        <f t="shared" si="36"/>
        <v>0.65082564916896901</v>
      </c>
      <c r="K1192" s="16">
        <f t="shared" si="37"/>
        <v>-0.31905822964990571</v>
      </c>
    </row>
    <row r="1193" spans="1:11" ht="19.5" customHeight="1" x14ac:dyDescent="0.25">
      <c r="A1193" s="2" t="s">
        <v>2985</v>
      </c>
      <c r="B1193" s="2" t="s">
        <v>54</v>
      </c>
      <c r="C1193" s="2" t="s">
        <v>54</v>
      </c>
      <c r="D1193" s="2" t="s">
        <v>3018</v>
      </c>
      <c r="E1193" s="2" t="s">
        <v>3019</v>
      </c>
      <c r="F1193" s="3">
        <v>237644</v>
      </c>
      <c r="G1193" s="3">
        <v>252000</v>
      </c>
      <c r="H1193" s="4">
        <v>252000</v>
      </c>
      <c r="I1193" s="4">
        <v>252000</v>
      </c>
      <c r="J1193" s="16">
        <f t="shared" si="36"/>
        <v>0</v>
      </c>
      <c r="K1193" s="16">
        <f t="shared" si="37"/>
        <v>0</v>
      </c>
    </row>
    <row r="1194" spans="1:11" ht="19.5" customHeight="1" x14ac:dyDescent="0.25">
      <c r="A1194" s="2" t="s">
        <v>2985</v>
      </c>
      <c r="B1194" s="2" t="s">
        <v>54</v>
      </c>
      <c r="C1194" s="2" t="s">
        <v>54</v>
      </c>
      <c r="D1194" s="2" t="s">
        <v>3020</v>
      </c>
      <c r="E1194" s="2" t="s">
        <v>3021</v>
      </c>
      <c r="F1194" s="3">
        <v>25819</v>
      </c>
      <c r="G1194" s="3">
        <v>25819</v>
      </c>
      <c r="H1194" s="4">
        <v>25819</v>
      </c>
      <c r="I1194" s="4">
        <v>25819</v>
      </c>
      <c r="J1194" s="16">
        <f t="shared" si="36"/>
        <v>0</v>
      </c>
      <c r="K1194" s="16">
        <f t="shared" si="37"/>
        <v>0</v>
      </c>
    </row>
    <row r="1195" spans="1:11" ht="19.5" customHeight="1" x14ac:dyDescent="0.25">
      <c r="A1195" s="2" t="s">
        <v>2985</v>
      </c>
      <c r="B1195" s="2" t="s">
        <v>54</v>
      </c>
      <c r="C1195" s="2" t="s">
        <v>54</v>
      </c>
      <c r="D1195" s="2" t="s">
        <v>3022</v>
      </c>
      <c r="E1195" s="2" t="s">
        <v>3023</v>
      </c>
      <c r="F1195" s="3">
        <v>126567</v>
      </c>
      <c r="G1195" s="3">
        <v>126567</v>
      </c>
      <c r="H1195" s="4">
        <v>550000</v>
      </c>
      <c r="I1195" s="4">
        <v>550000</v>
      </c>
      <c r="J1195" s="16">
        <f t="shared" si="36"/>
        <v>3.34552450480773</v>
      </c>
      <c r="K1195" s="16">
        <f t="shared" si="37"/>
        <v>0</v>
      </c>
    </row>
    <row r="1196" spans="1:11" ht="19.5" customHeight="1" x14ac:dyDescent="0.25">
      <c r="A1196" s="2" t="s">
        <v>2985</v>
      </c>
      <c r="B1196" s="2" t="s">
        <v>54</v>
      </c>
      <c r="C1196" s="2" t="s">
        <v>54</v>
      </c>
      <c r="D1196" s="2" t="s">
        <v>3024</v>
      </c>
      <c r="E1196" s="2" t="s">
        <v>3025</v>
      </c>
      <c r="F1196" s="3">
        <v>16998426</v>
      </c>
      <c r="G1196" s="3">
        <v>18418244</v>
      </c>
      <c r="H1196" s="4">
        <v>18418244</v>
      </c>
      <c r="I1196" s="4">
        <v>18418244</v>
      </c>
      <c r="J1196" s="16">
        <f t="shared" si="36"/>
        <v>0</v>
      </c>
      <c r="K1196" s="16">
        <f t="shared" si="37"/>
        <v>0</v>
      </c>
    </row>
    <row r="1197" spans="1:11" ht="19.5" customHeight="1" x14ac:dyDescent="0.25">
      <c r="A1197" s="2" t="s">
        <v>2985</v>
      </c>
      <c r="B1197" s="2" t="s">
        <v>54</v>
      </c>
      <c r="C1197" s="2" t="s">
        <v>54</v>
      </c>
      <c r="D1197" s="2" t="s">
        <v>3026</v>
      </c>
      <c r="E1197" s="2" t="s">
        <v>3027</v>
      </c>
      <c r="F1197" s="3">
        <v>27580</v>
      </c>
      <c r="G1197" s="3">
        <v>27580</v>
      </c>
      <c r="H1197" s="4">
        <v>27580</v>
      </c>
      <c r="I1197" s="4">
        <v>27580</v>
      </c>
      <c r="J1197" s="16">
        <f t="shared" si="36"/>
        <v>0</v>
      </c>
      <c r="K1197" s="16">
        <f t="shared" si="37"/>
        <v>0</v>
      </c>
    </row>
    <row r="1198" spans="1:11" ht="19.5" customHeight="1" x14ac:dyDescent="0.25">
      <c r="A1198" s="2" t="s">
        <v>2985</v>
      </c>
      <c r="B1198" s="2" t="s">
        <v>54</v>
      </c>
      <c r="C1198" s="2" t="s">
        <v>54</v>
      </c>
      <c r="D1198" s="2" t="s">
        <v>3028</v>
      </c>
      <c r="E1198" s="2" t="s">
        <v>3029</v>
      </c>
      <c r="F1198" s="3">
        <v>317249.32</v>
      </c>
      <c r="G1198" s="3">
        <v>360000</v>
      </c>
      <c r="H1198" s="4">
        <v>500000</v>
      </c>
      <c r="I1198" s="4">
        <v>500000</v>
      </c>
      <c r="J1198" s="16">
        <f t="shared" si="36"/>
        <v>0.38888888888888884</v>
      </c>
      <c r="K1198" s="16">
        <f t="shared" si="37"/>
        <v>0</v>
      </c>
    </row>
    <row r="1199" spans="1:11" ht="19.5" customHeight="1" x14ac:dyDescent="0.25">
      <c r="A1199" s="2" t="s">
        <v>2985</v>
      </c>
      <c r="B1199" s="2" t="s">
        <v>54</v>
      </c>
      <c r="C1199" s="2" t="s">
        <v>54</v>
      </c>
      <c r="D1199" s="2" t="s">
        <v>3030</v>
      </c>
      <c r="E1199" s="2" t="s">
        <v>3031</v>
      </c>
      <c r="F1199" s="3">
        <v>50000</v>
      </c>
      <c r="G1199" s="3">
        <v>50000</v>
      </c>
      <c r="H1199" s="4">
        <v>50000</v>
      </c>
      <c r="I1199" s="4">
        <v>50000</v>
      </c>
      <c r="J1199" s="16">
        <f t="shared" si="36"/>
        <v>0</v>
      </c>
      <c r="K1199" s="16">
        <f t="shared" si="37"/>
        <v>0</v>
      </c>
    </row>
    <row r="1200" spans="1:11" ht="19.5" customHeight="1" x14ac:dyDescent="0.25">
      <c r="A1200" s="2" t="s">
        <v>2985</v>
      </c>
      <c r="B1200" s="2" t="s">
        <v>243</v>
      </c>
      <c r="C1200" s="2" t="s">
        <v>3032</v>
      </c>
      <c r="D1200" s="2" t="s">
        <v>3033</v>
      </c>
      <c r="E1200" s="2" t="s">
        <v>3034</v>
      </c>
      <c r="F1200" s="3">
        <v>14698928.41</v>
      </c>
      <c r="G1200" s="3">
        <v>15022800</v>
      </c>
      <c r="H1200" s="4">
        <v>15865315</v>
      </c>
      <c r="I1200" s="4">
        <v>16138415</v>
      </c>
      <c r="J1200" s="16">
        <f t="shared" si="36"/>
        <v>5.6082421386159709E-2</v>
      </c>
      <c r="K1200" s="16">
        <f t="shared" si="37"/>
        <v>1.7213651288991105E-2</v>
      </c>
    </row>
    <row r="1201" spans="1:11" ht="19.5" customHeight="1" x14ac:dyDescent="0.25">
      <c r="A1201" s="2" t="s">
        <v>3035</v>
      </c>
      <c r="B1201" s="2" t="s">
        <v>16</v>
      </c>
      <c r="C1201" s="2" t="s">
        <v>3036</v>
      </c>
      <c r="D1201" s="2" t="s">
        <v>3037</v>
      </c>
      <c r="E1201" s="2" t="s">
        <v>3038</v>
      </c>
      <c r="F1201" s="3">
        <v>76837.5</v>
      </c>
      <c r="G1201" s="3">
        <v>200000</v>
      </c>
      <c r="H1201" s="4">
        <v>200000</v>
      </c>
      <c r="I1201" s="4">
        <v>200000</v>
      </c>
      <c r="J1201" s="16">
        <f t="shared" si="36"/>
        <v>0</v>
      </c>
      <c r="K1201" s="16">
        <f t="shared" si="37"/>
        <v>0</v>
      </c>
    </row>
    <row r="1202" spans="1:11" ht="19.5" customHeight="1" x14ac:dyDescent="0.25">
      <c r="A1202" s="2" t="s">
        <v>3035</v>
      </c>
      <c r="B1202" s="2" t="s">
        <v>16</v>
      </c>
      <c r="C1202" s="2" t="s">
        <v>3039</v>
      </c>
      <c r="D1202" s="2" t="s">
        <v>3040</v>
      </c>
      <c r="E1202" s="2" t="s">
        <v>3041</v>
      </c>
      <c r="F1202" s="3">
        <v>145638.38</v>
      </c>
      <c r="G1202" s="3">
        <v>300000</v>
      </c>
      <c r="H1202" s="4">
        <v>300000</v>
      </c>
      <c r="I1202" s="4">
        <v>300000</v>
      </c>
      <c r="J1202" s="16">
        <f t="shared" si="36"/>
        <v>0</v>
      </c>
      <c r="K1202" s="16">
        <f t="shared" si="37"/>
        <v>0</v>
      </c>
    </row>
    <row r="1203" spans="1:11" ht="19.5" customHeight="1" x14ac:dyDescent="0.25">
      <c r="A1203" s="2" t="s">
        <v>3035</v>
      </c>
      <c r="B1203" s="2" t="s">
        <v>16</v>
      </c>
      <c r="C1203" s="2" t="s">
        <v>3042</v>
      </c>
      <c r="D1203" s="2" t="s">
        <v>3043</v>
      </c>
      <c r="E1203" s="2" t="s">
        <v>3044</v>
      </c>
      <c r="F1203" s="4">
        <v>9357.7999999999993</v>
      </c>
      <c r="G1203" s="3">
        <v>10500</v>
      </c>
      <c r="H1203" s="4">
        <v>10500</v>
      </c>
      <c r="I1203" s="4">
        <v>10500</v>
      </c>
      <c r="J1203" s="16">
        <f t="shared" si="36"/>
        <v>0</v>
      </c>
      <c r="K1203" s="16">
        <f t="shared" si="37"/>
        <v>0</v>
      </c>
    </row>
    <row r="1204" spans="1:11" ht="19.5" customHeight="1" x14ac:dyDescent="0.25">
      <c r="A1204" s="2" t="s">
        <v>3035</v>
      </c>
      <c r="B1204" s="2" t="s">
        <v>44</v>
      </c>
      <c r="C1204" s="2" t="s">
        <v>3045</v>
      </c>
      <c r="D1204" s="2" t="s">
        <v>3046</v>
      </c>
      <c r="E1204" s="2" t="s">
        <v>1819</v>
      </c>
      <c r="F1204" s="3">
        <v>554648.06000000006</v>
      </c>
      <c r="G1204" s="3">
        <v>1278500</v>
      </c>
      <c r="H1204" s="4">
        <v>842850</v>
      </c>
      <c r="I1204" s="4">
        <v>842850</v>
      </c>
      <c r="J1204" s="16">
        <f t="shared" si="36"/>
        <v>-0.3407508799374267</v>
      </c>
      <c r="K1204" s="16">
        <f t="shared" si="37"/>
        <v>0</v>
      </c>
    </row>
    <row r="1205" spans="1:11" ht="19.5" customHeight="1" x14ac:dyDescent="0.25">
      <c r="A1205" s="2" t="s">
        <v>3035</v>
      </c>
      <c r="B1205" s="2" t="s">
        <v>44</v>
      </c>
      <c r="C1205" s="2" t="s">
        <v>3047</v>
      </c>
      <c r="D1205" s="2" t="s">
        <v>3048</v>
      </c>
      <c r="E1205" s="2" t="s">
        <v>3049</v>
      </c>
      <c r="F1205" s="3">
        <v>4068</v>
      </c>
      <c r="G1205" s="3">
        <v>265000</v>
      </c>
      <c r="H1205" s="4">
        <v>265000</v>
      </c>
      <c r="I1205" s="4">
        <v>265000</v>
      </c>
      <c r="J1205" s="16">
        <f t="shared" si="36"/>
        <v>0</v>
      </c>
      <c r="K1205" s="16">
        <f t="shared" si="37"/>
        <v>0</v>
      </c>
    </row>
    <row r="1206" spans="1:11" ht="19.5" customHeight="1" x14ac:dyDescent="0.25">
      <c r="A1206" s="2" t="s">
        <v>3035</v>
      </c>
      <c r="B1206" s="2" t="s">
        <v>44</v>
      </c>
      <c r="C1206" s="2" t="s">
        <v>3050</v>
      </c>
      <c r="D1206" s="2" t="s">
        <v>3051</v>
      </c>
      <c r="E1206" s="2" t="s">
        <v>3052</v>
      </c>
      <c r="F1206" s="3">
        <v>5055.63</v>
      </c>
      <c r="G1206" s="3">
        <v>100000</v>
      </c>
      <c r="H1206" s="4">
        <v>100000</v>
      </c>
      <c r="I1206" s="4">
        <v>100000</v>
      </c>
      <c r="J1206" s="16">
        <f t="shared" si="36"/>
        <v>0</v>
      </c>
      <c r="K1206" s="16">
        <f t="shared" si="37"/>
        <v>0</v>
      </c>
    </row>
    <row r="1207" spans="1:11" ht="19.5" customHeight="1" x14ac:dyDescent="0.25">
      <c r="A1207" s="2" t="s">
        <v>3035</v>
      </c>
      <c r="B1207" s="2" t="s">
        <v>54</v>
      </c>
      <c r="C1207" s="2" t="s">
        <v>54</v>
      </c>
      <c r="D1207" s="2" t="s">
        <v>3053</v>
      </c>
      <c r="E1207" s="2" t="s">
        <v>3054</v>
      </c>
      <c r="F1207" s="3">
        <v>11404645.029999999</v>
      </c>
      <c r="G1207" s="3">
        <v>12110773</v>
      </c>
      <c r="H1207" s="4">
        <v>12599774</v>
      </c>
      <c r="I1207" s="4">
        <v>12801135</v>
      </c>
      <c r="J1207" s="16">
        <f t="shared" si="36"/>
        <v>4.0377356589872404E-2</v>
      </c>
      <c r="K1207" s="16">
        <f t="shared" si="37"/>
        <v>1.5981318395075883E-2</v>
      </c>
    </row>
    <row r="1208" spans="1:11" ht="19.5" customHeight="1" x14ac:dyDescent="0.25">
      <c r="A1208" s="2" t="s">
        <v>3055</v>
      </c>
      <c r="B1208" s="2" t="s">
        <v>16</v>
      </c>
      <c r="C1208" s="2" t="s">
        <v>3056</v>
      </c>
      <c r="D1208" s="2" t="s">
        <v>3057</v>
      </c>
      <c r="E1208" s="2" t="s">
        <v>3058</v>
      </c>
      <c r="F1208" s="3">
        <v>42688.4</v>
      </c>
      <c r="G1208" s="3">
        <v>101000</v>
      </c>
      <c r="H1208" s="4">
        <v>200000</v>
      </c>
      <c r="I1208" s="4">
        <v>200000</v>
      </c>
      <c r="J1208" s="16">
        <f t="shared" si="36"/>
        <v>0.98019801980198018</v>
      </c>
      <c r="K1208" s="16">
        <f t="shared" si="37"/>
        <v>0</v>
      </c>
    </row>
    <row r="1209" spans="1:11" ht="19.5" customHeight="1" x14ac:dyDescent="0.25">
      <c r="A1209" s="2" t="s">
        <v>3055</v>
      </c>
      <c r="B1209" s="2" t="s">
        <v>16</v>
      </c>
      <c r="C1209" s="2" t="s">
        <v>3059</v>
      </c>
      <c r="D1209" s="2" t="s">
        <v>3060</v>
      </c>
      <c r="E1209" s="2" t="s">
        <v>3038</v>
      </c>
      <c r="F1209" s="3">
        <v>38668.410000000003</v>
      </c>
      <c r="G1209" s="3">
        <v>200000</v>
      </c>
      <c r="H1209" s="4">
        <v>210000</v>
      </c>
      <c r="I1209" s="4">
        <v>210000</v>
      </c>
      <c r="J1209" s="16">
        <f t="shared" si="36"/>
        <v>5.0000000000000044E-2</v>
      </c>
      <c r="K1209" s="16">
        <f t="shared" si="37"/>
        <v>0</v>
      </c>
    </row>
    <row r="1210" spans="1:11" ht="19.5" customHeight="1" x14ac:dyDescent="0.25">
      <c r="A1210" s="2" t="s">
        <v>3055</v>
      </c>
      <c r="B1210" s="2" t="s">
        <v>16</v>
      </c>
      <c r="C1210" s="2" t="s">
        <v>3061</v>
      </c>
      <c r="D1210" s="2" t="s">
        <v>3062</v>
      </c>
      <c r="E1210" s="2" t="s">
        <v>3063</v>
      </c>
      <c r="F1210" s="3">
        <v>0</v>
      </c>
      <c r="G1210" s="3">
        <v>63000</v>
      </c>
      <c r="H1210" s="4">
        <v>53000</v>
      </c>
      <c r="I1210" s="4">
        <v>53000</v>
      </c>
      <c r="J1210" s="16">
        <f t="shared" si="36"/>
        <v>-0.15873015873015872</v>
      </c>
      <c r="K1210" s="16">
        <f t="shared" si="37"/>
        <v>0</v>
      </c>
    </row>
    <row r="1211" spans="1:11" ht="19.5" customHeight="1" x14ac:dyDescent="0.25">
      <c r="A1211" s="2" t="s">
        <v>3055</v>
      </c>
      <c r="B1211" s="2" t="s">
        <v>16</v>
      </c>
      <c r="C1211" s="2" t="s">
        <v>3064</v>
      </c>
      <c r="D1211" s="2" t="s">
        <v>3065</v>
      </c>
      <c r="E1211" s="2" t="s">
        <v>3044</v>
      </c>
      <c r="F1211" s="4">
        <v>0</v>
      </c>
      <c r="G1211" s="3">
        <v>10500</v>
      </c>
      <c r="H1211" s="4">
        <v>10500</v>
      </c>
      <c r="I1211" s="4">
        <v>10500</v>
      </c>
      <c r="J1211" s="16">
        <f t="shared" si="36"/>
        <v>0</v>
      </c>
      <c r="K1211" s="16">
        <f t="shared" si="37"/>
        <v>0</v>
      </c>
    </row>
    <row r="1212" spans="1:11" ht="19.5" customHeight="1" x14ac:dyDescent="0.25">
      <c r="A1212" s="2" t="s">
        <v>3055</v>
      </c>
      <c r="B1212" s="2" t="s">
        <v>44</v>
      </c>
      <c r="C1212" s="2" t="s">
        <v>3066</v>
      </c>
      <c r="D1212" s="2" t="s">
        <v>3067</v>
      </c>
      <c r="E1212" s="2" t="s">
        <v>1819</v>
      </c>
      <c r="F1212" s="4">
        <v>112552.37</v>
      </c>
      <c r="G1212" s="3">
        <v>783000</v>
      </c>
      <c r="H1212" s="4">
        <v>281000</v>
      </c>
      <c r="I1212" s="4">
        <v>281000</v>
      </c>
      <c r="J1212" s="16">
        <f t="shared" si="36"/>
        <v>-0.64112388250319285</v>
      </c>
      <c r="K1212" s="16">
        <f t="shared" si="37"/>
        <v>0</v>
      </c>
    </row>
    <row r="1213" spans="1:11" ht="19.5" customHeight="1" x14ac:dyDescent="0.25">
      <c r="A1213" s="2" t="s">
        <v>3055</v>
      </c>
      <c r="B1213" s="2" t="s">
        <v>44</v>
      </c>
      <c r="C1213" s="2" t="s">
        <v>3068</v>
      </c>
      <c r="D1213" s="2" t="s">
        <v>3069</v>
      </c>
      <c r="E1213" s="2" t="s">
        <v>3052</v>
      </c>
      <c r="F1213" s="3">
        <v>6907</v>
      </c>
      <c r="G1213" s="3">
        <v>206000</v>
      </c>
      <c r="H1213" s="4">
        <v>206000</v>
      </c>
      <c r="I1213" s="4">
        <v>206000</v>
      </c>
      <c r="J1213" s="16">
        <f t="shared" si="36"/>
        <v>0</v>
      </c>
      <c r="K1213" s="16">
        <f t="shared" si="37"/>
        <v>0</v>
      </c>
    </row>
    <row r="1214" spans="1:11" ht="19.5" customHeight="1" x14ac:dyDescent="0.25">
      <c r="A1214" s="2" t="s">
        <v>3055</v>
      </c>
      <c r="B1214" s="2" t="s">
        <v>54</v>
      </c>
      <c r="C1214" s="2" t="s">
        <v>54</v>
      </c>
      <c r="D1214" s="2" t="s">
        <v>3070</v>
      </c>
      <c r="E1214" s="2" t="s">
        <v>3054</v>
      </c>
      <c r="F1214" s="3">
        <v>12180036.199999999</v>
      </c>
      <c r="G1214" s="3">
        <v>13091356</v>
      </c>
      <c r="H1214" s="4">
        <v>13940430</v>
      </c>
      <c r="I1214" s="4">
        <v>14164662</v>
      </c>
      <c r="J1214" s="16">
        <f t="shared" si="36"/>
        <v>6.4857605277864216E-2</v>
      </c>
      <c r="K1214" s="16">
        <f t="shared" si="37"/>
        <v>1.6085013159565342E-2</v>
      </c>
    </row>
    <row r="1215" spans="1:11" ht="19.5" customHeight="1" x14ac:dyDescent="0.25">
      <c r="A1215" s="2" t="s">
        <v>3071</v>
      </c>
      <c r="B1215" s="2" t="s">
        <v>887</v>
      </c>
      <c r="C1215" s="2" t="s">
        <v>3072</v>
      </c>
      <c r="D1215" s="2" t="s">
        <v>3073</v>
      </c>
      <c r="E1215" s="2" t="s">
        <v>3074</v>
      </c>
      <c r="F1215" s="3">
        <v>827440459.59000003</v>
      </c>
      <c r="G1215" s="3">
        <v>824291520</v>
      </c>
      <c r="H1215" s="4">
        <v>849020267</v>
      </c>
      <c r="I1215" s="4">
        <v>874490874</v>
      </c>
      <c r="J1215" s="16">
        <f t="shared" si="36"/>
        <v>3.0000001698428314E-2</v>
      </c>
      <c r="K1215" s="16">
        <f t="shared" si="37"/>
        <v>2.9999998810393613E-2</v>
      </c>
    </row>
    <row r="1216" spans="1:11" ht="19.5" customHeight="1" x14ac:dyDescent="0.25">
      <c r="A1216" s="2" t="s">
        <v>3071</v>
      </c>
      <c r="B1216" s="2" t="s">
        <v>887</v>
      </c>
      <c r="C1216" s="2" t="s">
        <v>3075</v>
      </c>
      <c r="D1216" s="2" t="s">
        <v>3076</v>
      </c>
      <c r="E1216" s="2" t="s">
        <v>3077</v>
      </c>
      <c r="F1216" s="3">
        <v>82643519.129999995</v>
      </c>
      <c r="G1216" s="3">
        <v>90830634</v>
      </c>
      <c r="H1216" s="4">
        <v>90830634</v>
      </c>
      <c r="I1216" s="4">
        <v>93990898</v>
      </c>
      <c r="J1216" s="16">
        <f t="shared" si="36"/>
        <v>0</v>
      </c>
      <c r="K1216" s="16">
        <f t="shared" si="37"/>
        <v>3.4792931204245425E-2</v>
      </c>
    </row>
    <row r="1217" spans="1:11" ht="19.5" customHeight="1" x14ac:dyDescent="0.25">
      <c r="A1217" s="2" t="s">
        <v>3071</v>
      </c>
      <c r="B1217" s="2" t="s">
        <v>887</v>
      </c>
      <c r="C1217" s="2" t="s">
        <v>3078</v>
      </c>
      <c r="D1217" s="2" t="s">
        <v>3079</v>
      </c>
      <c r="E1217" s="2" t="s">
        <v>3080</v>
      </c>
      <c r="F1217" s="3">
        <v>23645241.66</v>
      </c>
      <c r="G1217" s="3">
        <v>25839844</v>
      </c>
      <c r="H1217" s="4">
        <v>25839844</v>
      </c>
      <c r="I1217" s="4">
        <v>26225104</v>
      </c>
      <c r="J1217" s="16">
        <f t="shared" si="36"/>
        <v>0</v>
      </c>
      <c r="K1217" s="16">
        <f t="shared" si="37"/>
        <v>1.4909532735569053E-2</v>
      </c>
    </row>
    <row r="1218" spans="1:11" ht="19.5" customHeight="1" x14ac:dyDescent="0.25">
      <c r="A1218" s="2" t="s">
        <v>3071</v>
      </c>
      <c r="B1218" s="2" t="s">
        <v>887</v>
      </c>
      <c r="C1218" s="2" t="s">
        <v>3081</v>
      </c>
      <c r="D1218" s="2" t="s">
        <v>3082</v>
      </c>
      <c r="E1218" s="2" t="s">
        <v>3083</v>
      </c>
      <c r="F1218" s="3">
        <v>814702159.95000005</v>
      </c>
      <c r="G1218" s="3">
        <v>989360953</v>
      </c>
      <c r="H1218" s="4">
        <v>989360954</v>
      </c>
      <c r="I1218" s="4">
        <v>1023563551</v>
      </c>
      <c r="J1218" s="16">
        <f t="shared" si="36"/>
        <v>1.0107534809122853E-9</v>
      </c>
      <c r="K1218" s="16">
        <f t="shared" si="37"/>
        <v>3.4570393001379651E-2</v>
      </c>
    </row>
    <row r="1219" spans="1:11" ht="19.5" customHeight="1" x14ac:dyDescent="0.25">
      <c r="A1219" s="2" t="s">
        <v>3071</v>
      </c>
      <c r="B1219" s="2" t="s">
        <v>887</v>
      </c>
      <c r="C1219" s="2" t="s">
        <v>3084</v>
      </c>
      <c r="D1219" s="2" t="s">
        <v>3085</v>
      </c>
      <c r="E1219" s="2" t="s">
        <v>3086</v>
      </c>
      <c r="F1219" s="3">
        <v>3283647</v>
      </c>
      <c r="G1219" s="3">
        <v>4477000</v>
      </c>
      <c r="H1219" s="4">
        <v>4477000</v>
      </c>
      <c r="I1219" s="4">
        <v>4477000</v>
      </c>
      <c r="J1219" s="16">
        <f t="shared" ref="J1219:J1282" si="38">IFERROR(H1219/G1219-1,"--")</f>
        <v>0</v>
      </c>
      <c r="K1219" s="16">
        <f t="shared" ref="K1219:K1282" si="39">IFERROR(I1219/H1219-1,"--")</f>
        <v>0</v>
      </c>
    </row>
    <row r="1220" spans="1:11" ht="19.5" customHeight="1" x14ac:dyDescent="0.25">
      <c r="A1220" s="2" t="s">
        <v>3071</v>
      </c>
      <c r="B1220" s="2" t="s">
        <v>887</v>
      </c>
      <c r="C1220" s="2" t="s">
        <v>3087</v>
      </c>
      <c r="D1220" s="2" t="s">
        <v>3088</v>
      </c>
      <c r="E1220" s="2" t="s">
        <v>3089</v>
      </c>
      <c r="F1220" s="3">
        <v>1956316.68</v>
      </c>
      <c r="G1220" s="3">
        <v>1810144</v>
      </c>
      <c r="H1220" s="4">
        <v>2050085</v>
      </c>
      <c r="I1220" s="4">
        <v>2118913</v>
      </c>
      <c r="J1220" s="16">
        <f t="shared" si="38"/>
        <v>0.13255354270157516</v>
      </c>
      <c r="K1220" s="16">
        <f t="shared" si="39"/>
        <v>3.3573242085084276E-2</v>
      </c>
    </row>
    <row r="1221" spans="1:11" ht="19.5" customHeight="1" x14ac:dyDescent="0.25">
      <c r="A1221" s="2" t="s">
        <v>3071</v>
      </c>
      <c r="B1221" s="2" t="s">
        <v>887</v>
      </c>
      <c r="C1221" s="2" t="s">
        <v>3090</v>
      </c>
      <c r="D1221" s="2" t="s">
        <v>3091</v>
      </c>
      <c r="E1221" s="2" t="s">
        <v>3092</v>
      </c>
      <c r="F1221" s="4">
        <v>4178464.49</v>
      </c>
      <c r="G1221" s="3">
        <v>5308830</v>
      </c>
      <c r="H1221" s="4">
        <v>4432933</v>
      </c>
      <c r="I1221" s="4">
        <v>4565921</v>
      </c>
      <c r="J1221" s="16">
        <f t="shared" si="38"/>
        <v>-0.16498870749298811</v>
      </c>
      <c r="K1221" s="16">
        <f t="shared" si="39"/>
        <v>3.0000002255842873E-2</v>
      </c>
    </row>
    <row r="1222" spans="1:11" ht="19.5" customHeight="1" x14ac:dyDescent="0.25">
      <c r="A1222" s="2" t="s">
        <v>3071</v>
      </c>
      <c r="B1222" s="2" t="s">
        <v>887</v>
      </c>
      <c r="C1222" s="2" t="s">
        <v>3093</v>
      </c>
      <c r="D1222" s="2" t="s">
        <v>3094</v>
      </c>
      <c r="E1222" s="2" t="s">
        <v>3095</v>
      </c>
      <c r="F1222" s="3">
        <v>12628213.939999999</v>
      </c>
      <c r="G1222" s="3">
        <v>16806372</v>
      </c>
      <c r="H1222" s="4">
        <v>14397032</v>
      </c>
      <c r="I1222" s="4">
        <v>14798897</v>
      </c>
      <c r="J1222" s="16">
        <f t="shared" si="38"/>
        <v>-0.14335872132307914</v>
      </c>
      <c r="K1222" s="16">
        <f t="shared" si="39"/>
        <v>2.7913044855356395E-2</v>
      </c>
    </row>
    <row r="1223" spans="1:11" ht="19.5" customHeight="1" x14ac:dyDescent="0.25">
      <c r="A1223" s="2" t="s">
        <v>3096</v>
      </c>
      <c r="B1223" s="2" t="s">
        <v>54</v>
      </c>
      <c r="C1223" s="2" t="s">
        <v>54</v>
      </c>
      <c r="D1223" s="2" t="s">
        <v>3097</v>
      </c>
      <c r="E1223" s="2" t="s">
        <v>3098</v>
      </c>
      <c r="F1223" s="3">
        <v>1600</v>
      </c>
      <c r="G1223" s="3">
        <v>1056</v>
      </c>
      <c r="H1223" s="4">
        <v>1000</v>
      </c>
      <c r="I1223" s="4">
        <v>1000</v>
      </c>
      <c r="J1223" s="16">
        <f t="shared" si="38"/>
        <v>-5.3030303030302983E-2</v>
      </c>
      <c r="K1223" s="16">
        <f t="shared" si="39"/>
        <v>0</v>
      </c>
    </row>
    <row r="1224" spans="1:11" ht="19.5" customHeight="1" x14ac:dyDescent="0.25">
      <c r="A1224" s="2" t="s">
        <v>3096</v>
      </c>
      <c r="B1224" s="2" t="s">
        <v>54</v>
      </c>
      <c r="C1224" s="2" t="s">
        <v>54</v>
      </c>
      <c r="D1224" s="2" t="s">
        <v>3099</v>
      </c>
      <c r="E1224" s="2" t="s">
        <v>3100</v>
      </c>
      <c r="F1224" s="3">
        <v>26037.91</v>
      </c>
      <c r="G1224" s="3">
        <v>22320</v>
      </c>
      <c r="H1224" s="4">
        <v>22000</v>
      </c>
      <c r="I1224" s="4">
        <v>22000</v>
      </c>
      <c r="J1224" s="16">
        <f t="shared" si="38"/>
        <v>-1.4336917562724039E-2</v>
      </c>
      <c r="K1224" s="16">
        <f t="shared" si="39"/>
        <v>0</v>
      </c>
    </row>
    <row r="1225" spans="1:11" ht="19.5" customHeight="1" x14ac:dyDescent="0.25">
      <c r="A1225" s="2" t="s">
        <v>3096</v>
      </c>
      <c r="B1225" s="2" t="s">
        <v>54</v>
      </c>
      <c r="C1225" s="2" t="s">
        <v>54</v>
      </c>
      <c r="D1225" s="2" t="s">
        <v>3101</v>
      </c>
      <c r="E1225" s="2" t="s">
        <v>3102</v>
      </c>
      <c r="F1225" s="3">
        <v>232850</v>
      </c>
      <c r="G1225" s="3">
        <v>202300</v>
      </c>
      <c r="H1225" s="4">
        <v>201000</v>
      </c>
      <c r="I1225" s="4">
        <v>201000</v>
      </c>
      <c r="J1225" s="16">
        <f t="shared" si="38"/>
        <v>-6.4260998517053913E-3</v>
      </c>
      <c r="K1225" s="16">
        <f t="shared" si="39"/>
        <v>0</v>
      </c>
    </row>
    <row r="1226" spans="1:11" ht="19.5" customHeight="1" x14ac:dyDescent="0.25">
      <c r="A1226" s="2" t="s">
        <v>3096</v>
      </c>
      <c r="B1226" s="2" t="s">
        <v>54</v>
      </c>
      <c r="C1226" s="2" t="s">
        <v>54</v>
      </c>
      <c r="D1226" s="2" t="s">
        <v>3103</v>
      </c>
      <c r="E1226" s="2" t="s">
        <v>3104</v>
      </c>
      <c r="F1226" s="3">
        <v>34400000</v>
      </c>
      <c r="G1226" s="3">
        <v>34750000</v>
      </c>
      <c r="H1226" s="4">
        <v>35000000</v>
      </c>
      <c r="I1226" s="4">
        <v>35250000</v>
      </c>
      <c r="J1226" s="16">
        <f t="shared" si="38"/>
        <v>7.194244604316502E-3</v>
      </c>
      <c r="K1226" s="16">
        <f t="shared" si="39"/>
        <v>7.1428571428571175E-3</v>
      </c>
    </row>
    <row r="1227" spans="1:11" ht="19.5" customHeight="1" x14ac:dyDescent="0.25">
      <c r="A1227" s="2" t="s">
        <v>3105</v>
      </c>
      <c r="B1227" s="2" t="s">
        <v>16</v>
      </c>
      <c r="C1227" s="2" t="s">
        <v>3106</v>
      </c>
      <c r="D1227" s="2" t="s">
        <v>3107</v>
      </c>
      <c r="E1227" s="2" t="s">
        <v>1712</v>
      </c>
      <c r="F1227" s="3">
        <v>76272.53</v>
      </c>
      <c r="G1227" s="3">
        <v>80000</v>
      </c>
      <c r="H1227" s="4">
        <v>50000</v>
      </c>
      <c r="I1227" s="4">
        <v>50000</v>
      </c>
      <c r="J1227" s="16">
        <f t="shared" si="38"/>
        <v>-0.375</v>
      </c>
      <c r="K1227" s="16">
        <f t="shared" si="39"/>
        <v>0</v>
      </c>
    </row>
    <row r="1228" spans="1:11" ht="19.5" customHeight="1" x14ac:dyDescent="0.25">
      <c r="A1228" s="2" t="s">
        <v>3105</v>
      </c>
      <c r="B1228" s="2" t="s">
        <v>16</v>
      </c>
      <c r="C1228" s="2" t="s">
        <v>20</v>
      </c>
      <c r="D1228" s="2" t="s">
        <v>3108</v>
      </c>
      <c r="E1228" s="2" t="s">
        <v>3109</v>
      </c>
      <c r="F1228" s="3">
        <v>221846.29</v>
      </c>
      <c r="G1228" s="3">
        <v>241000</v>
      </c>
      <c r="H1228" s="4">
        <v>265000</v>
      </c>
      <c r="I1228" s="4">
        <v>265000</v>
      </c>
      <c r="J1228" s="16">
        <f t="shared" si="38"/>
        <v>9.9585062240663991E-2</v>
      </c>
      <c r="K1228" s="16">
        <f t="shared" si="39"/>
        <v>0</v>
      </c>
    </row>
    <row r="1229" spans="1:11" ht="19.5" customHeight="1" x14ac:dyDescent="0.25">
      <c r="A1229" s="2" t="s">
        <v>3105</v>
      </c>
      <c r="B1229" s="2" t="s">
        <v>16</v>
      </c>
      <c r="C1229" s="2" t="s">
        <v>20</v>
      </c>
      <c r="D1229" s="2" t="s">
        <v>3110</v>
      </c>
      <c r="E1229" s="2" t="s">
        <v>22</v>
      </c>
      <c r="F1229" s="3">
        <v>9266654.9100000001</v>
      </c>
      <c r="G1229" s="3">
        <v>10646387</v>
      </c>
      <c r="H1229" s="4">
        <v>11750000</v>
      </c>
      <c r="I1229" s="4">
        <v>12200000</v>
      </c>
      <c r="J1229" s="16">
        <f t="shared" si="38"/>
        <v>0.10366080060775551</v>
      </c>
      <c r="K1229" s="16">
        <f t="shared" si="39"/>
        <v>3.8297872340425476E-2</v>
      </c>
    </row>
    <row r="1230" spans="1:11" ht="19.5" customHeight="1" x14ac:dyDescent="0.25">
      <c r="A1230" s="2" t="s">
        <v>3105</v>
      </c>
      <c r="B1230" s="2" t="s">
        <v>16</v>
      </c>
      <c r="C1230" s="2" t="s">
        <v>3111</v>
      </c>
      <c r="D1230" s="2" t="s">
        <v>3112</v>
      </c>
      <c r="E1230" s="2" t="s">
        <v>3113</v>
      </c>
      <c r="F1230" s="3">
        <v>445584.14</v>
      </c>
      <c r="G1230" s="3">
        <v>530000</v>
      </c>
      <c r="H1230" s="4">
        <v>100000</v>
      </c>
      <c r="I1230" s="4">
        <v>100000</v>
      </c>
      <c r="J1230" s="16">
        <f t="shared" si="38"/>
        <v>-0.81132075471698117</v>
      </c>
      <c r="K1230" s="16">
        <f t="shared" si="39"/>
        <v>0</v>
      </c>
    </row>
    <row r="1231" spans="1:11" ht="19.5" customHeight="1" x14ac:dyDescent="0.25">
      <c r="A1231" s="2" t="s">
        <v>3105</v>
      </c>
      <c r="B1231" s="2" t="s">
        <v>16</v>
      </c>
      <c r="C1231" s="2" t="s">
        <v>774</v>
      </c>
      <c r="D1231" s="2" t="s">
        <v>3114</v>
      </c>
      <c r="E1231" s="2" t="s">
        <v>776</v>
      </c>
      <c r="F1231" s="3">
        <v>3166114.63</v>
      </c>
      <c r="G1231" s="3">
        <v>2500200</v>
      </c>
      <c r="H1231" s="4">
        <v>3150000</v>
      </c>
      <c r="I1231" s="4">
        <v>3250000</v>
      </c>
      <c r="J1231" s="16">
        <f t="shared" si="38"/>
        <v>0.25989920806335487</v>
      </c>
      <c r="K1231" s="16">
        <f t="shared" si="39"/>
        <v>3.1746031746031855E-2</v>
      </c>
    </row>
    <row r="1232" spans="1:11" ht="19.5" customHeight="1" x14ac:dyDescent="0.25">
      <c r="A1232" s="2" t="s">
        <v>3105</v>
      </c>
      <c r="B1232" s="2" t="s">
        <v>44</v>
      </c>
      <c r="C1232" s="2" t="s">
        <v>3115</v>
      </c>
      <c r="D1232" s="2" t="s">
        <v>3116</v>
      </c>
      <c r="E1232" s="2" t="s">
        <v>3117</v>
      </c>
      <c r="F1232" s="3">
        <v>379835.3</v>
      </c>
      <c r="G1232" s="3">
        <v>911000</v>
      </c>
      <c r="H1232" s="4">
        <v>1050000</v>
      </c>
      <c r="I1232" s="4">
        <v>1050000</v>
      </c>
      <c r="J1232" s="16">
        <f t="shared" si="38"/>
        <v>0.15257958287596041</v>
      </c>
      <c r="K1232" s="16">
        <f t="shared" si="39"/>
        <v>0</v>
      </c>
    </row>
    <row r="1233" spans="1:11" ht="19.5" customHeight="1" x14ac:dyDescent="0.25">
      <c r="A1233" s="2" t="s">
        <v>3105</v>
      </c>
      <c r="B1233" s="2" t="s">
        <v>44</v>
      </c>
      <c r="C1233" s="2" t="s">
        <v>3118</v>
      </c>
      <c r="D1233" s="2" t="s">
        <v>3119</v>
      </c>
      <c r="E1233" s="2" t="s">
        <v>3120</v>
      </c>
      <c r="F1233" s="3">
        <v>2067429</v>
      </c>
      <c r="G1233" s="3">
        <v>2113000</v>
      </c>
      <c r="H1233" s="4">
        <v>2500000</v>
      </c>
      <c r="I1233" s="4">
        <v>2500000</v>
      </c>
      <c r="J1233" s="16">
        <f t="shared" si="38"/>
        <v>0.18315191670610509</v>
      </c>
      <c r="K1233" s="16">
        <f t="shared" si="39"/>
        <v>0</v>
      </c>
    </row>
    <row r="1234" spans="1:11" ht="19.5" customHeight="1" x14ac:dyDescent="0.25">
      <c r="A1234" s="2" t="s">
        <v>3105</v>
      </c>
      <c r="B1234" s="2" t="s">
        <v>44</v>
      </c>
      <c r="C1234" s="2" t="s">
        <v>3121</v>
      </c>
      <c r="D1234" s="2" t="s">
        <v>3122</v>
      </c>
      <c r="E1234" s="2" t="s">
        <v>3123</v>
      </c>
      <c r="F1234" s="3">
        <v>0</v>
      </c>
      <c r="G1234" s="3">
        <v>50000</v>
      </c>
      <c r="H1234" s="4">
        <v>5000</v>
      </c>
      <c r="I1234" s="4">
        <v>5000</v>
      </c>
      <c r="J1234" s="16">
        <f t="shared" si="38"/>
        <v>-0.9</v>
      </c>
      <c r="K1234" s="16">
        <f t="shared" si="39"/>
        <v>0</v>
      </c>
    </row>
    <row r="1235" spans="1:11" ht="19.5" customHeight="1" x14ac:dyDescent="0.25">
      <c r="A1235" s="2" t="s">
        <v>3105</v>
      </c>
      <c r="B1235" s="2" t="s">
        <v>44</v>
      </c>
      <c r="C1235" s="2" t="s">
        <v>3124</v>
      </c>
      <c r="D1235" s="2" t="s">
        <v>3125</v>
      </c>
      <c r="E1235" s="2" t="s">
        <v>3126</v>
      </c>
      <c r="F1235" s="3">
        <v>0</v>
      </c>
      <c r="G1235" s="3">
        <v>300000</v>
      </c>
      <c r="H1235" s="4">
        <v>30000</v>
      </c>
      <c r="I1235" s="4">
        <v>30000</v>
      </c>
      <c r="J1235" s="16">
        <f t="shared" si="38"/>
        <v>-0.9</v>
      </c>
      <c r="K1235" s="16">
        <f t="shared" si="39"/>
        <v>0</v>
      </c>
    </row>
    <row r="1236" spans="1:11" ht="19.5" customHeight="1" x14ac:dyDescent="0.25">
      <c r="A1236" s="2" t="s">
        <v>3127</v>
      </c>
      <c r="B1236" s="2" t="s">
        <v>16</v>
      </c>
      <c r="C1236" s="2" t="s">
        <v>20</v>
      </c>
      <c r="D1236" s="2" t="s">
        <v>3128</v>
      </c>
      <c r="E1236" s="2" t="s">
        <v>22</v>
      </c>
      <c r="F1236" s="3">
        <v>632335.38</v>
      </c>
      <c r="G1236" s="3">
        <v>696615</v>
      </c>
      <c r="H1236" s="4">
        <v>679000</v>
      </c>
      <c r="I1236" s="4">
        <v>696000</v>
      </c>
      <c r="J1236" s="16">
        <f t="shared" si="38"/>
        <v>-2.5286564314578319E-2</v>
      </c>
      <c r="K1236" s="16">
        <f t="shared" si="39"/>
        <v>2.5036818851251752E-2</v>
      </c>
    </row>
    <row r="1237" spans="1:11" ht="19.5" customHeight="1" x14ac:dyDescent="0.25">
      <c r="A1237" s="2" t="s">
        <v>3129</v>
      </c>
      <c r="B1237" s="2" t="s">
        <v>16</v>
      </c>
      <c r="C1237" s="2" t="s">
        <v>3130</v>
      </c>
      <c r="D1237" s="2" t="s">
        <v>3131</v>
      </c>
      <c r="E1237" s="2" t="s">
        <v>3132</v>
      </c>
      <c r="F1237" s="3">
        <v>201945.27</v>
      </c>
      <c r="G1237" s="3">
        <v>204756</v>
      </c>
      <c r="H1237" s="4">
        <v>205000</v>
      </c>
      <c r="I1237" s="4">
        <v>205000</v>
      </c>
      <c r="J1237" s="16">
        <f t="shared" si="38"/>
        <v>1.1916622711911629E-3</v>
      </c>
      <c r="K1237" s="16">
        <f t="shared" si="39"/>
        <v>0</v>
      </c>
    </row>
    <row r="1238" spans="1:11" ht="19.5" customHeight="1" x14ac:dyDescent="0.25">
      <c r="A1238" s="2" t="s">
        <v>3129</v>
      </c>
      <c r="B1238" s="2" t="s">
        <v>16</v>
      </c>
      <c r="C1238" s="2" t="s">
        <v>3133</v>
      </c>
      <c r="D1238" s="2" t="s">
        <v>3134</v>
      </c>
      <c r="E1238" s="2" t="s">
        <v>2344</v>
      </c>
      <c r="F1238" s="3">
        <v>11149.71</v>
      </c>
      <c r="G1238" s="3">
        <v>17000</v>
      </c>
      <c r="H1238" s="4">
        <v>25000</v>
      </c>
      <c r="I1238" s="4">
        <v>25000</v>
      </c>
      <c r="J1238" s="16">
        <f t="shared" si="38"/>
        <v>0.47058823529411775</v>
      </c>
      <c r="K1238" s="16">
        <f t="shared" si="39"/>
        <v>0</v>
      </c>
    </row>
    <row r="1239" spans="1:11" ht="19.5" customHeight="1" x14ac:dyDescent="0.25">
      <c r="A1239" s="2" t="s">
        <v>3129</v>
      </c>
      <c r="B1239" s="2" t="s">
        <v>16</v>
      </c>
      <c r="C1239" s="2" t="s">
        <v>3135</v>
      </c>
      <c r="D1239" s="2" t="s">
        <v>3136</v>
      </c>
      <c r="E1239" s="2" t="s">
        <v>3137</v>
      </c>
      <c r="F1239" s="3">
        <v>274921.84999999998</v>
      </c>
      <c r="G1239" s="3">
        <v>238400</v>
      </c>
      <c r="H1239" s="4">
        <v>285000</v>
      </c>
      <c r="I1239" s="4">
        <v>285000</v>
      </c>
      <c r="J1239" s="16">
        <f t="shared" si="38"/>
        <v>0.19546979865771807</v>
      </c>
      <c r="K1239" s="16">
        <f t="shared" si="39"/>
        <v>0</v>
      </c>
    </row>
    <row r="1240" spans="1:11" ht="19.5" customHeight="1" x14ac:dyDescent="0.25">
      <c r="A1240" s="2" t="s">
        <v>3129</v>
      </c>
      <c r="B1240" s="2" t="s">
        <v>16</v>
      </c>
      <c r="C1240" s="2" t="s">
        <v>3138</v>
      </c>
      <c r="D1240" s="2" t="s">
        <v>3139</v>
      </c>
      <c r="E1240" s="2" t="s">
        <v>3140</v>
      </c>
      <c r="F1240" s="3">
        <v>623208.48</v>
      </c>
      <c r="G1240" s="3">
        <v>591389</v>
      </c>
      <c r="H1240" s="4">
        <v>737389</v>
      </c>
      <c r="I1240" s="4">
        <v>737389</v>
      </c>
      <c r="J1240" s="16">
        <f t="shared" si="38"/>
        <v>0.2468764214417245</v>
      </c>
      <c r="K1240" s="16">
        <f t="shared" si="39"/>
        <v>0</v>
      </c>
    </row>
    <row r="1241" spans="1:11" ht="19.5" customHeight="1" x14ac:dyDescent="0.25">
      <c r="A1241" s="2" t="s">
        <v>3129</v>
      </c>
      <c r="B1241" s="2" t="s">
        <v>16</v>
      </c>
      <c r="C1241" s="2" t="s">
        <v>3141</v>
      </c>
      <c r="D1241" s="2" t="s">
        <v>3142</v>
      </c>
      <c r="E1241" s="2" t="s">
        <v>3143</v>
      </c>
      <c r="F1241" s="3">
        <v>1385021.15</v>
      </c>
      <c r="G1241" s="3">
        <v>1338828</v>
      </c>
      <c r="H1241" s="4">
        <v>149879</v>
      </c>
      <c r="I1241" s="4">
        <v>272016</v>
      </c>
      <c r="J1241" s="16">
        <f t="shared" si="38"/>
        <v>-0.88805208734803875</v>
      </c>
      <c r="K1241" s="16">
        <f t="shared" si="39"/>
        <v>0.81490402257821315</v>
      </c>
    </row>
    <row r="1242" spans="1:11" ht="19.5" customHeight="1" x14ac:dyDescent="0.25">
      <c r="A1242" s="2" t="s">
        <v>3129</v>
      </c>
      <c r="B1242" s="2" t="s">
        <v>16</v>
      </c>
      <c r="C1242" s="2" t="s">
        <v>3144</v>
      </c>
      <c r="D1242" s="2" t="s">
        <v>3145</v>
      </c>
      <c r="E1242" s="2" t="s">
        <v>3146</v>
      </c>
      <c r="F1242" s="3">
        <v>11165.89</v>
      </c>
      <c r="G1242" s="3">
        <v>5000</v>
      </c>
      <c r="H1242" s="4">
        <v>13440</v>
      </c>
      <c r="I1242" s="4">
        <v>13440</v>
      </c>
      <c r="J1242" s="16">
        <f t="shared" si="38"/>
        <v>1.6880000000000002</v>
      </c>
      <c r="K1242" s="16">
        <f t="shared" si="39"/>
        <v>0</v>
      </c>
    </row>
    <row r="1243" spans="1:11" ht="19.5" customHeight="1" x14ac:dyDescent="0.25">
      <c r="A1243" s="2" t="s">
        <v>3129</v>
      </c>
      <c r="B1243" s="2" t="s">
        <v>16</v>
      </c>
      <c r="C1243" s="2" t="s">
        <v>3147</v>
      </c>
      <c r="D1243" s="2" t="s">
        <v>3148</v>
      </c>
      <c r="E1243" s="2" t="s">
        <v>3149</v>
      </c>
      <c r="F1243" s="3">
        <v>423560.58</v>
      </c>
      <c r="G1243" s="3">
        <v>428372</v>
      </c>
      <c r="H1243" s="4">
        <v>47699</v>
      </c>
      <c r="I1243" s="4">
        <v>86568</v>
      </c>
      <c r="J1243" s="16">
        <f t="shared" si="38"/>
        <v>-0.88865051870803879</v>
      </c>
      <c r="K1243" s="16">
        <f t="shared" si="39"/>
        <v>0.81488081511142796</v>
      </c>
    </row>
    <row r="1244" spans="1:11" ht="19.5" customHeight="1" x14ac:dyDescent="0.25">
      <c r="A1244" s="2" t="s">
        <v>3129</v>
      </c>
      <c r="B1244" s="2" t="s">
        <v>16</v>
      </c>
      <c r="C1244" s="2" t="s">
        <v>3150</v>
      </c>
      <c r="D1244" s="2" t="s">
        <v>3151</v>
      </c>
      <c r="E1244" s="2" t="s">
        <v>3152</v>
      </c>
      <c r="F1244" s="3">
        <v>20928875.390000001</v>
      </c>
      <c r="G1244" s="3">
        <v>16005000</v>
      </c>
      <c r="H1244" s="4">
        <v>14500000</v>
      </c>
      <c r="I1244" s="4">
        <v>14500000</v>
      </c>
      <c r="J1244" s="16">
        <f t="shared" si="38"/>
        <v>-9.4033114651671301E-2</v>
      </c>
      <c r="K1244" s="16">
        <f t="shared" si="39"/>
        <v>0</v>
      </c>
    </row>
    <row r="1245" spans="1:11" ht="19.5" customHeight="1" x14ac:dyDescent="0.25">
      <c r="A1245" s="2" t="s">
        <v>3129</v>
      </c>
      <c r="B1245" s="2" t="s">
        <v>16</v>
      </c>
      <c r="C1245" s="2" t="s">
        <v>3153</v>
      </c>
      <c r="D1245" s="2" t="s">
        <v>3154</v>
      </c>
      <c r="E1245" s="2" t="s">
        <v>3155</v>
      </c>
      <c r="F1245" s="3">
        <v>635326.1</v>
      </c>
      <c r="G1245" s="3">
        <v>400000</v>
      </c>
      <c r="H1245" s="4">
        <v>542904</v>
      </c>
      <c r="I1245" s="4">
        <v>602904</v>
      </c>
      <c r="J1245" s="16">
        <f t="shared" si="38"/>
        <v>0.35725999999999991</v>
      </c>
      <c r="K1245" s="16">
        <f t="shared" si="39"/>
        <v>0.11051677644666458</v>
      </c>
    </row>
    <row r="1246" spans="1:11" ht="19.5" customHeight="1" x14ac:dyDescent="0.25">
      <c r="A1246" s="2" t="s">
        <v>3129</v>
      </c>
      <c r="B1246" s="2" t="s">
        <v>16</v>
      </c>
      <c r="C1246" s="2" t="s">
        <v>3156</v>
      </c>
      <c r="D1246" s="2" t="s">
        <v>3157</v>
      </c>
      <c r="E1246" s="2" t="s">
        <v>3158</v>
      </c>
      <c r="F1246" s="3">
        <v>29372000</v>
      </c>
      <c r="G1246" s="3">
        <v>25500000</v>
      </c>
      <c r="H1246" s="4">
        <v>25896000</v>
      </c>
      <c r="I1246" s="4">
        <v>27888000</v>
      </c>
      <c r="J1246" s="16">
        <f t="shared" si="38"/>
        <v>1.5529411764705792E-2</v>
      </c>
      <c r="K1246" s="16">
        <f t="shared" si="39"/>
        <v>7.6923076923076872E-2</v>
      </c>
    </row>
    <row r="1247" spans="1:11" ht="19.5" customHeight="1" x14ac:dyDescent="0.25">
      <c r="A1247" s="2" t="s">
        <v>3129</v>
      </c>
      <c r="B1247" s="2" t="s">
        <v>16</v>
      </c>
      <c r="C1247" s="2" t="s">
        <v>3156</v>
      </c>
      <c r="D1247" s="2" t="s">
        <v>3159</v>
      </c>
      <c r="E1247" s="2" t="s">
        <v>3160</v>
      </c>
      <c r="F1247" s="3">
        <v>5126268.38</v>
      </c>
      <c r="G1247" s="3">
        <v>5527801</v>
      </c>
      <c r="H1247" s="4">
        <v>6684000</v>
      </c>
      <c r="I1247" s="4">
        <v>6684000</v>
      </c>
      <c r="J1247" s="16">
        <f t="shared" si="38"/>
        <v>0.20916074945534402</v>
      </c>
      <c r="K1247" s="16">
        <f t="shared" si="39"/>
        <v>0</v>
      </c>
    </row>
    <row r="1248" spans="1:11" ht="19.5" customHeight="1" x14ac:dyDescent="0.25">
      <c r="A1248" s="2" t="s">
        <v>3129</v>
      </c>
      <c r="B1248" s="2" t="s">
        <v>44</v>
      </c>
      <c r="C1248" s="2" t="s">
        <v>3161</v>
      </c>
      <c r="D1248" s="2" t="s">
        <v>3162</v>
      </c>
      <c r="E1248" s="2" t="s">
        <v>3163</v>
      </c>
      <c r="F1248" s="3">
        <v>0</v>
      </c>
      <c r="G1248" s="3">
        <v>31200</v>
      </c>
      <c r="H1248" s="4">
        <v>38315</v>
      </c>
      <c r="I1248" s="4">
        <v>38315</v>
      </c>
      <c r="J1248" s="16">
        <f t="shared" si="38"/>
        <v>0.22804487179487176</v>
      </c>
      <c r="K1248" s="16">
        <f t="shared" si="39"/>
        <v>0</v>
      </c>
    </row>
    <row r="1249" spans="1:11" ht="19.5" customHeight="1" x14ac:dyDescent="0.25">
      <c r="A1249" s="2" t="s">
        <v>3129</v>
      </c>
      <c r="B1249" s="2" t="s">
        <v>54</v>
      </c>
      <c r="C1249" s="2" t="s">
        <v>54</v>
      </c>
      <c r="D1249" s="2" t="s">
        <v>3164</v>
      </c>
      <c r="E1249" s="2" t="s">
        <v>3165</v>
      </c>
      <c r="F1249" s="3">
        <v>5715485.3499999996</v>
      </c>
      <c r="G1249" s="3">
        <v>6454523</v>
      </c>
      <c r="H1249" s="4">
        <v>6944609</v>
      </c>
      <c r="I1249" s="4">
        <v>7419884</v>
      </c>
      <c r="J1249" s="16">
        <f t="shared" si="38"/>
        <v>7.5929081049056713E-2</v>
      </c>
      <c r="K1249" s="16">
        <f t="shared" si="39"/>
        <v>6.8437978293666379E-2</v>
      </c>
    </row>
    <row r="1250" spans="1:11" ht="19.5" customHeight="1" x14ac:dyDescent="0.25">
      <c r="A1250" s="2" t="s">
        <v>3129</v>
      </c>
      <c r="B1250" s="2" t="s">
        <v>54</v>
      </c>
      <c r="C1250" s="2" t="s">
        <v>54</v>
      </c>
      <c r="D1250" s="2" t="s">
        <v>3166</v>
      </c>
      <c r="E1250" s="2" t="s">
        <v>3167</v>
      </c>
      <c r="F1250" s="3">
        <v>2988031.43</v>
      </c>
      <c r="G1250" s="3">
        <v>3149900</v>
      </c>
      <c r="H1250" s="4">
        <v>4881554</v>
      </c>
      <c r="I1250" s="4">
        <v>5076816</v>
      </c>
      <c r="J1250" s="16">
        <f t="shared" si="38"/>
        <v>0.54974888091685448</v>
      </c>
      <c r="K1250" s="16">
        <f t="shared" si="39"/>
        <v>3.9999967223552257E-2</v>
      </c>
    </row>
    <row r="1251" spans="1:11" ht="19.5" customHeight="1" x14ac:dyDescent="0.25">
      <c r="A1251" s="2" t="s">
        <v>3129</v>
      </c>
      <c r="B1251" s="2" t="s">
        <v>54</v>
      </c>
      <c r="C1251" s="2" t="s">
        <v>54</v>
      </c>
      <c r="D1251" s="2" t="s">
        <v>3168</v>
      </c>
      <c r="E1251" s="2" t="s">
        <v>3169</v>
      </c>
      <c r="F1251" s="3">
        <v>890211.87</v>
      </c>
      <c r="G1251" s="3">
        <v>1024450</v>
      </c>
      <c r="H1251" s="4">
        <v>2063870</v>
      </c>
      <c r="I1251" s="4">
        <v>2146425</v>
      </c>
      <c r="J1251" s="16">
        <f t="shared" si="38"/>
        <v>1.0146127190199619</v>
      </c>
      <c r="K1251" s="16">
        <f t="shared" si="39"/>
        <v>4.0000096905328242E-2</v>
      </c>
    </row>
    <row r="1252" spans="1:11" ht="19.5" customHeight="1" x14ac:dyDescent="0.25">
      <c r="A1252" s="2" t="s">
        <v>3129</v>
      </c>
      <c r="B1252" s="2" t="s">
        <v>54</v>
      </c>
      <c r="C1252" s="2" t="s">
        <v>54</v>
      </c>
      <c r="D1252" s="2" t="s">
        <v>3170</v>
      </c>
      <c r="E1252" s="2" t="s">
        <v>3171</v>
      </c>
      <c r="F1252" s="3">
        <v>39474.980000000003</v>
      </c>
      <c r="G1252" s="3">
        <v>40000</v>
      </c>
      <c r="H1252" s="4">
        <v>50000</v>
      </c>
      <c r="I1252" s="4">
        <v>50000</v>
      </c>
      <c r="J1252" s="16">
        <f t="shared" si="38"/>
        <v>0.25</v>
      </c>
      <c r="K1252" s="16">
        <f t="shared" si="39"/>
        <v>0</v>
      </c>
    </row>
    <row r="1253" spans="1:11" ht="19.5" customHeight="1" x14ac:dyDescent="0.25">
      <c r="A1253" s="2" t="s">
        <v>3129</v>
      </c>
      <c r="B1253" s="2" t="s">
        <v>54</v>
      </c>
      <c r="C1253" s="2" t="s">
        <v>54</v>
      </c>
      <c r="D1253" s="2" t="s">
        <v>3172</v>
      </c>
      <c r="E1253" s="2" t="s">
        <v>3173</v>
      </c>
      <c r="F1253" s="3">
        <v>83462160.269999996</v>
      </c>
      <c r="G1253" s="3">
        <v>82598981</v>
      </c>
      <c r="H1253" s="4">
        <v>132197392</v>
      </c>
      <c r="I1253" s="4">
        <v>136138934</v>
      </c>
      <c r="J1253" s="16">
        <f t="shared" si="38"/>
        <v>0.60047243197830724</v>
      </c>
      <c r="K1253" s="16">
        <f t="shared" si="39"/>
        <v>2.9815580628095972E-2</v>
      </c>
    </row>
    <row r="1254" spans="1:11" ht="19.5" customHeight="1" x14ac:dyDescent="0.25">
      <c r="A1254" s="2" t="s">
        <v>3174</v>
      </c>
      <c r="B1254" s="2" t="s">
        <v>16</v>
      </c>
      <c r="C1254" s="2" t="s">
        <v>3175</v>
      </c>
      <c r="D1254" s="2" t="s">
        <v>3176</v>
      </c>
      <c r="E1254" s="2" t="s">
        <v>3177</v>
      </c>
      <c r="F1254" s="3">
        <v>827321.36</v>
      </c>
      <c r="G1254" s="3">
        <v>1200000</v>
      </c>
      <c r="H1254" s="4">
        <v>2200000</v>
      </c>
      <c r="I1254" s="4">
        <v>2200000</v>
      </c>
      <c r="J1254" s="16">
        <f t="shared" si="38"/>
        <v>0.83333333333333326</v>
      </c>
      <c r="K1254" s="16">
        <f t="shared" si="39"/>
        <v>0</v>
      </c>
    </row>
    <row r="1255" spans="1:11" ht="19.5" customHeight="1" x14ac:dyDescent="0.25">
      <c r="A1255" s="2" t="s">
        <v>3174</v>
      </c>
      <c r="B1255" s="2" t="s">
        <v>16</v>
      </c>
      <c r="C1255" s="2" t="s">
        <v>3178</v>
      </c>
      <c r="D1255" s="2" t="s">
        <v>3179</v>
      </c>
      <c r="E1255" s="2" t="s">
        <v>3180</v>
      </c>
      <c r="F1255" s="3">
        <v>346093.66</v>
      </c>
      <c r="G1255" s="3">
        <v>346253</v>
      </c>
      <c r="H1255" s="4">
        <v>346253</v>
      </c>
      <c r="I1255" s="4">
        <v>346253</v>
      </c>
      <c r="J1255" s="16">
        <f t="shared" si="38"/>
        <v>0</v>
      </c>
      <c r="K1255" s="16">
        <f t="shared" si="39"/>
        <v>0</v>
      </c>
    </row>
    <row r="1256" spans="1:11" ht="19.5" customHeight="1" x14ac:dyDescent="0.25">
      <c r="A1256" s="2" t="s">
        <v>3174</v>
      </c>
      <c r="B1256" s="2" t="s">
        <v>16</v>
      </c>
      <c r="C1256" s="2" t="s">
        <v>3181</v>
      </c>
      <c r="D1256" s="2" t="s">
        <v>3182</v>
      </c>
      <c r="E1256" s="2" t="s">
        <v>3183</v>
      </c>
      <c r="F1256" s="3">
        <v>889858.38</v>
      </c>
      <c r="G1256" s="3">
        <v>1095195</v>
      </c>
      <c r="H1256" s="4">
        <v>1205185</v>
      </c>
      <c r="I1256" s="4">
        <v>1205185</v>
      </c>
      <c r="J1256" s="16">
        <f t="shared" si="38"/>
        <v>0.10042960386049971</v>
      </c>
      <c r="K1256" s="16">
        <f t="shared" si="39"/>
        <v>0</v>
      </c>
    </row>
    <row r="1257" spans="1:11" ht="19.5" customHeight="1" x14ac:dyDescent="0.25">
      <c r="A1257" s="2" t="s">
        <v>3174</v>
      </c>
      <c r="B1257" s="2" t="s">
        <v>16</v>
      </c>
      <c r="C1257" s="2" t="s">
        <v>3184</v>
      </c>
      <c r="D1257" s="2" t="s">
        <v>3185</v>
      </c>
      <c r="E1257" s="2" t="s">
        <v>3186</v>
      </c>
      <c r="F1257" s="3">
        <v>32728283.91</v>
      </c>
      <c r="G1257" s="3">
        <v>36015760</v>
      </c>
      <c r="H1257" s="4">
        <v>36615760</v>
      </c>
      <c r="I1257" s="4">
        <v>36615760</v>
      </c>
      <c r="J1257" s="16">
        <f t="shared" si="38"/>
        <v>1.6659373563129076E-2</v>
      </c>
      <c r="K1257" s="16">
        <f t="shared" si="39"/>
        <v>0</v>
      </c>
    </row>
    <row r="1258" spans="1:11" ht="19.5" customHeight="1" x14ac:dyDescent="0.25">
      <c r="A1258" s="2" t="s">
        <v>3174</v>
      </c>
      <c r="B1258" s="2" t="s">
        <v>16</v>
      </c>
      <c r="C1258" s="2" t="s">
        <v>3184</v>
      </c>
      <c r="D1258" s="2" t="s">
        <v>3187</v>
      </c>
      <c r="E1258" s="2" t="s">
        <v>3188</v>
      </c>
      <c r="F1258" s="3">
        <v>25925</v>
      </c>
      <c r="G1258" s="3">
        <v>67521</v>
      </c>
      <c r="H1258" s="4">
        <v>85000</v>
      </c>
      <c r="I1258" s="4">
        <v>85000</v>
      </c>
      <c r="J1258" s="16">
        <f t="shared" si="38"/>
        <v>0.25886761155788562</v>
      </c>
      <c r="K1258" s="16">
        <f t="shared" si="39"/>
        <v>0</v>
      </c>
    </row>
    <row r="1259" spans="1:11" ht="19.5" customHeight="1" x14ac:dyDescent="0.25">
      <c r="A1259" s="2" t="s">
        <v>3174</v>
      </c>
      <c r="B1259" s="2" t="s">
        <v>16</v>
      </c>
      <c r="C1259" s="2" t="s">
        <v>3189</v>
      </c>
      <c r="D1259" s="2" t="s">
        <v>3190</v>
      </c>
      <c r="E1259" s="2" t="s">
        <v>3191</v>
      </c>
      <c r="F1259" s="3">
        <v>200524.75</v>
      </c>
      <c r="G1259" s="3">
        <v>195000</v>
      </c>
      <c r="H1259" s="4">
        <v>195000</v>
      </c>
      <c r="I1259" s="4">
        <v>195000</v>
      </c>
      <c r="J1259" s="16">
        <f t="shared" si="38"/>
        <v>0</v>
      </c>
      <c r="K1259" s="16">
        <f t="shared" si="39"/>
        <v>0</v>
      </c>
    </row>
    <row r="1260" spans="1:11" ht="19.5" customHeight="1" x14ac:dyDescent="0.25">
      <c r="A1260" s="2" t="s">
        <v>3174</v>
      </c>
      <c r="B1260" s="2" t="s">
        <v>16</v>
      </c>
      <c r="C1260" s="2" t="s">
        <v>3189</v>
      </c>
      <c r="D1260" s="2" t="s">
        <v>3192</v>
      </c>
      <c r="E1260" s="2" t="s">
        <v>3193</v>
      </c>
      <c r="F1260" s="3">
        <v>505494.86</v>
      </c>
      <c r="G1260" s="3">
        <v>450000</v>
      </c>
      <c r="H1260" s="4">
        <v>450000</v>
      </c>
      <c r="I1260" s="4">
        <v>450000</v>
      </c>
      <c r="J1260" s="16">
        <f t="shared" si="38"/>
        <v>0</v>
      </c>
      <c r="K1260" s="16">
        <f t="shared" si="39"/>
        <v>0</v>
      </c>
    </row>
    <row r="1261" spans="1:11" ht="19.5" customHeight="1" x14ac:dyDescent="0.25">
      <c r="A1261" s="2" t="s">
        <v>3174</v>
      </c>
      <c r="B1261" s="2" t="s">
        <v>16</v>
      </c>
      <c r="C1261" s="2" t="s">
        <v>3189</v>
      </c>
      <c r="D1261" s="2" t="s">
        <v>3194</v>
      </c>
      <c r="E1261" s="2" t="s">
        <v>3195</v>
      </c>
      <c r="F1261" s="3">
        <v>77306.149999999994</v>
      </c>
      <c r="G1261" s="3">
        <v>0</v>
      </c>
      <c r="H1261" s="4">
        <v>0</v>
      </c>
      <c r="I1261" s="4">
        <v>0</v>
      </c>
      <c r="J1261" s="16" t="str">
        <f t="shared" si="38"/>
        <v>--</v>
      </c>
      <c r="K1261" s="16" t="str">
        <f t="shared" si="39"/>
        <v>--</v>
      </c>
    </row>
    <row r="1262" spans="1:11" ht="19.5" customHeight="1" x14ac:dyDescent="0.25">
      <c r="A1262" s="2" t="s">
        <v>3174</v>
      </c>
      <c r="B1262" s="2" t="s">
        <v>16</v>
      </c>
      <c r="C1262" s="2" t="s">
        <v>3189</v>
      </c>
      <c r="D1262" s="2" t="s">
        <v>3196</v>
      </c>
      <c r="E1262" s="2" t="s">
        <v>3197</v>
      </c>
      <c r="F1262" s="3">
        <v>283819.11</v>
      </c>
      <c r="G1262" s="3">
        <v>299942</v>
      </c>
      <c r="H1262" s="4">
        <v>299942</v>
      </c>
      <c r="I1262" s="4">
        <v>299942</v>
      </c>
      <c r="J1262" s="16">
        <f t="shared" si="38"/>
        <v>0</v>
      </c>
      <c r="K1262" s="16">
        <f t="shared" si="39"/>
        <v>0</v>
      </c>
    </row>
    <row r="1263" spans="1:11" ht="19.5" customHeight="1" x14ac:dyDescent="0.25">
      <c r="A1263" s="2" t="s">
        <v>3174</v>
      </c>
      <c r="B1263" s="2" t="s">
        <v>16</v>
      </c>
      <c r="C1263" s="2" t="s">
        <v>3189</v>
      </c>
      <c r="D1263" s="2" t="s">
        <v>3198</v>
      </c>
      <c r="E1263" s="2" t="s">
        <v>3199</v>
      </c>
      <c r="F1263" s="3">
        <v>241189.33</v>
      </c>
      <c r="G1263" s="3">
        <v>1165000</v>
      </c>
      <c r="H1263" s="4">
        <v>1165000</v>
      </c>
      <c r="I1263" s="4">
        <v>1165000</v>
      </c>
      <c r="J1263" s="16">
        <f t="shared" si="38"/>
        <v>0</v>
      </c>
      <c r="K1263" s="16">
        <f t="shared" si="39"/>
        <v>0</v>
      </c>
    </row>
    <row r="1264" spans="1:11" ht="19.5" customHeight="1" x14ac:dyDescent="0.25">
      <c r="A1264" s="2" t="s">
        <v>3174</v>
      </c>
      <c r="B1264" s="2" t="s">
        <v>16</v>
      </c>
      <c r="C1264" s="2" t="s">
        <v>3189</v>
      </c>
      <c r="D1264" s="2" t="s">
        <v>3200</v>
      </c>
      <c r="E1264" s="2" t="s">
        <v>3201</v>
      </c>
      <c r="F1264" s="3">
        <v>6147390.7800000003</v>
      </c>
      <c r="G1264" s="3">
        <v>4919696</v>
      </c>
      <c r="H1264" s="4">
        <v>4919696</v>
      </c>
      <c r="I1264" s="4">
        <v>4919696</v>
      </c>
      <c r="J1264" s="16">
        <f t="shared" si="38"/>
        <v>0</v>
      </c>
      <c r="K1264" s="16">
        <f t="shared" si="39"/>
        <v>0</v>
      </c>
    </row>
    <row r="1265" spans="1:11" ht="19.5" customHeight="1" x14ac:dyDescent="0.25">
      <c r="A1265" s="2" t="s">
        <v>3174</v>
      </c>
      <c r="B1265" s="2" t="s">
        <v>16</v>
      </c>
      <c r="C1265" s="2" t="s">
        <v>3202</v>
      </c>
      <c r="D1265" s="2" t="s">
        <v>3203</v>
      </c>
      <c r="E1265" s="2" t="s">
        <v>3204</v>
      </c>
      <c r="F1265" s="3">
        <v>1579798.33</v>
      </c>
      <c r="G1265" s="3">
        <v>1500000</v>
      </c>
      <c r="H1265" s="4">
        <v>3000000</v>
      </c>
      <c r="I1265" s="4">
        <v>3000000</v>
      </c>
      <c r="J1265" s="16">
        <f t="shared" si="38"/>
        <v>1</v>
      </c>
      <c r="K1265" s="16">
        <f t="shared" si="39"/>
        <v>0</v>
      </c>
    </row>
    <row r="1266" spans="1:11" ht="19.5" customHeight="1" x14ac:dyDescent="0.25">
      <c r="A1266" s="2" t="s">
        <v>3174</v>
      </c>
      <c r="B1266" s="2" t="s">
        <v>16</v>
      </c>
      <c r="C1266" s="2" t="s">
        <v>3205</v>
      </c>
      <c r="D1266" s="2" t="s">
        <v>3206</v>
      </c>
      <c r="E1266" s="2" t="s">
        <v>3207</v>
      </c>
      <c r="F1266" s="3">
        <v>0</v>
      </c>
      <c r="G1266" s="4">
        <v>0</v>
      </c>
      <c r="H1266" s="4">
        <v>50000</v>
      </c>
      <c r="I1266" s="4">
        <v>50000</v>
      </c>
      <c r="J1266" s="16" t="str">
        <f t="shared" si="38"/>
        <v>--</v>
      </c>
      <c r="K1266" s="16">
        <f t="shared" si="39"/>
        <v>0</v>
      </c>
    </row>
    <row r="1267" spans="1:11" ht="19.5" customHeight="1" x14ac:dyDescent="0.25">
      <c r="A1267" s="2" t="s">
        <v>3174</v>
      </c>
      <c r="B1267" s="2" t="s">
        <v>16</v>
      </c>
      <c r="C1267" s="2" t="s">
        <v>3208</v>
      </c>
      <c r="D1267" s="2" t="s">
        <v>3209</v>
      </c>
      <c r="E1267" s="2" t="s">
        <v>3210</v>
      </c>
      <c r="F1267" s="3">
        <v>0</v>
      </c>
      <c r="G1267" s="3">
        <v>0</v>
      </c>
      <c r="H1267" s="4">
        <v>316000</v>
      </c>
      <c r="I1267" s="4">
        <v>316000</v>
      </c>
      <c r="J1267" s="16" t="str">
        <f t="shared" si="38"/>
        <v>--</v>
      </c>
      <c r="K1267" s="16">
        <f t="shared" si="39"/>
        <v>0</v>
      </c>
    </row>
    <row r="1268" spans="1:11" ht="19.5" customHeight="1" x14ac:dyDescent="0.25">
      <c r="A1268" s="2" t="s">
        <v>3174</v>
      </c>
      <c r="B1268" s="2" t="s">
        <v>44</v>
      </c>
      <c r="C1268" s="2" t="s">
        <v>3211</v>
      </c>
      <c r="D1268" s="2" t="s">
        <v>3212</v>
      </c>
      <c r="E1268" s="2" t="s">
        <v>3213</v>
      </c>
      <c r="F1268" s="3">
        <v>1118062.19</v>
      </c>
      <c r="G1268" s="3">
        <v>1397959</v>
      </c>
      <c r="H1268" s="4">
        <v>1397959</v>
      </c>
      <c r="I1268" s="4">
        <v>1397959</v>
      </c>
      <c r="J1268" s="16">
        <f t="shared" si="38"/>
        <v>0</v>
      </c>
      <c r="K1268" s="16">
        <f t="shared" si="39"/>
        <v>0</v>
      </c>
    </row>
    <row r="1269" spans="1:11" ht="19.5" customHeight="1" x14ac:dyDescent="0.25">
      <c r="A1269" s="2" t="s">
        <v>3174</v>
      </c>
      <c r="B1269" s="2" t="s">
        <v>44</v>
      </c>
      <c r="C1269" s="2" t="s">
        <v>3214</v>
      </c>
      <c r="D1269" s="2" t="s">
        <v>3215</v>
      </c>
      <c r="E1269" s="2" t="s">
        <v>3216</v>
      </c>
      <c r="F1269" s="3">
        <v>11019905.390000001</v>
      </c>
      <c r="G1269" s="4">
        <v>10082069</v>
      </c>
      <c r="H1269" s="4">
        <v>10082069</v>
      </c>
      <c r="I1269" s="4">
        <v>10082069</v>
      </c>
      <c r="J1269" s="16">
        <f t="shared" si="38"/>
        <v>0</v>
      </c>
      <c r="K1269" s="16">
        <f t="shared" si="39"/>
        <v>0</v>
      </c>
    </row>
    <row r="1270" spans="1:11" ht="19.5" customHeight="1" x14ac:dyDescent="0.25">
      <c r="A1270" s="2" t="s">
        <v>3174</v>
      </c>
      <c r="B1270" s="2" t="s">
        <v>44</v>
      </c>
      <c r="C1270" s="2" t="s">
        <v>3214</v>
      </c>
      <c r="D1270" s="2" t="s">
        <v>3217</v>
      </c>
      <c r="E1270" s="2" t="s">
        <v>3218</v>
      </c>
      <c r="F1270" s="3">
        <v>1314066.33</v>
      </c>
      <c r="G1270" s="3">
        <v>450000</v>
      </c>
      <c r="H1270" s="4">
        <v>450000</v>
      </c>
      <c r="I1270" s="4">
        <v>450000</v>
      </c>
      <c r="J1270" s="16">
        <f t="shared" si="38"/>
        <v>0</v>
      </c>
      <c r="K1270" s="16">
        <f t="shared" si="39"/>
        <v>0</v>
      </c>
    </row>
    <row r="1271" spans="1:11" ht="19.5" customHeight="1" x14ac:dyDescent="0.25">
      <c r="A1271" s="2" t="s">
        <v>3174</v>
      </c>
      <c r="B1271" s="2" t="s">
        <v>44</v>
      </c>
      <c r="C1271" s="2" t="s">
        <v>3219</v>
      </c>
      <c r="D1271" s="2" t="s">
        <v>3220</v>
      </c>
      <c r="E1271" s="2" t="s">
        <v>3221</v>
      </c>
      <c r="F1271" s="3">
        <v>145863.10999999999</v>
      </c>
      <c r="G1271" s="3">
        <v>100000</v>
      </c>
      <c r="H1271" s="4">
        <v>21000</v>
      </c>
      <c r="I1271" s="4">
        <v>0</v>
      </c>
      <c r="J1271" s="16">
        <f t="shared" si="38"/>
        <v>-0.79</v>
      </c>
      <c r="K1271" s="16">
        <f t="shared" si="39"/>
        <v>-1</v>
      </c>
    </row>
    <row r="1272" spans="1:11" ht="19.5" customHeight="1" x14ac:dyDescent="0.25">
      <c r="A1272" s="2" t="s">
        <v>3222</v>
      </c>
      <c r="B1272" s="2" t="s">
        <v>248</v>
      </c>
      <c r="C1272" s="2" t="s">
        <v>3223</v>
      </c>
      <c r="D1272" s="2" t="s">
        <v>3224</v>
      </c>
      <c r="E1272" s="2" t="s">
        <v>3225</v>
      </c>
      <c r="F1272" s="3">
        <v>873874.52</v>
      </c>
      <c r="G1272" s="3">
        <v>872864</v>
      </c>
      <c r="H1272" s="4">
        <v>937244</v>
      </c>
      <c r="I1272" s="4">
        <v>946036</v>
      </c>
      <c r="J1272" s="16">
        <f t="shared" si="38"/>
        <v>7.3757194706162599E-2</v>
      </c>
      <c r="K1272" s="16">
        <f t="shared" si="39"/>
        <v>9.38069488841764E-3</v>
      </c>
    </row>
    <row r="1273" spans="1:11" ht="19.5" customHeight="1" x14ac:dyDescent="0.25">
      <c r="A1273" s="2" t="s">
        <v>3222</v>
      </c>
      <c r="B1273" s="2" t="s">
        <v>248</v>
      </c>
      <c r="C1273" s="2" t="s">
        <v>3226</v>
      </c>
      <c r="D1273" s="2" t="s">
        <v>3227</v>
      </c>
      <c r="E1273" s="2" t="s">
        <v>3228</v>
      </c>
      <c r="F1273" s="3">
        <v>294847.28000000003</v>
      </c>
      <c r="G1273" s="3">
        <v>291522</v>
      </c>
      <c r="H1273" s="4">
        <v>304822</v>
      </c>
      <c r="I1273" s="4">
        <v>307922</v>
      </c>
      <c r="J1273" s="16">
        <f t="shared" si="38"/>
        <v>4.562262882389656E-2</v>
      </c>
      <c r="K1273" s="16">
        <f t="shared" si="39"/>
        <v>1.0169869628832595E-2</v>
      </c>
    </row>
    <row r="1274" spans="1:11" ht="19.5" customHeight="1" x14ac:dyDescent="0.25">
      <c r="A1274" s="2" t="s">
        <v>3222</v>
      </c>
      <c r="B1274" s="2" t="s">
        <v>54</v>
      </c>
      <c r="C1274" s="2" t="s">
        <v>54</v>
      </c>
      <c r="D1274" s="2" t="s">
        <v>3229</v>
      </c>
      <c r="E1274" s="2" t="s">
        <v>3230</v>
      </c>
      <c r="F1274" s="3">
        <v>43681473.600000001</v>
      </c>
      <c r="G1274" s="3">
        <v>43576674</v>
      </c>
      <c r="H1274" s="4">
        <v>50500000</v>
      </c>
      <c r="I1274" s="4">
        <v>53500000</v>
      </c>
      <c r="J1274" s="16">
        <f t="shared" si="38"/>
        <v>0.15887687986467247</v>
      </c>
      <c r="K1274" s="16">
        <f t="shared" si="39"/>
        <v>5.9405940594059459E-2</v>
      </c>
    </row>
    <row r="1275" spans="1:11" ht="19.5" customHeight="1" x14ac:dyDescent="0.25">
      <c r="A1275" s="2" t="s">
        <v>3222</v>
      </c>
      <c r="B1275" s="2" t="s">
        <v>54</v>
      </c>
      <c r="C1275" s="2" t="s">
        <v>54</v>
      </c>
      <c r="D1275" s="2" t="s">
        <v>3231</v>
      </c>
      <c r="E1275" s="2" t="s">
        <v>3232</v>
      </c>
      <c r="F1275" s="3">
        <v>226688024.38999999</v>
      </c>
      <c r="G1275" s="3">
        <v>132224435</v>
      </c>
      <c r="H1275" s="4">
        <v>246500000</v>
      </c>
      <c r="I1275" s="4">
        <v>237000000</v>
      </c>
      <c r="J1275" s="16">
        <f t="shared" si="38"/>
        <v>0.86425451543808829</v>
      </c>
      <c r="K1275" s="16">
        <f t="shared" si="39"/>
        <v>-3.8539553752535483E-2</v>
      </c>
    </row>
    <row r="1276" spans="1:11" ht="19.5" customHeight="1" x14ac:dyDescent="0.25">
      <c r="A1276" s="2" t="s">
        <v>3233</v>
      </c>
      <c r="B1276" s="2" t="s">
        <v>16</v>
      </c>
      <c r="C1276" s="2" t="s">
        <v>20</v>
      </c>
      <c r="D1276" s="2" t="s">
        <v>3234</v>
      </c>
      <c r="E1276" s="2" t="s">
        <v>22</v>
      </c>
      <c r="F1276" s="3">
        <v>975761.64</v>
      </c>
      <c r="G1276" s="3">
        <v>1168045</v>
      </c>
      <c r="H1276" s="4">
        <v>1168045</v>
      </c>
      <c r="I1276" s="4">
        <v>1168045</v>
      </c>
      <c r="J1276" s="16">
        <f t="shared" si="38"/>
        <v>0</v>
      </c>
      <c r="K1276" s="16">
        <f t="shared" si="39"/>
        <v>0</v>
      </c>
    </row>
    <row r="1277" spans="1:11" ht="19.5" customHeight="1" x14ac:dyDescent="0.25">
      <c r="A1277" s="2" t="s">
        <v>3235</v>
      </c>
      <c r="B1277" s="2" t="s">
        <v>16</v>
      </c>
      <c r="C1277" s="2" t="s">
        <v>3236</v>
      </c>
      <c r="D1277" s="2" t="s">
        <v>3237</v>
      </c>
      <c r="E1277" s="2" t="s">
        <v>3238</v>
      </c>
      <c r="F1277" s="3">
        <v>951601.4</v>
      </c>
      <c r="G1277" s="3">
        <v>833850</v>
      </c>
      <c r="H1277" s="4">
        <v>1200000</v>
      </c>
      <c r="I1277" s="4">
        <v>1200000</v>
      </c>
      <c r="J1277" s="16">
        <f t="shared" si="38"/>
        <v>0.43910775319302031</v>
      </c>
      <c r="K1277" s="16">
        <f t="shared" si="39"/>
        <v>0</v>
      </c>
    </row>
    <row r="1278" spans="1:11" ht="19.5" customHeight="1" x14ac:dyDescent="0.25">
      <c r="A1278" s="2" t="s">
        <v>3235</v>
      </c>
      <c r="B1278" s="2" t="s">
        <v>16</v>
      </c>
      <c r="C1278" s="2" t="s">
        <v>3239</v>
      </c>
      <c r="D1278" s="2" t="s">
        <v>3240</v>
      </c>
      <c r="E1278" s="2" t="s">
        <v>3241</v>
      </c>
      <c r="F1278" s="3">
        <v>1431098.55</v>
      </c>
      <c r="G1278" s="3">
        <v>1527500</v>
      </c>
      <c r="H1278" s="4">
        <v>1550000</v>
      </c>
      <c r="I1278" s="4">
        <v>1550000</v>
      </c>
      <c r="J1278" s="16">
        <f t="shared" si="38"/>
        <v>1.4729950900163713E-2</v>
      </c>
      <c r="K1278" s="16">
        <f t="shared" si="39"/>
        <v>0</v>
      </c>
    </row>
    <row r="1279" spans="1:11" ht="19.5" customHeight="1" x14ac:dyDescent="0.25">
      <c r="A1279" s="2" t="s">
        <v>3235</v>
      </c>
      <c r="B1279" s="2" t="s">
        <v>16</v>
      </c>
      <c r="C1279" s="2" t="s">
        <v>3242</v>
      </c>
      <c r="D1279" s="2" t="s">
        <v>3243</v>
      </c>
      <c r="E1279" s="2" t="s">
        <v>3244</v>
      </c>
      <c r="F1279" s="3">
        <v>3370816.94</v>
      </c>
      <c r="G1279" s="3">
        <v>3605500</v>
      </c>
      <c r="H1279" s="4">
        <v>4070948</v>
      </c>
      <c r="I1279" s="4">
        <v>4070948</v>
      </c>
      <c r="J1279" s="16">
        <f t="shared" si="38"/>
        <v>0.12909388434336422</v>
      </c>
      <c r="K1279" s="16">
        <f t="shared" si="39"/>
        <v>0</v>
      </c>
    </row>
    <row r="1280" spans="1:11" ht="19.5" customHeight="1" x14ac:dyDescent="0.25">
      <c r="A1280" s="2" t="s">
        <v>3235</v>
      </c>
      <c r="B1280" s="2" t="s">
        <v>16</v>
      </c>
      <c r="C1280" s="2" t="s">
        <v>3245</v>
      </c>
      <c r="D1280" s="2" t="s">
        <v>3246</v>
      </c>
      <c r="E1280" s="2" t="s">
        <v>3247</v>
      </c>
      <c r="F1280" s="3">
        <v>6408520.5499999998</v>
      </c>
      <c r="G1280" s="3">
        <v>8512095</v>
      </c>
      <c r="H1280" s="4">
        <v>8512095</v>
      </c>
      <c r="I1280" s="4">
        <v>8512095</v>
      </c>
      <c r="J1280" s="16">
        <f t="shared" si="38"/>
        <v>0</v>
      </c>
      <c r="K1280" s="16">
        <f t="shared" si="39"/>
        <v>0</v>
      </c>
    </row>
    <row r="1281" spans="1:11" ht="19.5" customHeight="1" x14ac:dyDescent="0.25">
      <c r="A1281" s="2" t="s">
        <v>3235</v>
      </c>
      <c r="B1281" s="2" t="s">
        <v>16</v>
      </c>
      <c r="C1281" s="2" t="s">
        <v>3248</v>
      </c>
      <c r="D1281" s="2" t="s">
        <v>3249</v>
      </c>
      <c r="E1281" s="2" t="s">
        <v>3250</v>
      </c>
      <c r="F1281" s="3">
        <v>7976448.8300000001</v>
      </c>
      <c r="G1281" s="3">
        <v>8000000</v>
      </c>
      <c r="H1281" s="4">
        <v>8200000</v>
      </c>
      <c r="I1281" s="4">
        <v>8200000</v>
      </c>
      <c r="J1281" s="16">
        <f t="shared" si="38"/>
        <v>2.4999999999999911E-2</v>
      </c>
      <c r="K1281" s="16">
        <f t="shared" si="39"/>
        <v>0</v>
      </c>
    </row>
    <row r="1282" spans="1:11" ht="19.5" customHeight="1" x14ac:dyDescent="0.25">
      <c r="A1282" s="2" t="s">
        <v>3235</v>
      </c>
      <c r="B1282" s="2" t="s">
        <v>887</v>
      </c>
      <c r="C1282" s="2" t="s">
        <v>3251</v>
      </c>
      <c r="D1282" s="2" t="s">
        <v>3252</v>
      </c>
      <c r="E1282" s="2" t="s">
        <v>3253</v>
      </c>
      <c r="F1282" s="3">
        <v>5009286.8600000003</v>
      </c>
      <c r="G1282" s="4">
        <v>5500000</v>
      </c>
      <c r="H1282" s="4">
        <v>7000000</v>
      </c>
      <c r="I1282" s="4">
        <v>7000000</v>
      </c>
      <c r="J1282" s="16">
        <f t="shared" si="38"/>
        <v>0.27272727272727271</v>
      </c>
      <c r="K1282" s="16">
        <f t="shared" si="39"/>
        <v>0</v>
      </c>
    </row>
    <row r="1283" spans="1:11" ht="19.5" customHeight="1" x14ac:dyDescent="0.25">
      <c r="A1283" s="2" t="s">
        <v>3235</v>
      </c>
      <c r="B1283" s="2" t="s">
        <v>227</v>
      </c>
      <c r="C1283" s="2" t="s">
        <v>3254</v>
      </c>
      <c r="D1283" s="2" t="s">
        <v>3255</v>
      </c>
      <c r="E1283" s="2" t="s">
        <v>3256</v>
      </c>
      <c r="F1283" s="3">
        <v>88600</v>
      </c>
      <c r="G1283" s="3">
        <v>100000</v>
      </c>
      <c r="H1283" s="4">
        <v>100000</v>
      </c>
      <c r="I1283" s="4">
        <v>100000</v>
      </c>
      <c r="J1283" s="16">
        <f t="shared" ref="J1283:J1346" si="40">IFERROR(H1283/G1283-1,"--")</f>
        <v>0</v>
      </c>
      <c r="K1283" s="16">
        <f t="shared" ref="K1283:K1346" si="41">IFERROR(I1283/H1283-1,"--")</f>
        <v>0</v>
      </c>
    </row>
    <row r="1284" spans="1:11" ht="19.5" customHeight="1" x14ac:dyDescent="0.25">
      <c r="A1284" s="2" t="s">
        <v>3257</v>
      </c>
      <c r="B1284" s="2" t="s">
        <v>887</v>
      </c>
      <c r="C1284" s="2" t="s">
        <v>3258</v>
      </c>
      <c r="D1284" s="2" t="s">
        <v>3259</v>
      </c>
      <c r="E1284" s="2" t="s">
        <v>3260</v>
      </c>
      <c r="F1284" s="3">
        <v>4263058</v>
      </c>
      <c r="G1284" s="3">
        <v>3100000</v>
      </c>
      <c r="H1284" s="4">
        <v>3100000</v>
      </c>
      <c r="I1284" s="4">
        <v>3100000</v>
      </c>
      <c r="J1284" s="16">
        <f t="shared" si="40"/>
        <v>0</v>
      </c>
      <c r="K1284" s="16">
        <f t="shared" si="41"/>
        <v>0</v>
      </c>
    </row>
    <row r="1285" spans="1:11" ht="19.5" customHeight="1" x14ac:dyDescent="0.25">
      <c r="A1285" s="2" t="s">
        <v>3257</v>
      </c>
      <c r="B1285" s="2" t="s">
        <v>887</v>
      </c>
      <c r="C1285" s="2" t="s">
        <v>3261</v>
      </c>
      <c r="D1285" s="2" t="s">
        <v>3262</v>
      </c>
      <c r="E1285" s="2" t="s">
        <v>3263</v>
      </c>
      <c r="F1285" s="3">
        <v>40134961.789999999</v>
      </c>
      <c r="G1285" s="3">
        <v>35000000</v>
      </c>
      <c r="H1285" s="4">
        <v>70000000</v>
      </c>
      <c r="I1285" s="4">
        <v>75000000</v>
      </c>
      <c r="J1285" s="16">
        <f t="shared" si="40"/>
        <v>1</v>
      </c>
      <c r="K1285" s="16">
        <f t="shared" si="41"/>
        <v>7.1428571428571397E-2</v>
      </c>
    </row>
    <row r="1286" spans="1:11" ht="19.5" customHeight="1" x14ac:dyDescent="0.25">
      <c r="A1286" s="2" t="s">
        <v>3257</v>
      </c>
      <c r="B1286" s="2" t="s">
        <v>887</v>
      </c>
      <c r="C1286" s="2" t="s">
        <v>3264</v>
      </c>
      <c r="D1286" s="2" t="s">
        <v>3265</v>
      </c>
      <c r="E1286" s="2" t="s">
        <v>3266</v>
      </c>
      <c r="F1286" s="3">
        <v>237334533.71000001</v>
      </c>
      <c r="G1286" s="3">
        <v>160000000</v>
      </c>
      <c r="H1286" s="4">
        <v>120000000</v>
      </c>
      <c r="I1286" s="4">
        <v>120000000</v>
      </c>
      <c r="J1286" s="16">
        <f t="shared" si="40"/>
        <v>-0.25</v>
      </c>
      <c r="K1286" s="16">
        <f t="shared" si="41"/>
        <v>0</v>
      </c>
    </row>
    <row r="1287" spans="1:11" ht="19.5" customHeight="1" x14ac:dyDescent="0.25">
      <c r="A1287" s="2" t="s">
        <v>3257</v>
      </c>
      <c r="B1287" s="2" t="s">
        <v>887</v>
      </c>
      <c r="C1287" s="2" t="s">
        <v>3267</v>
      </c>
      <c r="D1287" s="2" t="s">
        <v>3268</v>
      </c>
      <c r="E1287" s="2" t="s">
        <v>3269</v>
      </c>
      <c r="F1287" s="3">
        <v>166553.75</v>
      </c>
      <c r="G1287" s="3">
        <v>240000</v>
      </c>
      <c r="H1287" s="4">
        <v>240000</v>
      </c>
      <c r="I1287" s="4">
        <v>240000</v>
      </c>
      <c r="J1287" s="16">
        <f t="shared" si="40"/>
        <v>0</v>
      </c>
      <c r="K1287" s="16">
        <f t="shared" si="41"/>
        <v>0</v>
      </c>
    </row>
    <row r="1288" spans="1:11" ht="19.5" customHeight="1" x14ac:dyDescent="0.25">
      <c r="A1288" s="2" t="s">
        <v>3257</v>
      </c>
      <c r="B1288" s="2" t="s">
        <v>887</v>
      </c>
      <c r="C1288" s="2" t="s">
        <v>3270</v>
      </c>
      <c r="D1288" s="2" t="s">
        <v>3271</v>
      </c>
      <c r="E1288" s="2" t="s">
        <v>3272</v>
      </c>
      <c r="F1288" s="3">
        <v>1267318.19</v>
      </c>
      <c r="G1288" s="3">
        <v>1200000</v>
      </c>
      <c r="H1288" s="4">
        <v>1500000</v>
      </c>
      <c r="I1288" s="4">
        <v>1500000</v>
      </c>
      <c r="J1288" s="16">
        <f t="shared" si="40"/>
        <v>0.25</v>
      </c>
      <c r="K1288" s="16">
        <f t="shared" si="41"/>
        <v>0</v>
      </c>
    </row>
    <row r="1289" spans="1:11" ht="19.5" customHeight="1" x14ac:dyDescent="0.25">
      <c r="A1289" s="2" t="s">
        <v>3257</v>
      </c>
      <c r="B1289" s="2" t="s">
        <v>887</v>
      </c>
      <c r="C1289" s="2" t="s">
        <v>3273</v>
      </c>
      <c r="D1289" s="2" t="s">
        <v>3274</v>
      </c>
      <c r="E1289" s="2" t="s">
        <v>3275</v>
      </c>
      <c r="F1289" s="3">
        <v>2723584139.5300002</v>
      </c>
      <c r="G1289" s="3">
        <v>2815522510</v>
      </c>
      <c r="H1289" s="4">
        <v>2928800000</v>
      </c>
      <c r="I1289" s="4">
        <v>3057700000</v>
      </c>
      <c r="J1289" s="16">
        <f t="shared" si="40"/>
        <v>4.0233203463182488E-2</v>
      </c>
      <c r="K1289" s="16">
        <f t="shared" si="41"/>
        <v>4.4011199125921774E-2</v>
      </c>
    </row>
    <row r="1290" spans="1:11" ht="19.5" customHeight="1" x14ac:dyDescent="0.25">
      <c r="A1290" s="2" t="s">
        <v>3257</v>
      </c>
      <c r="B1290" s="2" t="s">
        <v>887</v>
      </c>
      <c r="C1290" s="2" t="s">
        <v>3276</v>
      </c>
      <c r="D1290" s="2" t="s">
        <v>3277</v>
      </c>
      <c r="E1290" s="2" t="s">
        <v>3278</v>
      </c>
      <c r="F1290" s="3">
        <v>504257243.81</v>
      </c>
      <c r="G1290" s="3">
        <v>488017920</v>
      </c>
      <c r="H1290" s="4">
        <v>560900000</v>
      </c>
      <c r="I1290" s="4">
        <v>594000000</v>
      </c>
      <c r="J1290" s="16">
        <f t="shared" si="40"/>
        <v>0.14934304051785641</v>
      </c>
      <c r="K1290" s="16">
        <f t="shared" si="41"/>
        <v>5.9012301658049493E-2</v>
      </c>
    </row>
    <row r="1291" spans="1:11" ht="19.5" customHeight="1" x14ac:dyDescent="0.25">
      <c r="A1291" s="2" t="s">
        <v>3257</v>
      </c>
      <c r="B1291" s="2" t="s">
        <v>887</v>
      </c>
      <c r="C1291" s="2" t="s">
        <v>3279</v>
      </c>
      <c r="D1291" s="2" t="s">
        <v>3280</v>
      </c>
      <c r="E1291" s="2" t="s">
        <v>3281</v>
      </c>
      <c r="F1291" s="3">
        <v>209475</v>
      </c>
      <c r="G1291" s="3">
        <v>300000</v>
      </c>
      <c r="H1291" s="4">
        <v>300000</v>
      </c>
      <c r="I1291" s="4">
        <v>300000</v>
      </c>
      <c r="J1291" s="16">
        <f t="shared" si="40"/>
        <v>0</v>
      </c>
      <c r="K1291" s="16">
        <f t="shared" si="41"/>
        <v>0</v>
      </c>
    </row>
    <row r="1292" spans="1:11" ht="19.5" customHeight="1" x14ac:dyDescent="0.25">
      <c r="A1292" s="2" t="s">
        <v>3257</v>
      </c>
      <c r="B1292" s="2" t="s">
        <v>887</v>
      </c>
      <c r="C1292" s="2" t="s">
        <v>3282</v>
      </c>
      <c r="D1292" s="2" t="s">
        <v>3283</v>
      </c>
      <c r="E1292" s="2" t="s">
        <v>3284</v>
      </c>
      <c r="F1292" s="3">
        <v>0</v>
      </c>
      <c r="G1292" s="3">
        <v>1000000</v>
      </c>
      <c r="H1292" s="4">
        <v>1000000</v>
      </c>
      <c r="I1292" s="4">
        <v>1000000</v>
      </c>
      <c r="J1292" s="16">
        <f t="shared" si="40"/>
        <v>0</v>
      </c>
      <c r="K1292" s="16">
        <f t="shared" si="41"/>
        <v>0</v>
      </c>
    </row>
    <row r="1293" spans="1:11" ht="19.5" customHeight="1" x14ac:dyDescent="0.25">
      <c r="A1293" s="2" t="s">
        <v>3257</v>
      </c>
      <c r="B1293" s="2" t="s">
        <v>887</v>
      </c>
      <c r="C1293" s="2" t="s">
        <v>3285</v>
      </c>
      <c r="D1293" s="2" t="s">
        <v>3286</v>
      </c>
      <c r="E1293" s="2" t="s">
        <v>3287</v>
      </c>
      <c r="F1293" s="3">
        <v>25851277.84</v>
      </c>
      <c r="G1293" s="3">
        <v>25700000</v>
      </c>
      <c r="H1293" s="4">
        <v>25900000</v>
      </c>
      <c r="I1293" s="4">
        <v>26000000</v>
      </c>
      <c r="J1293" s="16">
        <f t="shared" si="40"/>
        <v>7.7821011673151474E-3</v>
      </c>
      <c r="K1293" s="16">
        <f t="shared" si="41"/>
        <v>3.8610038610038533E-3</v>
      </c>
    </row>
    <row r="1294" spans="1:11" ht="19.5" customHeight="1" x14ac:dyDescent="0.25">
      <c r="A1294" s="2" t="s">
        <v>3257</v>
      </c>
      <c r="B1294" s="2" t="s">
        <v>887</v>
      </c>
      <c r="C1294" s="2" t="s">
        <v>3288</v>
      </c>
      <c r="D1294" s="2" t="s">
        <v>3289</v>
      </c>
      <c r="E1294" s="2" t="s">
        <v>3290</v>
      </c>
      <c r="F1294" s="3">
        <v>19649691.399999999</v>
      </c>
      <c r="G1294" s="3">
        <v>15000000</v>
      </c>
      <c r="H1294" s="4">
        <v>20000000</v>
      </c>
      <c r="I1294" s="4">
        <v>20000000</v>
      </c>
      <c r="J1294" s="16">
        <f t="shared" si="40"/>
        <v>0.33333333333333326</v>
      </c>
      <c r="K1294" s="16">
        <f t="shared" si="41"/>
        <v>0</v>
      </c>
    </row>
    <row r="1295" spans="1:11" ht="19.5" customHeight="1" x14ac:dyDescent="0.25">
      <c r="A1295" s="2" t="s">
        <v>3257</v>
      </c>
      <c r="B1295" s="2" t="s">
        <v>887</v>
      </c>
      <c r="C1295" s="2" t="s">
        <v>3291</v>
      </c>
      <c r="D1295" s="2" t="s">
        <v>3292</v>
      </c>
      <c r="E1295" s="2" t="s">
        <v>3293</v>
      </c>
      <c r="F1295" s="3">
        <v>204222805.88999999</v>
      </c>
      <c r="G1295" s="3">
        <v>222700000</v>
      </c>
      <c r="H1295" s="4">
        <v>235000000</v>
      </c>
      <c r="I1295" s="4">
        <v>242000000</v>
      </c>
      <c r="J1295" s="16">
        <f t="shared" si="40"/>
        <v>5.5231252806466014E-2</v>
      </c>
      <c r="K1295" s="16">
        <f t="shared" si="41"/>
        <v>2.9787234042553123E-2</v>
      </c>
    </row>
    <row r="1296" spans="1:11" ht="19.5" customHeight="1" x14ac:dyDescent="0.25">
      <c r="A1296" s="2" t="s">
        <v>3257</v>
      </c>
      <c r="B1296" s="2" t="s">
        <v>54</v>
      </c>
      <c r="C1296" s="2" t="s">
        <v>54</v>
      </c>
      <c r="D1296" s="2" t="s">
        <v>3294</v>
      </c>
      <c r="E1296" s="2" t="s">
        <v>3295</v>
      </c>
      <c r="F1296" s="3">
        <v>639424796.23000002</v>
      </c>
      <c r="G1296" s="3">
        <v>650342850</v>
      </c>
      <c r="H1296" s="4">
        <v>651400000</v>
      </c>
      <c r="I1296" s="4">
        <v>658400000</v>
      </c>
      <c r="J1296" s="16">
        <f t="shared" si="40"/>
        <v>1.6255272123004705E-3</v>
      </c>
      <c r="K1296" s="16">
        <f t="shared" si="41"/>
        <v>1.0746085354620849E-2</v>
      </c>
    </row>
    <row r="1297" spans="1:11" ht="19.5" customHeight="1" x14ac:dyDescent="0.25">
      <c r="A1297" s="2" t="s">
        <v>3257</v>
      </c>
      <c r="B1297" s="2" t="s">
        <v>54</v>
      </c>
      <c r="C1297" s="2" t="s">
        <v>54</v>
      </c>
      <c r="D1297" s="2" t="s">
        <v>3296</v>
      </c>
      <c r="E1297" s="2" t="s">
        <v>3297</v>
      </c>
      <c r="F1297" s="3">
        <v>1161179901.26</v>
      </c>
      <c r="G1297" s="3">
        <v>1207908150</v>
      </c>
      <c r="H1297" s="4">
        <v>1183000000</v>
      </c>
      <c r="I1297" s="4">
        <v>1195600000</v>
      </c>
      <c r="J1297" s="16">
        <f t="shared" si="40"/>
        <v>-2.0620897375350888E-2</v>
      </c>
      <c r="K1297" s="16">
        <f t="shared" si="41"/>
        <v>1.0650887573964596E-2</v>
      </c>
    </row>
    <row r="1298" spans="1:11" ht="19.5" customHeight="1" x14ac:dyDescent="0.25">
      <c r="A1298" s="2" t="s">
        <v>3257</v>
      </c>
      <c r="B1298" s="2" t="s">
        <v>227</v>
      </c>
      <c r="C1298" s="2" t="s">
        <v>3298</v>
      </c>
      <c r="D1298" s="2" t="s">
        <v>3299</v>
      </c>
      <c r="E1298" s="2" t="s">
        <v>3300</v>
      </c>
      <c r="F1298" s="3">
        <v>52519035.259999998</v>
      </c>
      <c r="G1298" s="3">
        <v>56100000</v>
      </c>
      <c r="H1298" s="4">
        <v>56100000</v>
      </c>
      <c r="I1298" s="4">
        <v>56100000</v>
      </c>
      <c r="J1298" s="16">
        <f t="shared" si="40"/>
        <v>0</v>
      </c>
      <c r="K1298" s="16">
        <f t="shared" si="41"/>
        <v>0</v>
      </c>
    </row>
    <row r="1299" spans="1:11" ht="19.5" customHeight="1" x14ac:dyDescent="0.25">
      <c r="A1299" s="2" t="s">
        <v>3257</v>
      </c>
      <c r="B1299" s="2" t="s">
        <v>3257</v>
      </c>
      <c r="C1299" s="2" t="s">
        <v>3301</v>
      </c>
      <c r="D1299" s="2" t="s">
        <v>3302</v>
      </c>
      <c r="E1299" s="2" t="s">
        <v>3303</v>
      </c>
      <c r="F1299" s="3">
        <v>140591435.13999999</v>
      </c>
      <c r="G1299" s="3">
        <v>147030000</v>
      </c>
      <c r="H1299" s="4">
        <v>150000000</v>
      </c>
      <c r="I1299" s="4">
        <v>153000000</v>
      </c>
      <c r="J1299" s="16">
        <f t="shared" si="40"/>
        <v>2.0199959192001682E-2</v>
      </c>
      <c r="K1299" s="16">
        <f t="shared" si="41"/>
        <v>2.0000000000000018E-2</v>
      </c>
    </row>
    <row r="1300" spans="1:11" ht="19.5" customHeight="1" x14ac:dyDescent="0.25">
      <c r="A1300" s="2" t="s">
        <v>3257</v>
      </c>
      <c r="B1300" s="2" t="s">
        <v>3257</v>
      </c>
      <c r="C1300" s="2" t="s">
        <v>3304</v>
      </c>
      <c r="D1300" s="2" t="s">
        <v>3305</v>
      </c>
      <c r="E1300" s="2" t="s">
        <v>3306</v>
      </c>
      <c r="F1300" s="3">
        <v>95984802.790000007</v>
      </c>
      <c r="G1300" s="3">
        <v>97800000</v>
      </c>
      <c r="H1300" s="4">
        <v>99800000</v>
      </c>
      <c r="I1300" s="4">
        <v>101800000</v>
      </c>
      <c r="J1300" s="16">
        <f t="shared" si="40"/>
        <v>2.0449897750511203E-2</v>
      </c>
      <c r="K1300" s="16">
        <f t="shared" si="41"/>
        <v>2.0040080160320661E-2</v>
      </c>
    </row>
    <row r="1301" spans="1:11" ht="19.5" customHeight="1" x14ac:dyDescent="0.25">
      <c r="A1301" s="2" t="s">
        <v>3257</v>
      </c>
      <c r="B1301" s="2" t="s">
        <v>3257</v>
      </c>
      <c r="C1301" s="2" t="s">
        <v>3307</v>
      </c>
      <c r="D1301" s="2" t="s">
        <v>3308</v>
      </c>
      <c r="E1301" s="2" t="s">
        <v>3309</v>
      </c>
      <c r="F1301" s="3">
        <v>13783474.029999999</v>
      </c>
      <c r="G1301" s="3">
        <v>14430000</v>
      </c>
      <c r="H1301" s="4">
        <v>14700000</v>
      </c>
      <c r="I1301" s="4">
        <v>15000000</v>
      </c>
      <c r="J1301" s="16">
        <f t="shared" si="40"/>
        <v>1.8711018711018657E-2</v>
      </c>
      <c r="K1301" s="16">
        <f t="shared" si="41"/>
        <v>2.0408163265306145E-2</v>
      </c>
    </row>
    <row r="1302" spans="1:11" ht="19.5" customHeight="1" x14ac:dyDescent="0.25">
      <c r="A1302" s="2" t="s">
        <v>3257</v>
      </c>
      <c r="B1302" s="2" t="s">
        <v>3257</v>
      </c>
      <c r="C1302" s="2" t="s">
        <v>3310</v>
      </c>
      <c r="D1302" s="2" t="s">
        <v>3311</v>
      </c>
      <c r="E1302" s="2" t="s">
        <v>3312</v>
      </c>
      <c r="F1302" s="3">
        <v>132343760.90000001</v>
      </c>
      <c r="G1302" s="3">
        <v>111196773</v>
      </c>
      <c r="H1302" s="4">
        <v>83157236</v>
      </c>
      <c r="I1302" s="4">
        <v>72308288</v>
      </c>
      <c r="J1302" s="16">
        <f t="shared" si="40"/>
        <v>-0.25216142738242953</v>
      </c>
      <c r="K1302" s="16">
        <f t="shared" si="41"/>
        <v>-0.13046306637704985</v>
      </c>
    </row>
    <row r="1303" spans="1:11" ht="19.5" customHeight="1" x14ac:dyDescent="0.25">
      <c r="A1303" s="2" t="s">
        <v>3257</v>
      </c>
      <c r="B1303" s="2" t="s">
        <v>3257</v>
      </c>
      <c r="C1303" s="2" t="s">
        <v>3313</v>
      </c>
      <c r="D1303" s="2" t="s">
        <v>3314</v>
      </c>
      <c r="E1303" s="2" t="s">
        <v>3315</v>
      </c>
      <c r="F1303" s="3">
        <v>731340.61</v>
      </c>
      <c r="G1303" s="3">
        <v>0</v>
      </c>
      <c r="H1303" s="4">
        <v>2250000</v>
      </c>
      <c r="I1303" s="4">
        <v>0</v>
      </c>
      <c r="J1303" s="16" t="str">
        <f t="shared" si="40"/>
        <v>--</v>
      </c>
      <c r="K1303" s="16">
        <f t="shared" si="41"/>
        <v>-1</v>
      </c>
    </row>
    <row r="1304" spans="1:11" ht="19.5" customHeight="1" x14ac:dyDescent="0.25">
      <c r="A1304" s="2" t="s">
        <v>3257</v>
      </c>
      <c r="B1304" s="2" t="s">
        <v>3257</v>
      </c>
      <c r="C1304" s="2" t="s">
        <v>3316</v>
      </c>
      <c r="D1304" s="2" t="s">
        <v>3317</v>
      </c>
      <c r="E1304" s="2" t="s">
        <v>3318</v>
      </c>
      <c r="F1304" s="3">
        <v>18700912.68</v>
      </c>
      <c r="G1304" s="3">
        <v>23000000</v>
      </c>
      <c r="H1304" s="4">
        <v>23000000</v>
      </c>
      <c r="I1304" s="4">
        <v>23000000</v>
      </c>
      <c r="J1304" s="16">
        <f t="shared" si="40"/>
        <v>0</v>
      </c>
      <c r="K1304" s="16">
        <f t="shared" si="41"/>
        <v>0</v>
      </c>
    </row>
    <row r="1305" spans="1:11" ht="19.5" customHeight="1" x14ac:dyDescent="0.25">
      <c r="A1305" s="2" t="s">
        <v>3257</v>
      </c>
      <c r="B1305" s="2" t="s">
        <v>3257</v>
      </c>
      <c r="C1305" s="2" t="s">
        <v>3319</v>
      </c>
      <c r="D1305" s="2" t="s">
        <v>3320</v>
      </c>
      <c r="E1305" s="2" t="s">
        <v>3321</v>
      </c>
      <c r="F1305" s="3">
        <v>300336611.31999999</v>
      </c>
      <c r="G1305" s="3">
        <v>328000000</v>
      </c>
      <c r="H1305" s="4">
        <v>328000000</v>
      </c>
      <c r="I1305" s="4">
        <v>328000000</v>
      </c>
      <c r="J1305" s="16">
        <f t="shared" si="40"/>
        <v>0</v>
      </c>
      <c r="K1305" s="16">
        <f t="shared" si="41"/>
        <v>0</v>
      </c>
    </row>
    <row r="1306" spans="1:11" ht="19.5" customHeight="1" x14ac:dyDescent="0.25">
      <c r="A1306" s="2" t="s">
        <v>3257</v>
      </c>
      <c r="B1306" s="2" t="s">
        <v>3257</v>
      </c>
      <c r="C1306" s="2" t="s">
        <v>3322</v>
      </c>
      <c r="D1306" s="2" t="s">
        <v>3323</v>
      </c>
      <c r="E1306" s="2" t="s">
        <v>3324</v>
      </c>
      <c r="F1306" s="3">
        <v>855098326.66999996</v>
      </c>
      <c r="G1306" s="3">
        <v>576000000</v>
      </c>
      <c r="H1306" s="4">
        <v>900000000</v>
      </c>
      <c r="I1306" s="4">
        <v>920000000</v>
      </c>
      <c r="J1306" s="16">
        <f t="shared" si="40"/>
        <v>0.5625</v>
      </c>
      <c r="K1306" s="16">
        <f t="shared" si="41"/>
        <v>2.2222222222222143E-2</v>
      </c>
    </row>
    <row r="1307" spans="1:11" ht="19.5" customHeight="1" x14ac:dyDescent="0.25">
      <c r="A1307" s="2" t="s">
        <v>3257</v>
      </c>
      <c r="B1307" s="2" t="s">
        <v>3257</v>
      </c>
      <c r="C1307" s="2" t="s">
        <v>3325</v>
      </c>
      <c r="D1307" s="2" t="s">
        <v>3326</v>
      </c>
      <c r="E1307" s="2" t="s">
        <v>3327</v>
      </c>
      <c r="F1307" s="3">
        <v>393088822.25</v>
      </c>
      <c r="G1307" s="3">
        <v>430000000</v>
      </c>
      <c r="H1307" s="4">
        <v>439000000</v>
      </c>
      <c r="I1307" s="4">
        <v>454000000</v>
      </c>
      <c r="J1307" s="16">
        <f t="shared" si="40"/>
        <v>2.0930232558139528E-2</v>
      </c>
      <c r="K1307" s="16">
        <f t="shared" si="41"/>
        <v>3.4168564920273425E-2</v>
      </c>
    </row>
    <row r="1308" spans="1:11" ht="19.5" customHeight="1" x14ac:dyDescent="0.25">
      <c r="A1308" s="2" t="s">
        <v>3257</v>
      </c>
      <c r="B1308" s="2" t="s">
        <v>3257</v>
      </c>
      <c r="C1308" s="2" t="s">
        <v>3328</v>
      </c>
      <c r="D1308" s="2" t="s">
        <v>3329</v>
      </c>
      <c r="E1308" s="2" t="s">
        <v>3330</v>
      </c>
      <c r="F1308" s="3">
        <v>10476360.060000001</v>
      </c>
      <c r="G1308" s="3">
        <v>14600000</v>
      </c>
      <c r="H1308" s="4">
        <v>14600000</v>
      </c>
      <c r="I1308" s="4">
        <v>14600000</v>
      </c>
      <c r="J1308" s="16">
        <f t="shared" si="40"/>
        <v>0</v>
      </c>
      <c r="K1308" s="16">
        <f t="shared" si="41"/>
        <v>0</v>
      </c>
    </row>
    <row r="1309" spans="1:11" ht="19.5" customHeight="1" x14ac:dyDescent="0.25">
      <c r="A1309" s="2" t="s">
        <v>3257</v>
      </c>
      <c r="B1309" s="2" t="s">
        <v>3257</v>
      </c>
      <c r="C1309" s="2" t="s">
        <v>3331</v>
      </c>
      <c r="D1309" s="2" t="s">
        <v>3332</v>
      </c>
      <c r="E1309" s="2" t="s">
        <v>3333</v>
      </c>
      <c r="F1309" s="3">
        <v>393646531.19999999</v>
      </c>
      <c r="G1309" s="3">
        <v>424900000</v>
      </c>
      <c r="H1309" s="4">
        <v>428000000</v>
      </c>
      <c r="I1309" s="4">
        <v>443000000</v>
      </c>
      <c r="J1309" s="16">
        <f t="shared" si="40"/>
        <v>7.2958343139561954E-3</v>
      </c>
      <c r="K1309" s="16">
        <f t="shared" si="41"/>
        <v>3.5046728971962704E-2</v>
      </c>
    </row>
    <row r="1310" spans="1:11" ht="19.5" customHeight="1" x14ac:dyDescent="0.25">
      <c r="A1310" s="2" t="s">
        <v>3257</v>
      </c>
      <c r="B1310" s="2" t="s">
        <v>3257</v>
      </c>
      <c r="C1310" s="2" t="s">
        <v>3334</v>
      </c>
      <c r="D1310" s="2" t="s">
        <v>3335</v>
      </c>
      <c r="E1310" s="2" t="s">
        <v>3336</v>
      </c>
      <c r="F1310" s="3">
        <v>12017686.07</v>
      </c>
      <c r="G1310" s="3">
        <v>8620000</v>
      </c>
      <c r="H1310" s="4">
        <v>7256000</v>
      </c>
      <c r="I1310" s="4">
        <v>6307000</v>
      </c>
      <c r="J1310" s="16">
        <f t="shared" si="40"/>
        <v>-0.15823665893271466</v>
      </c>
      <c r="K1310" s="16">
        <f t="shared" si="41"/>
        <v>-0.13078831312017636</v>
      </c>
    </row>
    <row r="1311" spans="1:11" ht="19.5" customHeight="1" x14ac:dyDescent="0.25">
      <c r="A1311" s="2" t="s">
        <v>3257</v>
      </c>
      <c r="B1311" s="2" t="s">
        <v>3257</v>
      </c>
      <c r="C1311" s="2" t="s">
        <v>3337</v>
      </c>
      <c r="D1311" s="2" t="s">
        <v>3338</v>
      </c>
      <c r="E1311" s="2" t="s">
        <v>3339</v>
      </c>
      <c r="F1311" s="3">
        <v>47445.37</v>
      </c>
      <c r="G1311" s="3">
        <v>60000</v>
      </c>
      <c r="H1311" s="4">
        <v>60000</v>
      </c>
      <c r="I1311" s="4">
        <v>60000</v>
      </c>
      <c r="J1311" s="16">
        <f t="shared" si="40"/>
        <v>0</v>
      </c>
      <c r="K1311" s="16">
        <f t="shared" si="41"/>
        <v>0</v>
      </c>
    </row>
    <row r="1312" spans="1:11" ht="19.5" customHeight="1" x14ac:dyDescent="0.25">
      <c r="A1312" s="2" t="s">
        <v>3257</v>
      </c>
      <c r="B1312" s="2" t="s">
        <v>3257</v>
      </c>
      <c r="C1312" s="2" t="s">
        <v>3340</v>
      </c>
      <c r="D1312" s="2" t="s">
        <v>3341</v>
      </c>
      <c r="E1312" s="2" t="s">
        <v>3342</v>
      </c>
      <c r="F1312" s="3">
        <v>787011.81</v>
      </c>
      <c r="G1312" s="3">
        <v>1000000</v>
      </c>
      <c r="H1312" s="4">
        <v>1000000</v>
      </c>
      <c r="I1312" s="4">
        <v>1000000</v>
      </c>
      <c r="J1312" s="16">
        <f t="shared" si="40"/>
        <v>0</v>
      </c>
      <c r="K1312" s="16">
        <f t="shared" si="41"/>
        <v>0</v>
      </c>
    </row>
    <row r="1313" spans="1:11" ht="19.5" customHeight="1" x14ac:dyDescent="0.25">
      <c r="A1313" s="2" t="s">
        <v>3343</v>
      </c>
      <c r="B1313" s="2" t="s">
        <v>54</v>
      </c>
      <c r="C1313" s="2" t="s">
        <v>54</v>
      </c>
      <c r="D1313" s="2" t="s">
        <v>3344</v>
      </c>
      <c r="E1313" s="2" t="s">
        <v>22</v>
      </c>
      <c r="F1313" s="3">
        <v>23399553.18</v>
      </c>
      <c r="G1313" s="3">
        <v>25917274</v>
      </c>
      <c r="H1313" s="4">
        <v>25917274</v>
      </c>
      <c r="I1313" s="4">
        <v>25917274</v>
      </c>
      <c r="J1313" s="16">
        <f t="shared" si="40"/>
        <v>0</v>
      </c>
      <c r="K1313" s="16">
        <f t="shared" si="41"/>
        <v>0</v>
      </c>
    </row>
    <row r="1314" spans="1:11" ht="19.5" customHeight="1" x14ac:dyDescent="0.25">
      <c r="A1314" s="2" t="s">
        <v>3343</v>
      </c>
      <c r="B1314" s="2" t="s">
        <v>243</v>
      </c>
      <c r="C1314" s="2" t="s">
        <v>3345</v>
      </c>
      <c r="D1314" s="2" t="s">
        <v>3346</v>
      </c>
      <c r="E1314" s="2" t="s">
        <v>3347</v>
      </c>
      <c r="F1314" s="3">
        <v>380640</v>
      </c>
      <c r="G1314" s="3">
        <v>1433664</v>
      </c>
      <c r="H1314" s="4">
        <v>1433664</v>
      </c>
      <c r="I1314" s="4">
        <v>1433664</v>
      </c>
      <c r="J1314" s="16">
        <f t="shared" si="40"/>
        <v>0</v>
      </c>
      <c r="K1314" s="16">
        <f t="shared" si="41"/>
        <v>0</v>
      </c>
    </row>
    <row r="1315" spans="1:11" ht="19.5" customHeight="1" x14ac:dyDescent="0.25">
      <c r="A1315" s="2" t="s">
        <v>3343</v>
      </c>
      <c r="B1315" s="2" t="s">
        <v>243</v>
      </c>
      <c r="C1315" s="2" t="s">
        <v>3348</v>
      </c>
      <c r="D1315" s="2" t="s">
        <v>3349</v>
      </c>
      <c r="E1315" s="2" t="s">
        <v>3350</v>
      </c>
      <c r="F1315" s="3">
        <v>36470.31</v>
      </c>
      <c r="G1315" s="3">
        <v>50000</v>
      </c>
      <c r="H1315" s="4">
        <v>50000</v>
      </c>
      <c r="I1315" s="4">
        <v>50000</v>
      </c>
      <c r="J1315" s="16">
        <f t="shared" si="40"/>
        <v>0</v>
      </c>
      <c r="K1315" s="16">
        <f t="shared" si="41"/>
        <v>0</v>
      </c>
    </row>
    <row r="1316" spans="1:11" ht="19.5" customHeight="1" x14ac:dyDescent="0.25">
      <c r="A1316" s="2" t="s">
        <v>3351</v>
      </c>
      <c r="B1316" s="2" t="s">
        <v>16</v>
      </c>
      <c r="C1316" s="2" t="s">
        <v>20</v>
      </c>
      <c r="D1316" s="2" t="s">
        <v>3352</v>
      </c>
      <c r="E1316" s="2" t="s">
        <v>22</v>
      </c>
      <c r="F1316" s="3">
        <v>474338.8</v>
      </c>
      <c r="G1316" s="3">
        <v>540260</v>
      </c>
      <c r="H1316" s="4">
        <v>513000</v>
      </c>
      <c r="I1316" s="4">
        <v>513000</v>
      </c>
      <c r="J1316" s="16">
        <f t="shared" si="40"/>
        <v>-5.0457187280198434E-2</v>
      </c>
      <c r="K1316" s="16">
        <f t="shared" si="41"/>
        <v>0</v>
      </c>
    </row>
    <row r="1317" spans="1:11" ht="19.5" customHeight="1" x14ac:dyDescent="0.25">
      <c r="A1317" s="2" t="s">
        <v>3353</v>
      </c>
      <c r="B1317" s="2" t="s">
        <v>54</v>
      </c>
      <c r="C1317" s="2" t="s">
        <v>54</v>
      </c>
      <c r="D1317" s="2" t="s">
        <v>3354</v>
      </c>
      <c r="E1317" s="2" t="s">
        <v>22</v>
      </c>
      <c r="F1317" s="4">
        <v>13519011.710000001</v>
      </c>
      <c r="G1317" s="3">
        <v>15902029</v>
      </c>
      <c r="H1317" s="4">
        <v>15902029</v>
      </c>
      <c r="I1317" s="4">
        <v>15902029</v>
      </c>
      <c r="J1317" s="16">
        <f t="shared" si="40"/>
        <v>0</v>
      </c>
      <c r="K1317" s="16">
        <f t="shared" si="41"/>
        <v>0</v>
      </c>
    </row>
    <row r="1318" spans="1:11" ht="19.5" customHeight="1" x14ac:dyDescent="0.25">
      <c r="A1318" s="2" t="s">
        <v>3353</v>
      </c>
      <c r="B1318" s="2" t="s">
        <v>243</v>
      </c>
      <c r="C1318" s="2" t="s">
        <v>3355</v>
      </c>
      <c r="D1318" s="2" t="s">
        <v>3356</v>
      </c>
      <c r="E1318" s="2" t="s">
        <v>3357</v>
      </c>
      <c r="F1318" s="3">
        <v>58989.06</v>
      </c>
      <c r="G1318" s="3">
        <v>425800</v>
      </c>
      <c r="H1318" s="4">
        <v>425800</v>
      </c>
      <c r="I1318" s="4">
        <v>425800</v>
      </c>
      <c r="J1318" s="16">
        <f t="shared" si="40"/>
        <v>0</v>
      </c>
      <c r="K1318" s="16">
        <f t="shared" si="41"/>
        <v>0</v>
      </c>
    </row>
    <row r="1319" spans="1:11" ht="19.5" customHeight="1" x14ac:dyDescent="0.25">
      <c r="A1319" s="2" t="s">
        <v>3353</v>
      </c>
      <c r="B1319" s="2" t="s">
        <v>243</v>
      </c>
      <c r="C1319" s="2" t="s">
        <v>3358</v>
      </c>
      <c r="D1319" s="2" t="s">
        <v>3359</v>
      </c>
      <c r="E1319" s="2" t="s">
        <v>3350</v>
      </c>
      <c r="F1319" s="3">
        <v>30098.95</v>
      </c>
      <c r="G1319" s="3">
        <v>34497</v>
      </c>
      <c r="H1319" s="4">
        <v>34497</v>
      </c>
      <c r="I1319" s="4">
        <v>34497</v>
      </c>
      <c r="J1319" s="16">
        <f t="shared" si="40"/>
        <v>0</v>
      </c>
      <c r="K1319" s="16">
        <f t="shared" si="41"/>
        <v>0</v>
      </c>
    </row>
    <row r="1320" spans="1:11" ht="19.5" customHeight="1" x14ac:dyDescent="0.25">
      <c r="A1320" s="2" t="s">
        <v>3360</v>
      </c>
      <c r="B1320" s="2" t="s">
        <v>16</v>
      </c>
      <c r="C1320" s="2" t="s">
        <v>20</v>
      </c>
      <c r="D1320" s="2" t="s">
        <v>3361</v>
      </c>
      <c r="E1320" s="2" t="s">
        <v>22</v>
      </c>
      <c r="F1320" s="3">
        <v>569523.72</v>
      </c>
      <c r="G1320" s="3">
        <v>636709</v>
      </c>
      <c r="H1320" s="4">
        <v>636709</v>
      </c>
      <c r="I1320" s="4">
        <v>636709</v>
      </c>
      <c r="J1320" s="16">
        <f t="shared" si="40"/>
        <v>0</v>
      </c>
      <c r="K1320" s="16">
        <f t="shared" si="41"/>
        <v>0</v>
      </c>
    </row>
    <row r="1321" spans="1:11" ht="19.5" customHeight="1" x14ac:dyDescent="0.25">
      <c r="A1321" s="2" t="s">
        <v>3362</v>
      </c>
      <c r="B1321" s="2" t="s">
        <v>16</v>
      </c>
      <c r="C1321" s="2" t="s">
        <v>3363</v>
      </c>
      <c r="D1321" s="2" t="s">
        <v>3364</v>
      </c>
      <c r="E1321" s="2" t="s">
        <v>22</v>
      </c>
      <c r="F1321" s="3">
        <v>269888.40000000002</v>
      </c>
      <c r="G1321" s="3">
        <v>256100</v>
      </c>
      <c r="H1321" s="4">
        <v>98270</v>
      </c>
      <c r="I1321" s="4">
        <v>0</v>
      </c>
      <c r="J1321" s="16">
        <f t="shared" si="40"/>
        <v>-0.61628270206950408</v>
      </c>
      <c r="K1321" s="16">
        <f t="shared" si="41"/>
        <v>-1</v>
      </c>
    </row>
    <row r="1322" spans="1:11" ht="19.5" customHeight="1" x14ac:dyDescent="0.25">
      <c r="A1322" s="2" t="s">
        <v>3365</v>
      </c>
      <c r="B1322" s="2" t="s">
        <v>16</v>
      </c>
      <c r="C1322" s="2" t="s">
        <v>3366</v>
      </c>
      <c r="D1322" s="2" t="s">
        <v>3367</v>
      </c>
      <c r="E1322" s="2" t="s">
        <v>3368</v>
      </c>
      <c r="F1322" s="3">
        <v>392166.41</v>
      </c>
      <c r="G1322" s="3">
        <v>475000</v>
      </c>
      <c r="H1322" s="4">
        <v>475000</v>
      </c>
      <c r="I1322" s="4">
        <v>475000</v>
      </c>
      <c r="J1322" s="16">
        <f t="shared" si="40"/>
        <v>0</v>
      </c>
      <c r="K1322" s="16">
        <f t="shared" si="41"/>
        <v>0</v>
      </c>
    </row>
    <row r="1323" spans="1:11" ht="19.5" customHeight="1" x14ac:dyDescent="0.25">
      <c r="A1323" s="2" t="s">
        <v>3365</v>
      </c>
      <c r="B1323" s="2" t="s">
        <v>16</v>
      </c>
      <c r="C1323" s="2" t="s">
        <v>3369</v>
      </c>
      <c r="D1323" s="2" t="s">
        <v>3370</v>
      </c>
      <c r="E1323" s="2" t="s">
        <v>3371</v>
      </c>
      <c r="F1323" s="3">
        <v>0</v>
      </c>
      <c r="G1323" s="3">
        <v>1128091</v>
      </c>
      <c r="H1323" s="4">
        <v>0</v>
      </c>
      <c r="I1323" s="4">
        <v>0</v>
      </c>
      <c r="J1323" s="16">
        <f t="shared" si="40"/>
        <v>-1</v>
      </c>
      <c r="K1323" s="16" t="str">
        <f t="shared" si="41"/>
        <v>--</v>
      </c>
    </row>
    <row r="1324" spans="1:11" ht="19.5" customHeight="1" x14ac:dyDescent="0.25">
      <c r="A1324" s="2" t="s">
        <v>3365</v>
      </c>
      <c r="B1324" s="2" t="s">
        <v>16</v>
      </c>
      <c r="C1324" s="2" t="s">
        <v>3372</v>
      </c>
      <c r="D1324" s="2" t="s">
        <v>3373</v>
      </c>
      <c r="E1324" s="2" t="s">
        <v>3374</v>
      </c>
      <c r="F1324" s="3">
        <v>13609.76</v>
      </c>
      <c r="G1324" s="3">
        <v>19200</v>
      </c>
      <c r="H1324" s="4">
        <v>14400</v>
      </c>
      <c r="I1324" s="4">
        <v>14400</v>
      </c>
      <c r="J1324" s="16">
        <f t="shared" si="40"/>
        <v>-0.25</v>
      </c>
      <c r="K1324" s="16">
        <f t="shared" si="41"/>
        <v>0</v>
      </c>
    </row>
    <row r="1325" spans="1:11" ht="19.5" customHeight="1" x14ac:dyDescent="0.25">
      <c r="A1325" s="2" t="s">
        <v>3365</v>
      </c>
      <c r="B1325" s="2" t="s">
        <v>16</v>
      </c>
      <c r="C1325" s="2" t="s">
        <v>3375</v>
      </c>
      <c r="D1325" s="2" t="s">
        <v>3376</v>
      </c>
      <c r="E1325" s="2" t="s">
        <v>3377</v>
      </c>
      <c r="F1325" s="3">
        <v>13177691.1</v>
      </c>
      <c r="G1325" s="3">
        <v>15310430</v>
      </c>
      <c r="H1325" s="4">
        <v>17923793</v>
      </c>
      <c r="I1325" s="4">
        <v>16872298</v>
      </c>
      <c r="J1325" s="16">
        <f t="shared" si="40"/>
        <v>0.17069167880980474</v>
      </c>
      <c r="K1325" s="16">
        <f t="shared" si="41"/>
        <v>-5.8664759183505444E-2</v>
      </c>
    </row>
    <row r="1326" spans="1:11" ht="19.5" customHeight="1" x14ac:dyDescent="0.25">
      <c r="A1326" s="2" t="s">
        <v>3365</v>
      </c>
      <c r="B1326" s="2" t="s">
        <v>16</v>
      </c>
      <c r="C1326" s="2" t="s">
        <v>3375</v>
      </c>
      <c r="D1326" s="2" t="s">
        <v>3378</v>
      </c>
      <c r="E1326" s="2" t="s">
        <v>3379</v>
      </c>
      <c r="F1326" s="3">
        <v>685435.28</v>
      </c>
      <c r="G1326" s="3">
        <v>700000</v>
      </c>
      <c r="H1326" s="4">
        <v>700000</v>
      </c>
      <c r="I1326" s="4">
        <v>700000</v>
      </c>
      <c r="J1326" s="16">
        <f t="shared" si="40"/>
        <v>0</v>
      </c>
      <c r="K1326" s="16">
        <f t="shared" si="41"/>
        <v>0</v>
      </c>
    </row>
    <row r="1327" spans="1:11" ht="19.5" customHeight="1" x14ac:dyDescent="0.25">
      <c r="A1327" s="2" t="s">
        <v>3365</v>
      </c>
      <c r="B1327" s="2" t="s">
        <v>16</v>
      </c>
      <c r="C1327" s="2" t="s">
        <v>3375</v>
      </c>
      <c r="D1327" s="2" t="s">
        <v>3380</v>
      </c>
      <c r="E1327" s="2" t="s">
        <v>3381</v>
      </c>
      <c r="F1327" s="3">
        <v>2136187.5</v>
      </c>
      <c r="G1327" s="4">
        <v>2288196</v>
      </c>
      <c r="H1327" s="4">
        <v>2390000</v>
      </c>
      <c r="I1327" s="4">
        <v>2500000</v>
      </c>
      <c r="J1327" s="16">
        <f t="shared" si="40"/>
        <v>4.4490943957598006E-2</v>
      </c>
      <c r="K1327" s="16">
        <f t="shared" si="41"/>
        <v>4.6025104602510414E-2</v>
      </c>
    </row>
    <row r="1328" spans="1:11" ht="19.5" customHeight="1" x14ac:dyDescent="0.25">
      <c r="A1328" s="2" t="s">
        <v>3365</v>
      </c>
      <c r="B1328" s="2" t="s">
        <v>16</v>
      </c>
      <c r="C1328" s="2" t="s">
        <v>3375</v>
      </c>
      <c r="D1328" s="2" t="s">
        <v>3382</v>
      </c>
      <c r="E1328" s="2" t="s">
        <v>3383</v>
      </c>
      <c r="F1328" s="3">
        <v>0</v>
      </c>
      <c r="G1328" s="4">
        <v>578448</v>
      </c>
      <c r="H1328" s="4">
        <v>0</v>
      </c>
      <c r="I1328" s="4">
        <v>0</v>
      </c>
      <c r="J1328" s="16">
        <f t="shared" si="40"/>
        <v>-1</v>
      </c>
      <c r="K1328" s="16" t="str">
        <f t="shared" si="41"/>
        <v>--</v>
      </c>
    </row>
    <row r="1329" spans="1:11" ht="19.5" customHeight="1" x14ac:dyDescent="0.25">
      <c r="A1329" s="2" t="s">
        <v>3365</v>
      </c>
      <c r="B1329" s="2" t="s">
        <v>16</v>
      </c>
      <c r="C1329" s="2" t="s">
        <v>3384</v>
      </c>
      <c r="D1329" s="2" t="s">
        <v>3385</v>
      </c>
      <c r="E1329" s="2" t="s">
        <v>3386</v>
      </c>
      <c r="F1329" s="3">
        <v>83053.009999999995</v>
      </c>
      <c r="G1329" s="3">
        <v>200000</v>
      </c>
      <c r="H1329" s="4">
        <v>200000</v>
      </c>
      <c r="I1329" s="4">
        <v>200000</v>
      </c>
      <c r="J1329" s="16">
        <f t="shared" si="40"/>
        <v>0</v>
      </c>
      <c r="K1329" s="16">
        <f t="shared" si="41"/>
        <v>0</v>
      </c>
    </row>
    <row r="1330" spans="1:11" ht="19.5" customHeight="1" x14ac:dyDescent="0.25">
      <c r="A1330" s="2" t="s">
        <v>3365</v>
      </c>
      <c r="B1330" s="2" t="s">
        <v>16</v>
      </c>
      <c r="C1330" s="2" t="s">
        <v>3387</v>
      </c>
      <c r="D1330" s="2" t="s">
        <v>3388</v>
      </c>
      <c r="E1330" s="2" t="s">
        <v>3389</v>
      </c>
      <c r="F1330" s="4">
        <v>3310052.06</v>
      </c>
      <c r="G1330" s="3">
        <v>3699947.94</v>
      </c>
      <c r="H1330" s="4">
        <v>0</v>
      </c>
      <c r="I1330" s="4">
        <v>0</v>
      </c>
      <c r="J1330" s="16">
        <f t="shared" si="40"/>
        <v>-1</v>
      </c>
      <c r="K1330" s="16" t="str">
        <f t="shared" si="41"/>
        <v>--</v>
      </c>
    </row>
    <row r="1331" spans="1:11" ht="19.5" customHeight="1" x14ac:dyDescent="0.25">
      <c r="A1331" s="2" t="s">
        <v>3365</v>
      </c>
      <c r="B1331" s="2" t="s">
        <v>16</v>
      </c>
      <c r="C1331" s="2" t="s">
        <v>3390</v>
      </c>
      <c r="D1331" s="2" t="s">
        <v>3391</v>
      </c>
      <c r="E1331" s="2" t="s">
        <v>3392</v>
      </c>
      <c r="F1331" s="3">
        <v>91930.76</v>
      </c>
      <c r="G1331" s="3">
        <v>100000</v>
      </c>
      <c r="H1331" s="4">
        <v>200000</v>
      </c>
      <c r="I1331" s="4">
        <v>200000</v>
      </c>
      <c r="J1331" s="16">
        <f t="shared" si="40"/>
        <v>1</v>
      </c>
      <c r="K1331" s="16">
        <f t="shared" si="41"/>
        <v>0</v>
      </c>
    </row>
    <row r="1332" spans="1:11" ht="19.5" customHeight="1" x14ac:dyDescent="0.25">
      <c r="A1332" s="2" t="s">
        <v>3365</v>
      </c>
      <c r="B1332" s="2" t="s">
        <v>16</v>
      </c>
      <c r="C1332" s="2" t="s">
        <v>3393</v>
      </c>
      <c r="D1332" s="2" t="s">
        <v>3394</v>
      </c>
      <c r="E1332" s="2" t="s">
        <v>3395</v>
      </c>
      <c r="F1332" s="3">
        <v>0</v>
      </c>
      <c r="G1332" s="3">
        <v>50000</v>
      </c>
      <c r="H1332" s="4">
        <v>0</v>
      </c>
      <c r="I1332" s="4">
        <v>0</v>
      </c>
      <c r="J1332" s="16">
        <f t="shared" si="40"/>
        <v>-1</v>
      </c>
      <c r="K1332" s="16" t="str">
        <f t="shared" si="41"/>
        <v>--</v>
      </c>
    </row>
    <row r="1333" spans="1:11" ht="19.5" customHeight="1" x14ac:dyDescent="0.25">
      <c r="A1333" s="2" t="s">
        <v>3365</v>
      </c>
      <c r="B1333" s="2" t="s">
        <v>44</v>
      </c>
      <c r="C1333" s="2" t="s">
        <v>3396</v>
      </c>
      <c r="D1333" s="2" t="s">
        <v>3397</v>
      </c>
      <c r="E1333" s="2" t="s">
        <v>3398</v>
      </c>
      <c r="F1333" s="4">
        <v>9331606.7699999996</v>
      </c>
      <c r="G1333" s="4">
        <v>31127199</v>
      </c>
      <c r="H1333" s="4">
        <v>1500000</v>
      </c>
      <c r="I1333" s="4">
        <v>1500000</v>
      </c>
      <c r="J1333" s="16">
        <f t="shared" si="40"/>
        <v>-0.95181063352343398</v>
      </c>
      <c r="K1333" s="16">
        <f t="shared" si="41"/>
        <v>0</v>
      </c>
    </row>
    <row r="1334" spans="1:11" ht="19.5" customHeight="1" x14ac:dyDescent="0.25">
      <c r="A1334" s="2" t="s">
        <v>3365</v>
      </c>
      <c r="B1334" s="2" t="s">
        <v>54</v>
      </c>
      <c r="C1334" s="2" t="s">
        <v>54</v>
      </c>
      <c r="D1334" s="2" t="s">
        <v>3399</v>
      </c>
      <c r="E1334" s="2" t="s">
        <v>22</v>
      </c>
      <c r="F1334" s="3">
        <v>1224333.55</v>
      </c>
      <c r="G1334" s="3">
        <v>825000</v>
      </c>
      <c r="H1334" s="4">
        <v>890000</v>
      </c>
      <c r="I1334" s="4">
        <v>890000</v>
      </c>
      <c r="J1334" s="16">
        <f t="shared" si="40"/>
        <v>7.8787878787878851E-2</v>
      </c>
      <c r="K1334" s="16">
        <f t="shared" si="41"/>
        <v>0</v>
      </c>
    </row>
    <row r="1335" spans="1:11" ht="19.5" customHeight="1" x14ac:dyDescent="0.25">
      <c r="A1335" s="2" t="s">
        <v>3365</v>
      </c>
      <c r="B1335" s="2" t="s">
        <v>54</v>
      </c>
      <c r="C1335" s="2" t="s">
        <v>54</v>
      </c>
      <c r="D1335" s="2" t="s">
        <v>3400</v>
      </c>
      <c r="E1335" s="2" t="s">
        <v>3401</v>
      </c>
      <c r="F1335" s="3">
        <v>0</v>
      </c>
      <c r="G1335" s="3">
        <v>421552</v>
      </c>
      <c r="H1335" s="4">
        <v>234196</v>
      </c>
      <c r="I1335" s="4">
        <v>234196</v>
      </c>
      <c r="J1335" s="16">
        <f t="shared" si="40"/>
        <v>-0.44444339013929479</v>
      </c>
      <c r="K1335" s="16">
        <f t="shared" si="41"/>
        <v>0</v>
      </c>
    </row>
    <row r="1336" spans="1:11" ht="19.5" customHeight="1" x14ac:dyDescent="0.25">
      <c r="A1336" s="2" t="s">
        <v>3365</v>
      </c>
      <c r="B1336" s="2" t="s">
        <v>54</v>
      </c>
      <c r="C1336" s="2" t="s">
        <v>54</v>
      </c>
      <c r="D1336" s="2" t="s">
        <v>3402</v>
      </c>
      <c r="E1336" s="2" t="s">
        <v>3403</v>
      </c>
      <c r="F1336" s="3">
        <v>10100216.98</v>
      </c>
      <c r="G1336" s="3">
        <v>10006375</v>
      </c>
      <c r="H1336" s="4">
        <v>12500000</v>
      </c>
      <c r="I1336" s="4">
        <v>12500000</v>
      </c>
      <c r="J1336" s="16">
        <f t="shared" si="40"/>
        <v>0.24920363268416379</v>
      </c>
      <c r="K1336" s="16">
        <f t="shared" si="41"/>
        <v>0</v>
      </c>
    </row>
    <row r="1337" spans="1:11" ht="19.5" customHeight="1" x14ac:dyDescent="0.25">
      <c r="A1337" s="2" t="s">
        <v>3365</v>
      </c>
      <c r="B1337" s="2" t="s">
        <v>227</v>
      </c>
      <c r="C1337" s="2" t="s">
        <v>3404</v>
      </c>
      <c r="D1337" s="2" t="s">
        <v>3405</v>
      </c>
      <c r="E1337" s="2" t="s">
        <v>3406</v>
      </c>
      <c r="F1337" s="3">
        <v>36057.879999999997</v>
      </c>
      <c r="G1337" s="3">
        <v>85000</v>
      </c>
      <c r="H1337" s="4">
        <v>85000</v>
      </c>
      <c r="I1337" s="4">
        <v>85000</v>
      </c>
      <c r="J1337" s="16">
        <f t="shared" si="40"/>
        <v>0</v>
      </c>
      <c r="K1337" s="16">
        <f t="shared" si="41"/>
        <v>0</v>
      </c>
    </row>
    <row r="1338" spans="1:11" ht="19.5" customHeight="1" x14ac:dyDescent="0.25">
      <c r="A1338" s="2" t="s">
        <v>3407</v>
      </c>
      <c r="B1338" s="2" t="s">
        <v>16</v>
      </c>
      <c r="C1338" s="2" t="s">
        <v>3408</v>
      </c>
      <c r="D1338" s="2" t="s">
        <v>3409</v>
      </c>
      <c r="E1338" s="2" t="s">
        <v>3410</v>
      </c>
      <c r="F1338" s="4">
        <v>10232</v>
      </c>
      <c r="G1338" s="3">
        <v>145000</v>
      </c>
      <c r="H1338" s="4">
        <v>24558</v>
      </c>
      <c r="I1338" s="4">
        <v>24558</v>
      </c>
      <c r="J1338" s="16">
        <f t="shared" si="40"/>
        <v>-0.83063448275862073</v>
      </c>
      <c r="K1338" s="16">
        <f t="shared" si="41"/>
        <v>0</v>
      </c>
    </row>
    <row r="1339" spans="1:11" ht="19.5" customHeight="1" x14ac:dyDescent="0.25">
      <c r="A1339" s="2" t="s">
        <v>3407</v>
      </c>
      <c r="B1339" s="2" t="s">
        <v>54</v>
      </c>
      <c r="C1339" s="2" t="s">
        <v>54</v>
      </c>
      <c r="D1339" s="2" t="s">
        <v>3411</v>
      </c>
      <c r="E1339" s="2" t="s">
        <v>22</v>
      </c>
      <c r="F1339" s="3">
        <v>458898.82</v>
      </c>
      <c r="G1339" s="3">
        <v>431564</v>
      </c>
      <c r="H1339" s="4">
        <v>464047</v>
      </c>
      <c r="I1339" s="4">
        <v>464047</v>
      </c>
      <c r="J1339" s="16">
        <f t="shared" si="40"/>
        <v>7.5268094651083084E-2</v>
      </c>
      <c r="K1339" s="16">
        <f t="shared" si="41"/>
        <v>0</v>
      </c>
    </row>
    <row r="1340" spans="1:11" ht="19.5" customHeight="1" x14ac:dyDescent="0.25">
      <c r="A1340" s="2" t="s">
        <v>3412</v>
      </c>
      <c r="B1340" s="2" t="s">
        <v>16</v>
      </c>
      <c r="C1340" s="2" t="s">
        <v>3413</v>
      </c>
      <c r="D1340" s="2" t="s">
        <v>3414</v>
      </c>
      <c r="E1340" s="2" t="s">
        <v>3415</v>
      </c>
      <c r="F1340" s="3">
        <v>11933790.960000001</v>
      </c>
      <c r="G1340" s="3">
        <v>13036732</v>
      </c>
      <c r="H1340" s="4">
        <v>10545000</v>
      </c>
      <c r="I1340" s="4">
        <v>10880000</v>
      </c>
      <c r="J1340" s="16">
        <f t="shared" si="40"/>
        <v>-0.19113164250058989</v>
      </c>
      <c r="K1340" s="16">
        <f t="shared" si="41"/>
        <v>3.176861071597914E-2</v>
      </c>
    </row>
    <row r="1341" spans="1:11" ht="19.5" customHeight="1" x14ac:dyDescent="0.25">
      <c r="A1341" s="2" t="s">
        <v>3412</v>
      </c>
      <c r="B1341" s="2" t="s">
        <v>16</v>
      </c>
      <c r="C1341" s="2" t="s">
        <v>3416</v>
      </c>
      <c r="D1341" s="2" t="s">
        <v>3417</v>
      </c>
      <c r="E1341" s="2" t="s">
        <v>3418</v>
      </c>
      <c r="F1341" s="4">
        <v>5624</v>
      </c>
      <c r="G1341" s="3">
        <v>0</v>
      </c>
      <c r="H1341" s="4">
        <v>0</v>
      </c>
      <c r="I1341" s="4">
        <v>0</v>
      </c>
      <c r="J1341" s="16" t="str">
        <f t="shared" si="40"/>
        <v>--</v>
      </c>
      <c r="K1341" s="16" t="str">
        <f t="shared" si="41"/>
        <v>--</v>
      </c>
    </row>
    <row r="1342" spans="1:11" ht="19.5" customHeight="1" x14ac:dyDescent="0.25">
      <c r="A1342" s="2" t="s">
        <v>3412</v>
      </c>
      <c r="B1342" s="2" t="s">
        <v>16</v>
      </c>
      <c r="C1342" s="2" t="s">
        <v>3419</v>
      </c>
      <c r="D1342" s="2" t="s">
        <v>3420</v>
      </c>
      <c r="E1342" s="2" t="s">
        <v>3421</v>
      </c>
      <c r="F1342" s="3">
        <v>26498363.23</v>
      </c>
      <c r="G1342" s="3">
        <v>27735059</v>
      </c>
      <c r="H1342" s="4">
        <v>31020628</v>
      </c>
      <c r="I1342" s="4">
        <v>31020628</v>
      </c>
      <c r="J1342" s="16">
        <f t="shared" si="40"/>
        <v>0.1184626648892293</v>
      </c>
      <c r="K1342" s="16">
        <f t="shared" si="41"/>
        <v>0</v>
      </c>
    </row>
    <row r="1343" spans="1:11" ht="19.5" customHeight="1" x14ac:dyDescent="0.25">
      <c r="A1343" s="2" t="s">
        <v>3412</v>
      </c>
      <c r="B1343" s="2" t="s">
        <v>16</v>
      </c>
      <c r="C1343" s="2" t="s">
        <v>3422</v>
      </c>
      <c r="D1343" s="2" t="s">
        <v>3423</v>
      </c>
      <c r="E1343" s="2" t="s">
        <v>3424</v>
      </c>
      <c r="F1343" s="3">
        <v>1153148.69</v>
      </c>
      <c r="G1343" s="3">
        <v>1777952</v>
      </c>
      <c r="H1343" s="4">
        <v>1500000</v>
      </c>
      <c r="I1343" s="4">
        <v>1500000</v>
      </c>
      <c r="J1343" s="16">
        <f t="shared" si="40"/>
        <v>-0.15633267939741902</v>
      </c>
      <c r="K1343" s="16">
        <f t="shared" si="41"/>
        <v>0</v>
      </c>
    </row>
    <row r="1344" spans="1:11" ht="19.5" customHeight="1" x14ac:dyDescent="0.25">
      <c r="A1344" s="2" t="s">
        <v>3412</v>
      </c>
      <c r="B1344" s="2" t="s">
        <v>16</v>
      </c>
      <c r="C1344" s="2" t="s">
        <v>3425</v>
      </c>
      <c r="D1344" s="2" t="s">
        <v>3426</v>
      </c>
      <c r="E1344" s="2" t="s">
        <v>3427</v>
      </c>
      <c r="F1344" s="4">
        <v>6880111.75</v>
      </c>
      <c r="G1344" s="3">
        <v>8244291</v>
      </c>
      <c r="H1344" s="4">
        <v>9000000</v>
      </c>
      <c r="I1344" s="4">
        <v>9000000</v>
      </c>
      <c r="J1344" s="16">
        <f t="shared" si="40"/>
        <v>9.1664522758839961E-2</v>
      </c>
      <c r="K1344" s="16">
        <f t="shared" si="41"/>
        <v>0</v>
      </c>
    </row>
    <row r="1345" spans="1:11" ht="19.5" customHeight="1" x14ac:dyDescent="0.25">
      <c r="A1345" s="2" t="s">
        <v>3412</v>
      </c>
      <c r="B1345" s="2" t="s">
        <v>16</v>
      </c>
      <c r="C1345" s="2" t="s">
        <v>3428</v>
      </c>
      <c r="D1345" s="2" t="s">
        <v>3429</v>
      </c>
      <c r="E1345" s="2" t="s">
        <v>3430</v>
      </c>
      <c r="F1345" s="3">
        <v>394814.46</v>
      </c>
      <c r="G1345" s="3">
        <v>592133</v>
      </c>
      <c r="H1345" s="4">
        <v>705869</v>
      </c>
      <c r="I1345" s="4">
        <v>705869</v>
      </c>
      <c r="J1345" s="16">
        <f t="shared" si="40"/>
        <v>0.19207846885750324</v>
      </c>
      <c r="K1345" s="16">
        <f t="shared" si="41"/>
        <v>0</v>
      </c>
    </row>
    <row r="1346" spans="1:11" ht="19.5" customHeight="1" x14ac:dyDescent="0.25">
      <c r="A1346" s="2" t="s">
        <v>3412</v>
      </c>
      <c r="B1346" s="2" t="s">
        <v>16</v>
      </c>
      <c r="C1346" s="2" t="s">
        <v>3431</v>
      </c>
      <c r="D1346" s="2" t="s">
        <v>3432</v>
      </c>
      <c r="E1346" s="2" t="s">
        <v>3433</v>
      </c>
      <c r="F1346" s="3">
        <v>181977.06</v>
      </c>
      <c r="G1346" s="3">
        <v>79527</v>
      </c>
      <c r="H1346" s="4">
        <v>180000</v>
      </c>
      <c r="I1346" s="4">
        <v>180000</v>
      </c>
      <c r="J1346" s="16">
        <f t="shared" si="40"/>
        <v>1.2633822475385719</v>
      </c>
      <c r="K1346" s="16">
        <f t="shared" si="41"/>
        <v>0</v>
      </c>
    </row>
    <row r="1347" spans="1:11" ht="19.5" customHeight="1" x14ac:dyDescent="0.25">
      <c r="A1347" s="2" t="s">
        <v>3412</v>
      </c>
      <c r="B1347" s="2" t="s">
        <v>16</v>
      </c>
      <c r="C1347" s="2" t="s">
        <v>3434</v>
      </c>
      <c r="D1347" s="2" t="s">
        <v>3435</v>
      </c>
      <c r="E1347" s="2" t="s">
        <v>3436</v>
      </c>
      <c r="F1347" s="3">
        <v>98780.78</v>
      </c>
      <c r="G1347" s="3">
        <v>298733</v>
      </c>
      <c r="H1347" s="4">
        <v>298794</v>
      </c>
      <c r="I1347" s="4">
        <v>298794</v>
      </c>
      <c r="J1347" s="16">
        <f t="shared" ref="J1347:J1392" si="42">IFERROR(H1347/G1347-1,"--")</f>
        <v>2.0419571992391639E-4</v>
      </c>
      <c r="K1347" s="16">
        <f t="shared" ref="K1347:K1392" si="43">IFERROR(I1347/H1347-1,"--")</f>
        <v>0</v>
      </c>
    </row>
    <row r="1348" spans="1:11" ht="19.5" customHeight="1" x14ac:dyDescent="0.25">
      <c r="A1348" s="2" t="s">
        <v>3412</v>
      </c>
      <c r="B1348" s="2" t="s">
        <v>16</v>
      </c>
      <c r="C1348" s="2" t="s">
        <v>3437</v>
      </c>
      <c r="D1348" s="2" t="s">
        <v>3438</v>
      </c>
      <c r="E1348" s="2" t="s">
        <v>3439</v>
      </c>
      <c r="F1348" s="3">
        <v>106250</v>
      </c>
      <c r="G1348" s="3">
        <v>88743</v>
      </c>
      <c r="H1348" s="4">
        <v>125000</v>
      </c>
      <c r="I1348" s="4">
        <v>125000</v>
      </c>
      <c r="J1348" s="16">
        <f t="shared" si="42"/>
        <v>0.40856180205762715</v>
      </c>
      <c r="K1348" s="16">
        <f t="shared" si="43"/>
        <v>0</v>
      </c>
    </row>
    <row r="1349" spans="1:11" ht="19.5" customHeight="1" x14ac:dyDescent="0.25">
      <c r="A1349" s="2" t="s">
        <v>3412</v>
      </c>
      <c r="B1349" s="2" t="s">
        <v>16</v>
      </c>
      <c r="C1349" s="2" t="s">
        <v>3440</v>
      </c>
      <c r="D1349" s="2" t="s">
        <v>3441</v>
      </c>
      <c r="E1349" s="2" t="s">
        <v>3442</v>
      </c>
      <c r="F1349" s="3">
        <v>460141.16</v>
      </c>
      <c r="G1349" s="3">
        <v>0</v>
      </c>
      <c r="H1349" s="4">
        <v>0</v>
      </c>
      <c r="I1349" s="4">
        <v>0</v>
      </c>
      <c r="J1349" s="16" t="str">
        <f t="shared" si="42"/>
        <v>--</v>
      </c>
      <c r="K1349" s="16" t="str">
        <f t="shared" si="43"/>
        <v>--</v>
      </c>
    </row>
    <row r="1350" spans="1:11" ht="19.5" customHeight="1" x14ac:dyDescent="0.25">
      <c r="A1350" s="2" t="s">
        <v>3412</v>
      </c>
      <c r="B1350" s="2" t="s">
        <v>16</v>
      </c>
      <c r="C1350" s="2" t="s">
        <v>3443</v>
      </c>
      <c r="D1350" s="2" t="s">
        <v>3444</v>
      </c>
      <c r="E1350" s="2" t="s">
        <v>3445</v>
      </c>
      <c r="F1350" s="3">
        <v>273264.46999999997</v>
      </c>
      <c r="G1350" s="3">
        <v>130642</v>
      </c>
      <c r="H1350" s="4">
        <v>200000</v>
      </c>
      <c r="I1350" s="4">
        <v>200000</v>
      </c>
      <c r="J1350" s="16">
        <f t="shared" si="42"/>
        <v>0.5309012415609069</v>
      </c>
      <c r="K1350" s="16">
        <f t="shared" si="43"/>
        <v>0</v>
      </c>
    </row>
    <row r="1351" spans="1:11" ht="19.5" customHeight="1" x14ac:dyDescent="0.25">
      <c r="A1351" s="2" t="s">
        <v>3412</v>
      </c>
      <c r="B1351" s="2" t="s">
        <v>16</v>
      </c>
      <c r="C1351" s="2" t="s">
        <v>3446</v>
      </c>
      <c r="D1351" s="2" t="s">
        <v>3447</v>
      </c>
      <c r="E1351" s="2" t="s">
        <v>3448</v>
      </c>
      <c r="F1351" s="3">
        <v>81821.94</v>
      </c>
      <c r="G1351" s="3">
        <v>40000</v>
      </c>
      <c r="H1351" s="4">
        <v>100000</v>
      </c>
      <c r="I1351" s="4">
        <v>100000</v>
      </c>
      <c r="J1351" s="16">
        <f t="shared" si="42"/>
        <v>1.5</v>
      </c>
      <c r="K1351" s="16">
        <f t="shared" si="43"/>
        <v>0</v>
      </c>
    </row>
    <row r="1352" spans="1:11" ht="19.5" customHeight="1" x14ac:dyDescent="0.25">
      <c r="A1352" s="2" t="s">
        <v>3412</v>
      </c>
      <c r="B1352" s="2" t="s">
        <v>16</v>
      </c>
      <c r="C1352" s="2" t="s">
        <v>3449</v>
      </c>
      <c r="D1352" s="2" t="s">
        <v>3450</v>
      </c>
      <c r="E1352" s="2" t="s">
        <v>3451</v>
      </c>
      <c r="F1352" s="3">
        <v>651650.31000000006</v>
      </c>
      <c r="G1352" s="3">
        <v>923136</v>
      </c>
      <c r="H1352" s="4">
        <v>1000000</v>
      </c>
      <c r="I1352" s="4">
        <v>1000000</v>
      </c>
      <c r="J1352" s="16">
        <f t="shared" si="42"/>
        <v>8.3264004437049399E-2</v>
      </c>
      <c r="K1352" s="16">
        <f t="shared" si="43"/>
        <v>0</v>
      </c>
    </row>
    <row r="1353" spans="1:11" ht="19.5" customHeight="1" x14ac:dyDescent="0.25">
      <c r="A1353" s="2" t="s">
        <v>3412</v>
      </c>
      <c r="B1353" s="2" t="s">
        <v>16</v>
      </c>
      <c r="C1353" s="2" t="s">
        <v>3452</v>
      </c>
      <c r="D1353" s="2" t="s">
        <v>3453</v>
      </c>
      <c r="E1353" s="2" t="s">
        <v>3454</v>
      </c>
      <c r="F1353" s="3">
        <v>3917682.9</v>
      </c>
      <c r="G1353" s="3">
        <v>5590945</v>
      </c>
      <c r="H1353" s="4">
        <v>6000000</v>
      </c>
      <c r="I1353" s="4">
        <v>6000000</v>
      </c>
      <c r="J1353" s="16">
        <f t="shared" si="42"/>
        <v>7.3163839029001254E-2</v>
      </c>
      <c r="K1353" s="16">
        <f t="shared" si="43"/>
        <v>0</v>
      </c>
    </row>
    <row r="1354" spans="1:11" ht="19.5" customHeight="1" x14ac:dyDescent="0.25">
      <c r="A1354" s="2" t="s">
        <v>3412</v>
      </c>
      <c r="B1354" s="2" t="s">
        <v>16</v>
      </c>
      <c r="C1354" s="2" t="s">
        <v>3455</v>
      </c>
      <c r="D1354" s="2" t="s">
        <v>3456</v>
      </c>
      <c r="E1354" s="2" t="s">
        <v>3457</v>
      </c>
      <c r="F1354" s="3">
        <v>3602859.26</v>
      </c>
      <c r="G1354" s="3">
        <v>4823602</v>
      </c>
      <c r="H1354" s="4">
        <v>5000000</v>
      </c>
      <c r="I1354" s="4">
        <v>5000000</v>
      </c>
      <c r="J1354" s="16">
        <f t="shared" si="42"/>
        <v>3.6569766742778453E-2</v>
      </c>
      <c r="K1354" s="16">
        <f t="shared" si="43"/>
        <v>0</v>
      </c>
    </row>
    <row r="1355" spans="1:11" ht="19.5" customHeight="1" x14ac:dyDescent="0.25">
      <c r="A1355" s="2" t="s">
        <v>3412</v>
      </c>
      <c r="B1355" s="2" t="s">
        <v>16</v>
      </c>
      <c r="C1355" s="2" t="s">
        <v>3458</v>
      </c>
      <c r="D1355" s="2" t="s">
        <v>3459</v>
      </c>
      <c r="E1355" s="2" t="s">
        <v>3460</v>
      </c>
      <c r="F1355" s="3">
        <v>13212.45</v>
      </c>
      <c r="G1355" s="3">
        <v>0</v>
      </c>
      <c r="H1355" s="4">
        <v>0</v>
      </c>
      <c r="I1355" s="4">
        <v>0</v>
      </c>
      <c r="J1355" s="16" t="str">
        <f t="shared" si="42"/>
        <v>--</v>
      </c>
      <c r="K1355" s="16" t="str">
        <f t="shared" si="43"/>
        <v>--</v>
      </c>
    </row>
    <row r="1356" spans="1:11" ht="19.5" customHeight="1" x14ac:dyDescent="0.25">
      <c r="A1356" s="2" t="s">
        <v>3412</v>
      </c>
      <c r="B1356" s="2" t="s">
        <v>16</v>
      </c>
      <c r="C1356" s="2" t="s">
        <v>3461</v>
      </c>
      <c r="D1356" s="2" t="s">
        <v>3462</v>
      </c>
      <c r="E1356" s="2" t="s">
        <v>3463</v>
      </c>
      <c r="F1356" s="3">
        <v>1451877.84</v>
      </c>
      <c r="G1356" s="3">
        <v>1569410</v>
      </c>
      <c r="H1356" s="4">
        <v>1450000</v>
      </c>
      <c r="I1356" s="4">
        <v>1450000</v>
      </c>
      <c r="J1356" s="16">
        <f t="shared" si="42"/>
        <v>-7.6085917637838452E-2</v>
      </c>
      <c r="K1356" s="16">
        <f t="shared" si="43"/>
        <v>0</v>
      </c>
    </row>
    <row r="1357" spans="1:11" ht="19.5" customHeight="1" x14ac:dyDescent="0.25">
      <c r="A1357" s="2" t="s">
        <v>3412</v>
      </c>
      <c r="B1357" s="2" t="s">
        <v>16</v>
      </c>
      <c r="C1357" s="2" t="s">
        <v>3464</v>
      </c>
      <c r="D1357" s="2" t="s">
        <v>3465</v>
      </c>
      <c r="E1357" s="2" t="s">
        <v>3466</v>
      </c>
      <c r="F1357" s="3">
        <v>334362.37</v>
      </c>
      <c r="G1357" s="3">
        <v>516609</v>
      </c>
      <c r="H1357" s="4">
        <v>500000</v>
      </c>
      <c r="I1357" s="4">
        <v>500000</v>
      </c>
      <c r="J1357" s="16">
        <f t="shared" si="42"/>
        <v>-3.2150039972203337E-2</v>
      </c>
      <c r="K1357" s="16">
        <f t="shared" si="43"/>
        <v>0</v>
      </c>
    </row>
    <row r="1358" spans="1:11" ht="19.5" customHeight="1" x14ac:dyDescent="0.25">
      <c r="A1358" s="2" t="s">
        <v>3412</v>
      </c>
      <c r="B1358" s="2" t="s">
        <v>887</v>
      </c>
      <c r="C1358" s="2" t="s">
        <v>3467</v>
      </c>
      <c r="D1358" s="2" t="s">
        <v>3468</v>
      </c>
      <c r="E1358" s="2" t="s">
        <v>3469</v>
      </c>
      <c r="F1358" s="3">
        <v>2439315525.1999998</v>
      </c>
      <c r="G1358" s="4">
        <v>2179769300</v>
      </c>
      <c r="H1358" s="4">
        <v>2179769300</v>
      </c>
      <c r="I1358" s="4">
        <v>2179769300</v>
      </c>
      <c r="J1358" s="16">
        <f t="shared" si="42"/>
        <v>0</v>
      </c>
      <c r="K1358" s="16">
        <f t="shared" si="43"/>
        <v>0</v>
      </c>
    </row>
    <row r="1359" spans="1:11" ht="19.5" customHeight="1" x14ac:dyDescent="0.25">
      <c r="A1359" s="2" t="s">
        <v>3412</v>
      </c>
      <c r="B1359" s="2" t="s">
        <v>887</v>
      </c>
      <c r="C1359" s="2" t="s">
        <v>3470</v>
      </c>
      <c r="D1359" s="2" t="s">
        <v>3471</v>
      </c>
      <c r="E1359" s="2" t="s">
        <v>3472</v>
      </c>
      <c r="F1359" s="3">
        <v>418850</v>
      </c>
      <c r="G1359" s="3">
        <v>380000</v>
      </c>
      <c r="H1359" s="4">
        <v>380000</v>
      </c>
      <c r="I1359" s="4">
        <v>380000</v>
      </c>
      <c r="J1359" s="16">
        <f t="shared" si="42"/>
        <v>0</v>
      </c>
      <c r="K1359" s="16">
        <f t="shared" si="43"/>
        <v>0</v>
      </c>
    </row>
    <row r="1360" spans="1:11" ht="19.5" customHeight="1" x14ac:dyDescent="0.25">
      <c r="A1360" s="2" t="s">
        <v>3412</v>
      </c>
      <c r="B1360" s="2" t="s">
        <v>887</v>
      </c>
      <c r="C1360" s="2" t="s">
        <v>3473</v>
      </c>
      <c r="D1360" s="2" t="s">
        <v>3474</v>
      </c>
      <c r="E1360" s="2" t="s">
        <v>3475</v>
      </c>
      <c r="F1360" s="3">
        <v>87320.08</v>
      </c>
      <c r="G1360" s="3">
        <v>0</v>
      </c>
      <c r="H1360" s="4">
        <v>0</v>
      </c>
      <c r="I1360" s="4">
        <v>0</v>
      </c>
      <c r="J1360" s="16" t="str">
        <f t="shared" si="42"/>
        <v>--</v>
      </c>
      <c r="K1360" s="16" t="str">
        <f t="shared" si="43"/>
        <v>--</v>
      </c>
    </row>
    <row r="1361" spans="1:11" ht="19.5" customHeight="1" x14ac:dyDescent="0.25">
      <c r="A1361" s="2" t="s">
        <v>3412</v>
      </c>
      <c r="B1361" s="2" t="s">
        <v>54</v>
      </c>
      <c r="C1361" s="2" t="s">
        <v>54</v>
      </c>
      <c r="D1361" s="2" t="s">
        <v>3476</v>
      </c>
      <c r="E1361" s="2" t="s">
        <v>22</v>
      </c>
      <c r="F1361" s="4">
        <v>56825843.829999998</v>
      </c>
      <c r="G1361" s="3">
        <v>55194745</v>
      </c>
      <c r="H1361" s="4">
        <v>56240803</v>
      </c>
      <c r="I1361" s="4">
        <v>56504746</v>
      </c>
      <c r="J1361" s="16">
        <f t="shared" si="42"/>
        <v>1.8952130316029159E-2</v>
      </c>
      <c r="K1361" s="16">
        <f t="shared" si="43"/>
        <v>4.6930873302075682E-3</v>
      </c>
    </row>
    <row r="1362" spans="1:11" ht="19.5" customHeight="1" x14ac:dyDescent="0.25">
      <c r="A1362" s="2" t="s">
        <v>3412</v>
      </c>
      <c r="B1362" s="2" t="s">
        <v>54</v>
      </c>
      <c r="C1362" s="2" t="s">
        <v>54</v>
      </c>
      <c r="D1362" s="2" t="s">
        <v>3477</v>
      </c>
      <c r="E1362" s="2" t="s">
        <v>3478</v>
      </c>
      <c r="F1362" s="3">
        <v>120890.69</v>
      </c>
      <c r="G1362" s="3">
        <v>150810</v>
      </c>
      <c r="H1362" s="4">
        <v>150810</v>
      </c>
      <c r="I1362" s="4">
        <v>150810</v>
      </c>
      <c r="J1362" s="16">
        <f t="shared" si="42"/>
        <v>0</v>
      </c>
      <c r="K1362" s="16">
        <f t="shared" si="43"/>
        <v>0</v>
      </c>
    </row>
    <row r="1363" spans="1:11" ht="19.5" customHeight="1" x14ac:dyDescent="0.25">
      <c r="A1363" s="2" t="s">
        <v>3412</v>
      </c>
      <c r="B1363" s="2" t="s">
        <v>227</v>
      </c>
      <c r="C1363" s="2" t="s">
        <v>3479</v>
      </c>
      <c r="D1363" s="2" t="s">
        <v>3480</v>
      </c>
      <c r="E1363" s="2" t="s">
        <v>3481</v>
      </c>
      <c r="F1363" s="3">
        <v>5000</v>
      </c>
      <c r="G1363" s="3">
        <v>25000</v>
      </c>
      <c r="H1363" s="4">
        <v>25000</v>
      </c>
      <c r="I1363" s="4">
        <v>25000</v>
      </c>
      <c r="J1363" s="16">
        <f t="shared" si="42"/>
        <v>0</v>
      </c>
      <c r="K1363" s="16">
        <f t="shared" si="43"/>
        <v>0</v>
      </c>
    </row>
    <row r="1364" spans="1:11" ht="19.5" customHeight="1" x14ac:dyDescent="0.25">
      <c r="A1364" s="2" t="s">
        <v>3412</v>
      </c>
      <c r="B1364" s="2" t="s">
        <v>227</v>
      </c>
      <c r="C1364" s="2" t="s">
        <v>3482</v>
      </c>
      <c r="D1364" s="2" t="s">
        <v>3483</v>
      </c>
      <c r="E1364" s="2" t="s">
        <v>3484</v>
      </c>
      <c r="F1364" s="3">
        <v>0</v>
      </c>
      <c r="G1364" s="4">
        <v>500</v>
      </c>
      <c r="H1364" s="4">
        <v>500</v>
      </c>
      <c r="I1364" s="4">
        <v>500</v>
      </c>
      <c r="J1364" s="16">
        <f t="shared" si="42"/>
        <v>0</v>
      </c>
      <c r="K1364" s="16">
        <f t="shared" si="43"/>
        <v>0</v>
      </c>
    </row>
    <row r="1365" spans="1:11" ht="19.5" customHeight="1" x14ac:dyDescent="0.25">
      <c r="A1365" s="2" t="s">
        <v>3485</v>
      </c>
      <c r="B1365" s="2" t="s">
        <v>16</v>
      </c>
      <c r="C1365" s="2" t="s">
        <v>3486</v>
      </c>
      <c r="D1365" s="2" t="s">
        <v>3487</v>
      </c>
      <c r="E1365" s="2" t="s">
        <v>3488</v>
      </c>
      <c r="F1365" s="4">
        <v>6874613.0899999999</v>
      </c>
      <c r="G1365" s="3">
        <v>7843565</v>
      </c>
      <c r="H1365" s="4">
        <v>7843565</v>
      </c>
      <c r="I1365" s="4">
        <v>7843565</v>
      </c>
      <c r="J1365" s="16">
        <f t="shared" si="42"/>
        <v>0</v>
      </c>
      <c r="K1365" s="16">
        <f t="shared" si="43"/>
        <v>0</v>
      </c>
    </row>
    <row r="1366" spans="1:11" ht="19.5" customHeight="1" x14ac:dyDescent="0.25">
      <c r="A1366" s="2" t="s">
        <v>3485</v>
      </c>
      <c r="B1366" s="2" t="s">
        <v>16</v>
      </c>
      <c r="C1366" s="2" t="s">
        <v>3489</v>
      </c>
      <c r="D1366" s="2" t="s">
        <v>3490</v>
      </c>
      <c r="E1366" s="2" t="s">
        <v>3491</v>
      </c>
      <c r="F1366" s="3">
        <v>23620.59</v>
      </c>
      <c r="G1366" s="3">
        <v>45000</v>
      </c>
      <c r="H1366" s="4">
        <v>45000</v>
      </c>
      <c r="I1366" s="4">
        <v>45000</v>
      </c>
      <c r="J1366" s="16">
        <f t="shared" si="42"/>
        <v>0</v>
      </c>
      <c r="K1366" s="16">
        <f t="shared" si="43"/>
        <v>0</v>
      </c>
    </row>
    <row r="1367" spans="1:11" ht="19.5" customHeight="1" x14ac:dyDescent="0.25">
      <c r="A1367" s="2" t="s">
        <v>3485</v>
      </c>
      <c r="B1367" s="2" t="s">
        <v>16</v>
      </c>
      <c r="C1367" s="2" t="s">
        <v>3492</v>
      </c>
      <c r="D1367" s="2" t="s">
        <v>3493</v>
      </c>
      <c r="E1367" s="2" t="s">
        <v>3494</v>
      </c>
      <c r="F1367" s="4">
        <v>783407.52</v>
      </c>
      <c r="G1367" s="3">
        <v>1050000</v>
      </c>
      <c r="H1367" s="4">
        <v>1050000</v>
      </c>
      <c r="I1367" s="4">
        <v>1050000</v>
      </c>
      <c r="J1367" s="16">
        <f t="shared" si="42"/>
        <v>0</v>
      </c>
      <c r="K1367" s="16">
        <f t="shared" si="43"/>
        <v>0</v>
      </c>
    </row>
    <row r="1368" spans="1:11" ht="19.5" customHeight="1" x14ac:dyDescent="0.25">
      <c r="A1368" s="2" t="s">
        <v>3485</v>
      </c>
      <c r="B1368" s="2" t="s">
        <v>16</v>
      </c>
      <c r="C1368" s="2" t="s">
        <v>3495</v>
      </c>
      <c r="D1368" s="2" t="s">
        <v>3496</v>
      </c>
      <c r="E1368" s="2" t="s">
        <v>3497</v>
      </c>
      <c r="F1368" s="3">
        <v>129496.05</v>
      </c>
      <c r="G1368" s="3">
        <v>240057</v>
      </c>
      <c r="H1368" s="4">
        <v>240057</v>
      </c>
      <c r="I1368" s="4">
        <v>240057</v>
      </c>
      <c r="J1368" s="16">
        <f t="shared" si="42"/>
        <v>0</v>
      </c>
      <c r="K1368" s="16">
        <f t="shared" si="43"/>
        <v>0</v>
      </c>
    </row>
    <row r="1369" spans="1:11" ht="19.5" customHeight="1" x14ac:dyDescent="0.25">
      <c r="A1369" s="2" t="s">
        <v>3485</v>
      </c>
      <c r="B1369" s="2" t="s">
        <v>16</v>
      </c>
      <c r="C1369" s="2" t="s">
        <v>512</v>
      </c>
      <c r="D1369" s="2" t="s">
        <v>3498</v>
      </c>
      <c r="E1369" s="2" t="s">
        <v>3499</v>
      </c>
      <c r="F1369" s="3">
        <v>726143.28</v>
      </c>
      <c r="G1369" s="3">
        <v>250000</v>
      </c>
      <c r="H1369" s="4">
        <v>250000</v>
      </c>
      <c r="I1369" s="4">
        <v>250000</v>
      </c>
      <c r="J1369" s="16">
        <f t="shared" si="42"/>
        <v>0</v>
      </c>
      <c r="K1369" s="16">
        <f t="shared" si="43"/>
        <v>0</v>
      </c>
    </row>
    <row r="1370" spans="1:11" ht="19.5" customHeight="1" x14ac:dyDescent="0.25">
      <c r="A1370" s="2" t="s">
        <v>3485</v>
      </c>
      <c r="B1370" s="2" t="s">
        <v>16</v>
      </c>
      <c r="C1370" s="2" t="s">
        <v>3500</v>
      </c>
      <c r="D1370" s="2" t="s">
        <v>3501</v>
      </c>
      <c r="E1370" s="2" t="s">
        <v>3502</v>
      </c>
      <c r="F1370" s="3">
        <v>0</v>
      </c>
      <c r="G1370" s="3">
        <v>5000000</v>
      </c>
      <c r="H1370" s="4">
        <v>1200000</v>
      </c>
      <c r="I1370" s="4">
        <v>0</v>
      </c>
      <c r="J1370" s="16">
        <f t="shared" si="42"/>
        <v>-0.76</v>
      </c>
      <c r="K1370" s="16">
        <f t="shared" si="43"/>
        <v>-1</v>
      </c>
    </row>
    <row r="1371" spans="1:11" ht="19.5" customHeight="1" x14ac:dyDescent="0.25">
      <c r="A1371" s="2" t="s">
        <v>3485</v>
      </c>
      <c r="B1371" s="2" t="s">
        <v>16</v>
      </c>
      <c r="C1371" s="2" t="s">
        <v>3503</v>
      </c>
      <c r="D1371" s="2" t="s">
        <v>3504</v>
      </c>
      <c r="E1371" s="2" t="s">
        <v>3505</v>
      </c>
      <c r="F1371" s="3">
        <v>435457.29</v>
      </c>
      <c r="G1371" s="3">
        <v>700000</v>
      </c>
      <c r="H1371" s="4">
        <v>700000</v>
      </c>
      <c r="I1371" s="4">
        <v>700000</v>
      </c>
      <c r="J1371" s="16">
        <f t="shared" si="42"/>
        <v>0</v>
      </c>
      <c r="K1371" s="16">
        <f t="shared" si="43"/>
        <v>0</v>
      </c>
    </row>
    <row r="1372" spans="1:11" ht="19.5" customHeight="1" x14ac:dyDescent="0.25">
      <c r="A1372" s="2" t="s">
        <v>3485</v>
      </c>
      <c r="B1372" s="2" t="s">
        <v>887</v>
      </c>
      <c r="C1372" s="2" t="s">
        <v>3467</v>
      </c>
      <c r="D1372" s="2" t="s">
        <v>3506</v>
      </c>
      <c r="E1372" s="2" t="s">
        <v>3469</v>
      </c>
      <c r="F1372" s="3">
        <v>29889877.140000001</v>
      </c>
      <c r="G1372" s="3">
        <v>12000000</v>
      </c>
      <c r="H1372" s="4">
        <v>12000000</v>
      </c>
      <c r="I1372" s="4">
        <v>12000000</v>
      </c>
      <c r="J1372" s="16">
        <f t="shared" si="42"/>
        <v>0</v>
      </c>
      <c r="K1372" s="16">
        <f t="shared" si="43"/>
        <v>0</v>
      </c>
    </row>
    <row r="1373" spans="1:11" ht="19.5" customHeight="1" x14ac:dyDescent="0.25">
      <c r="A1373" s="2" t="s">
        <v>3485</v>
      </c>
      <c r="B1373" s="2" t="s">
        <v>54</v>
      </c>
      <c r="C1373" s="2" t="s">
        <v>54</v>
      </c>
      <c r="D1373" s="2" t="s">
        <v>3507</v>
      </c>
      <c r="E1373" s="2" t="s">
        <v>22</v>
      </c>
      <c r="F1373" s="3">
        <v>7787579.04</v>
      </c>
      <c r="G1373" s="3">
        <v>8037839</v>
      </c>
      <c r="H1373" s="4">
        <v>8037839</v>
      </c>
      <c r="I1373" s="4">
        <v>8037839</v>
      </c>
      <c r="J1373" s="16">
        <f t="shared" si="42"/>
        <v>0</v>
      </c>
      <c r="K1373" s="16">
        <f t="shared" si="43"/>
        <v>0</v>
      </c>
    </row>
    <row r="1374" spans="1:11" ht="19.5" customHeight="1" x14ac:dyDescent="0.25">
      <c r="A1374" s="2" t="s">
        <v>3485</v>
      </c>
      <c r="B1374" s="2" t="s">
        <v>54</v>
      </c>
      <c r="C1374" s="2" t="s">
        <v>54</v>
      </c>
      <c r="D1374" s="2" t="s">
        <v>3508</v>
      </c>
      <c r="E1374" s="2" t="s">
        <v>3509</v>
      </c>
      <c r="F1374" s="3">
        <v>459526.63</v>
      </c>
      <c r="G1374" s="3">
        <v>463662</v>
      </c>
      <c r="H1374" s="4">
        <v>463662</v>
      </c>
      <c r="I1374" s="4">
        <v>463662</v>
      </c>
      <c r="J1374" s="16">
        <f t="shared" si="42"/>
        <v>0</v>
      </c>
      <c r="K1374" s="16">
        <f t="shared" si="43"/>
        <v>0</v>
      </c>
    </row>
    <row r="1375" spans="1:11" ht="19.5" customHeight="1" x14ac:dyDescent="0.25">
      <c r="A1375" s="2" t="s">
        <v>3485</v>
      </c>
      <c r="B1375" s="2" t="s">
        <v>54</v>
      </c>
      <c r="C1375" s="2" t="s">
        <v>54</v>
      </c>
      <c r="D1375" s="2" t="s">
        <v>3510</v>
      </c>
      <c r="E1375" s="2" t="s">
        <v>3511</v>
      </c>
      <c r="F1375" s="3">
        <v>166641.15</v>
      </c>
      <c r="G1375" s="3">
        <v>175000</v>
      </c>
      <c r="H1375" s="4">
        <v>175000</v>
      </c>
      <c r="I1375" s="4">
        <v>175000</v>
      </c>
      <c r="J1375" s="16">
        <f t="shared" si="42"/>
        <v>0</v>
      </c>
      <c r="K1375" s="16">
        <f t="shared" si="43"/>
        <v>0</v>
      </c>
    </row>
    <row r="1376" spans="1:11" ht="19.5" customHeight="1" x14ac:dyDescent="0.25">
      <c r="A1376" s="2" t="s">
        <v>3485</v>
      </c>
      <c r="B1376" s="2" t="s">
        <v>54</v>
      </c>
      <c r="C1376" s="2" t="s">
        <v>54</v>
      </c>
      <c r="D1376" s="2" t="s">
        <v>3512</v>
      </c>
      <c r="E1376" s="2" t="s">
        <v>3513</v>
      </c>
      <c r="F1376" s="3">
        <v>1110865.1599999999</v>
      </c>
      <c r="G1376" s="3">
        <v>1115000</v>
      </c>
      <c r="H1376" s="4">
        <v>1125000</v>
      </c>
      <c r="I1376" s="4">
        <v>1120000</v>
      </c>
      <c r="J1376" s="16">
        <f t="shared" si="42"/>
        <v>8.9686098654708779E-3</v>
      </c>
      <c r="K1376" s="16">
        <f t="shared" si="43"/>
        <v>-4.4444444444444731E-3</v>
      </c>
    </row>
    <row r="1377" spans="1:11" ht="19.5" customHeight="1" x14ac:dyDescent="0.25">
      <c r="A1377" s="2" t="s">
        <v>3485</v>
      </c>
      <c r="B1377" s="2" t="s">
        <v>54</v>
      </c>
      <c r="C1377" s="2" t="s">
        <v>54</v>
      </c>
      <c r="D1377" s="2" t="s">
        <v>3514</v>
      </c>
      <c r="E1377" s="2" t="s">
        <v>3515</v>
      </c>
      <c r="F1377" s="3">
        <v>1371518.29</v>
      </c>
      <c r="G1377" s="3">
        <v>1480987</v>
      </c>
      <c r="H1377" s="4">
        <v>1480987</v>
      </c>
      <c r="I1377" s="4">
        <v>1480987</v>
      </c>
      <c r="J1377" s="16">
        <f t="shared" si="42"/>
        <v>0</v>
      </c>
      <c r="K1377" s="16">
        <f t="shared" si="43"/>
        <v>0</v>
      </c>
    </row>
    <row r="1378" spans="1:11" ht="19.5" customHeight="1" x14ac:dyDescent="0.25">
      <c r="A1378" s="2" t="s">
        <v>3516</v>
      </c>
      <c r="B1378" s="2" t="s">
        <v>16</v>
      </c>
      <c r="C1378" s="2" t="s">
        <v>3517</v>
      </c>
      <c r="D1378" s="2" t="s">
        <v>3518</v>
      </c>
      <c r="E1378" s="2" t="s">
        <v>3519</v>
      </c>
      <c r="F1378" s="3">
        <v>1380903.21</v>
      </c>
      <c r="G1378" s="4">
        <v>1419129</v>
      </c>
      <c r="H1378" s="4">
        <v>1470292</v>
      </c>
      <c r="I1378" s="4">
        <v>1489689</v>
      </c>
      <c r="J1378" s="16">
        <f t="shared" si="42"/>
        <v>3.6052395518659575E-2</v>
      </c>
      <c r="K1378" s="16">
        <f t="shared" si="43"/>
        <v>1.3192617520873418E-2</v>
      </c>
    </row>
    <row r="1379" spans="1:11" ht="19.5" customHeight="1" x14ac:dyDescent="0.25">
      <c r="A1379" s="2" t="s">
        <v>3520</v>
      </c>
      <c r="B1379" s="2" t="s">
        <v>16</v>
      </c>
      <c r="C1379" s="2" t="s">
        <v>20</v>
      </c>
      <c r="D1379" s="2" t="s">
        <v>3521</v>
      </c>
      <c r="E1379" s="2" t="s">
        <v>22</v>
      </c>
      <c r="F1379" s="3">
        <v>553117.94999999995</v>
      </c>
      <c r="G1379" s="3">
        <v>654140</v>
      </c>
      <c r="H1379" s="4">
        <v>654140</v>
      </c>
      <c r="I1379" s="4">
        <v>654140</v>
      </c>
      <c r="J1379" s="16">
        <f t="shared" si="42"/>
        <v>0</v>
      </c>
      <c r="K1379" s="16">
        <f t="shared" si="43"/>
        <v>0</v>
      </c>
    </row>
    <row r="1380" spans="1:11" ht="19.5" customHeight="1" x14ac:dyDescent="0.25">
      <c r="A1380" s="2" t="s">
        <v>3522</v>
      </c>
      <c r="B1380" s="2" t="s">
        <v>54</v>
      </c>
      <c r="C1380" s="2" t="s">
        <v>54</v>
      </c>
      <c r="D1380" s="2" t="s">
        <v>3523</v>
      </c>
      <c r="E1380" s="2" t="s">
        <v>3524</v>
      </c>
      <c r="F1380" s="3">
        <v>31895</v>
      </c>
      <c r="G1380" s="3">
        <v>25516</v>
      </c>
      <c r="H1380" s="4">
        <v>40000</v>
      </c>
      <c r="I1380" s="4">
        <v>40000</v>
      </c>
      <c r="J1380" s="16">
        <f t="shared" si="42"/>
        <v>0.56764383132152374</v>
      </c>
      <c r="K1380" s="16">
        <f t="shared" si="43"/>
        <v>0</v>
      </c>
    </row>
    <row r="1381" spans="1:11" ht="19.5" customHeight="1" x14ac:dyDescent="0.25">
      <c r="A1381" s="2" t="s">
        <v>3522</v>
      </c>
      <c r="B1381" s="2" t="s">
        <v>54</v>
      </c>
      <c r="C1381" s="2" t="s">
        <v>54</v>
      </c>
      <c r="D1381" s="2" t="s">
        <v>3525</v>
      </c>
      <c r="E1381" s="2" t="s">
        <v>3526</v>
      </c>
      <c r="F1381" s="3">
        <v>68640</v>
      </c>
      <c r="G1381" s="3">
        <v>55046</v>
      </c>
      <c r="H1381" s="4">
        <v>75000</v>
      </c>
      <c r="I1381" s="4">
        <v>75000</v>
      </c>
      <c r="J1381" s="16">
        <f t="shared" si="42"/>
        <v>0.3624968208407513</v>
      </c>
      <c r="K1381" s="16">
        <f t="shared" si="43"/>
        <v>0</v>
      </c>
    </row>
    <row r="1382" spans="1:11" ht="19.5" customHeight="1" x14ac:dyDescent="0.25">
      <c r="A1382" s="2" t="s">
        <v>3522</v>
      </c>
      <c r="B1382" s="2" t="s">
        <v>54</v>
      </c>
      <c r="C1382" s="2" t="s">
        <v>54</v>
      </c>
      <c r="D1382" s="2" t="s">
        <v>3527</v>
      </c>
      <c r="E1382" s="2" t="s">
        <v>3528</v>
      </c>
      <c r="F1382" s="4">
        <v>62400</v>
      </c>
      <c r="G1382" s="3">
        <v>49920</v>
      </c>
      <c r="H1382" s="4">
        <v>75000</v>
      </c>
      <c r="I1382" s="4">
        <v>75000</v>
      </c>
      <c r="J1382" s="16">
        <f t="shared" si="42"/>
        <v>0.50240384615384626</v>
      </c>
      <c r="K1382" s="16">
        <f t="shared" si="43"/>
        <v>0</v>
      </c>
    </row>
    <row r="1383" spans="1:11" ht="19.5" customHeight="1" x14ac:dyDescent="0.25">
      <c r="A1383" s="2" t="s">
        <v>3522</v>
      </c>
      <c r="B1383" s="2" t="s">
        <v>54</v>
      </c>
      <c r="C1383" s="2" t="s">
        <v>54</v>
      </c>
      <c r="D1383" s="2" t="s">
        <v>3529</v>
      </c>
      <c r="E1383" s="2" t="s">
        <v>3530</v>
      </c>
      <c r="F1383" s="3">
        <v>37865</v>
      </c>
      <c r="G1383" s="3">
        <v>30292</v>
      </c>
      <c r="H1383" s="4">
        <v>55000</v>
      </c>
      <c r="I1383" s="4">
        <v>55000</v>
      </c>
      <c r="J1383" s="16">
        <f t="shared" si="42"/>
        <v>0.8156609005678066</v>
      </c>
      <c r="K1383" s="16">
        <f t="shared" si="43"/>
        <v>0</v>
      </c>
    </row>
    <row r="1384" spans="1:11" ht="19.5" customHeight="1" x14ac:dyDescent="0.25">
      <c r="A1384" s="2" t="s">
        <v>3522</v>
      </c>
      <c r="B1384" s="2" t="s">
        <v>54</v>
      </c>
      <c r="C1384" s="2" t="s">
        <v>54</v>
      </c>
      <c r="D1384" s="2" t="s">
        <v>3531</v>
      </c>
      <c r="E1384" s="2" t="s">
        <v>3532</v>
      </c>
      <c r="F1384" s="3">
        <v>72800</v>
      </c>
      <c r="G1384" s="3">
        <v>58240</v>
      </c>
      <c r="H1384" s="4">
        <v>75000</v>
      </c>
      <c r="I1384" s="4">
        <v>75000</v>
      </c>
      <c r="J1384" s="16">
        <f t="shared" si="42"/>
        <v>0.28777472527472536</v>
      </c>
      <c r="K1384" s="16">
        <f t="shared" si="43"/>
        <v>0</v>
      </c>
    </row>
    <row r="1385" spans="1:11" ht="19.5" customHeight="1" x14ac:dyDescent="0.25">
      <c r="A1385" s="2" t="s">
        <v>3522</v>
      </c>
      <c r="B1385" s="2" t="s">
        <v>54</v>
      </c>
      <c r="C1385" s="2" t="s">
        <v>54</v>
      </c>
      <c r="D1385" s="2" t="s">
        <v>3533</v>
      </c>
      <c r="E1385" s="2" t="s">
        <v>3534</v>
      </c>
      <c r="F1385" s="3">
        <v>72800</v>
      </c>
      <c r="G1385" s="3">
        <v>58240</v>
      </c>
      <c r="H1385" s="4">
        <v>75000</v>
      </c>
      <c r="I1385" s="4">
        <v>75000</v>
      </c>
      <c r="J1385" s="16">
        <f t="shared" si="42"/>
        <v>0.28777472527472536</v>
      </c>
      <c r="K1385" s="16">
        <f t="shared" si="43"/>
        <v>0</v>
      </c>
    </row>
    <row r="1386" spans="1:11" ht="19.5" customHeight="1" x14ac:dyDescent="0.25">
      <c r="A1386" s="2" t="s">
        <v>3522</v>
      </c>
      <c r="B1386" s="2" t="s">
        <v>54</v>
      </c>
      <c r="C1386" s="2" t="s">
        <v>54</v>
      </c>
      <c r="D1386" s="2" t="s">
        <v>3535</v>
      </c>
      <c r="E1386" s="2" t="s">
        <v>3536</v>
      </c>
      <c r="F1386" s="3">
        <v>236948</v>
      </c>
      <c r="G1386" s="3">
        <v>189558</v>
      </c>
      <c r="H1386" s="4">
        <v>275000</v>
      </c>
      <c r="I1386" s="4">
        <v>275000</v>
      </c>
      <c r="J1386" s="16">
        <f t="shared" si="42"/>
        <v>0.45074330811677688</v>
      </c>
      <c r="K1386" s="16">
        <f t="shared" si="43"/>
        <v>0</v>
      </c>
    </row>
    <row r="1387" spans="1:11" ht="19.5" customHeight="1" x14ac:dyDescent="0.25">
      <c r="A1387" s="2" t="s">
        <v>3522</v>
      </c>
      <c r="B1387" s="2" t="s">
        <v>54</v>
      </c>
      <c r="C1387" s="2" t="s">
        <v>54</v>
      </c>
      <c r="D1387" s="2" t="s">
        <v>3537</v>
      </c>
      <c r="E1387" s="2" t="s">
        <v>3538</v>
      </c>
      <c r="F1387" s="3">
        <v>385237</v>
      </c>
      <c r="G1387" s="4">
        <v>308190</v>
      </c>
      <c r="H1387" s="4">
        <v>400000</v>
      </c>
      <c r="I1387" s="4">
        <v>400000</v>
      </c>
      <c r="J1387" s="16">
        <f t="shared" si="42"/>
        <v>0.29790064570557129</v>
      </c>
      <c r="K1387" s="16">
        <f t="shared" si="43"/>
        <v>0</v>
      </c>
    </row>
    <row r="1388" spans="1:11" ht="19.5" customHeight="1" x14ac:dyDescent="0.25">
      <c r="A1388" s="2" t="s">
        <v>3522</v>
      </c>
      <c r="B1388" s="2" t="s">
        <v>54</v>
      </c>
      <c r="C1388" s="2" t="s">
        <v>54</v>
      </c>
      <c r="D1388" s="2" t="s">
        <v>3539</v>
      </c>
      <c r="E1388" s="2" t="s">
        <v>3540</v>
      </c>
      <c r="F1388" s="3">
        <v>366877</v>
      </c>
      <c r="G1388" s="3">
        <v>293502</v>
      </c>
      <c r="H1388" s="4">
        <v>400000</v>
      </c>
      <c r="I1388" s="4">
        <v>400000</v>
      </c>
      <c r="J1388" s="16">
        <f t="shared" si="42"/>
        <v>0.36285272332045437</v>
      </c>
      <c r="K1388" s="16">
        <f t="shared" si="43"/>
        <v>0</v>
      </c>
    </row>
    <row r="1389" spans="1:11" ht="19.5" customHeight="1" x14ac:dyDescent="0.25">
      <c r="A1389" s="2" t="s">
        <v>3522</v>
      </c>
      <c r="B1389" s="2" t="s">
        <v>54</v>
      </c>
      <c r="C1389" s="2" t="s">
        <v>54</v>
      </c>
      <c r="D1389" s="2" t="s">
        <v>3541</v>
      </c>
      <c r="E1389" s="2" t="s">
        <v>3542</v>
      </c>
      <c r="F1389" s="3">
        <v>275628</v>
      </c>
      <c r="G1389" s="3">
        <v>220502</v>
      </c>
      <c r="H1389" s="4">
        <v>400000</v>
      </c>
      <c r="I1389" s="4">
        <v>400000</v>
      </c>
      <c r="J1389" s="16">
        <f t="shared" si="42"/>
        <v>0.81404250301584558</v>
      </c>
      <c r="K1389" s="16">
        <f t="shared" si="43"/>
        <v>0</v>
      </c>
    </row>
    <row r="1390" spans="1:11" ht="19.5" customHeight="1" x14ac:dyDescent="0.25">
      <c r="A1390" s="2" t="s">
        <v>3522</v>
      </c>
      <c r="B1390" s="2" t="s">
        <v>54</v>
      </c>
      <c r="C1390" s="2" t="s">
        <v>54</v>
      </c>
      <c r="D1390" s="2" t="s">
        <v>3543</v>
      </c>
      <c r="E1390" s="2" t="s">
        <v>3544</v>
      </c>
      <c r="F1390" s="3">
        <v>169520</v>
      </c>
      <c r="G1390" s="3">
        <v>135616</v>
      </c>
      <c r="H1390" s="4">
        <v>190000</v>
      </c>
      <c r="I1390" s="4">
        <v>190000</v>
      </c>
      <c r="J1390" s="16">
        <f t="shared" si="42"/>
        <v>0.40101462954223699</v>
      </c>
      <c r="K1390" s="16">
        <f t="shared" si="43"/>
        <v>0</v>
      </c>
    </row>
    <row r="1391" spans="1:11" ht="19.5" customHeight="1" x14ac:dyDescent="0.25">
      <c r="A1391" s="2" t="s">
        <v>3522</v>
      </c>
      <c r="B1391" s="2" t="s">
        <v>54</v>
      </c>
      <c r="C1391" s="2" t="s">
        <v>54</v>
      </c>
      <c r="D1391" s="2" t="s">
        <v>3545</v>
      </c>
      <c r="E1391" s="2" t="s">
        <v>3546</v>
      </c>
      <c r="F1391" s="3">
        <v>10400</v>
      </c>
      <c r="G1391" s="3">
        <v>8320</v>
      </c>
      <c r="H1391" s="4">
        <v>15000</v>
      </c>
      <c r="I1391" s="4">
        <v>15000</v>
      </c>
      <c r="J1391" s="16">
        <f t="shared" si="42"/>
        <v>0.80288461538461542</v>
      </c>
      <c r="K1391" s="16">
        <f t="shared" si="43"/>
        <v>0</v>
      </c>
    </row>
    <row r="1392" spans="1:11" ht="19.5" customHeight="1" x14ac:dyDescent="0.25">
      <c r="A1392" s="2" t="s">
        <v>3522</v>
      </c>
      <c r="B1392" s="2" t="s">
        <v>54</v>
      </c>
      <c r="C1392" s="2" t="s">
        <v>54</v>
      </c>
      <c r="D1392" s="2" t="s">
        <v>3547</v>
      </c>
      <c r="E1392" s="2" t="s">
        <v>3548</v>
      </c>
      <c r="F1392" s="3">
        <v>314246</v>
      </c>
      <c r="G1392" s="3">
        <v>251397</v>
      </c>
      <c r="H1392" s="4">
        <v>400000</v>
      </c>
      <c r="I1392" s="4">
        <v>400000</v>
      </c>
      <c r="J1392" s="16">
        <f t="shared" si="42"/>
        <v>0.59110888355867419</v>
      </c>
      <c r="K1392" s="16">
        <f t="shared" si="43"/>
        <v>0</v>
      </c>
    </row>
    <row r="1393" spans="1:11" ht="19.5" customHeight="1" x14ac:dyDescent="0.25">
      <c r="A1393" s="2"/>
      <c r="B1393" s="2"/>
      <c r="C1393" s="2"/>
      <c r="D1393" s="2"/>
      <c r="E1393" s="2"/>
      <c r="F1393" s="3"/>
      <c r="G1393" s="3"/>
      <c r="H1393" s="3"/>
      <c r="I1393" s="3"/>
      <c r="J1393" s="3"/>
      <c r="K1393" s="3"/>
    </row>
    <row r="1394" spans="1:11" x14ac:dyDescent="0.25">
      <c r="A1394" s="11"/>
      <c r="B1394" s="11"/>
      <c r="C1394" s="11"/>
      <c r="D1394" s="11"/>
      <c r="E1394" s="12" t="s">
        <v>3549</v>
      </c>
      <c r="F1394" s="13">
        <f t="shared" ref="F1394:I1394" si="44">SUM(F2:F1392)</f>
        <v>68767586853.100037</v>
      </c>
      <c r="G1394" s="13">
        <f t="shared" si="44"/>
        <v>80201210827.479996</v>
      </c>
      <c r="H1394" s="13">
        <f t="shared" si="44"/>
        <v>80778767363</v>
      </c>
      <c r="I1394" s="13">
        <f t="shared" si="44"/>
        <v>81127936221</v>
      </c>
      <c r="J1394" s="14">
        <f t="shared" ref="J1394" si="45">IFERROR(H1394/G1394-1,"--")</f>
        <v>7.2013443383340814E-3</v>
      </c>
      <c r="K1394" s="14">
        <f t="shared" ref="K1394" si="46">IFERROR(I1394/H1394-1,"--")</f>
        <v>4.3225326332465563E-3</v>
      </c>
    </row>
    <row r="1395" spans="1:11" x14ac:dyDescent="0.25">
      <c r="A1395" s="11"/>
      <c r="B1395" s="11"/>
      <c r="C1395" s="11"/>
      <c r="D1395" s="11"/>
      <c r="E1395" s="12"/>
      <c r="F1395" s="13"/>
      <c r="G1395" s="13"/>
      <c r="H1395" s="13"/>
      <c r="I1395" s="13"/>
      <c r="J1395" s="16"/>
      <c r="K1395" s="16"/>
    </row>
    <row r="1396" spans="1:11" x14ac:dyDescent="0.25">
      <c r="A1396" s="11"/>
      <c r="B1396" s="11"/>
      <c r="C1396" s="11"/>
      <c r="D1396" s="11"/>
      <c r="E1396" s="12" t="s">
        <v>3550</v>
      </c>
      <c r="F1396" s="13">
        <f t="shared" ref="F1396:I1396" si="47">SUMIFS(F2:F1392,$C$2:$C$1392,"=GRF")</f>
        <v>33063532136.332001</v>
      </c>
      <c r="G1396" s="13">
        <f t="shared" si="47"/>
        <v>34131628253.809998</v>
      </c>
      <c r="H1396" s="13">
        <f t="shared" si="47"/>
        <v>34844521468</v>
      </c>
      <c r="I1396" s="13">
        <f t="shared" si="47"/>
        <v>39244794366</v>
      </c>
      <c r="J1396" s="14">
        <f t="shared" ref="J1396" si="48">IFERROR(H1396/G1396-1,"--")</f>
        <v>2.0886586742618229E-2</v>
      </c>
      <c r="K1396" s="14">
        <f t="shared" ref="K1396" si="49">IFERROR(I1396/H1396-1,"--")</f>
        <v>0.12628306294982572</v>
      </c>
    </row>
    <row r="1397" spans="1:11" x14ac:dyDescent="0.25">
      <c r="A1397" s="11"/>
      <c r="B1397" s="11"/>
      <c r="C1397" s="11"/>
      <c r="D1397" s="11"/>
      <c r="E1397" s="12"/>
      <c r="F1397" s="13"/>
      <c r="G1397" s="13"/>
      <c r="H1397" s="14"/>
      <c r="I1397" s="14"/>
      <c r="J1397" s="13"/>
      <c r="K1397" s="13"/>
    </row>
    <row r="1398" spans="1:11" x14ac:dyDescent="0.25">
      <c r="A1398" s="11"/>
      <c r="B1398" s="11"/>
      <c r="C1398" s="11"/>
      <c r="D1398" s="11"/>
      <c r="E1398" s="12" t="s">
        <v>3557</v>
      </c>
      <c r="F1398" s="13">
        <f>F1396-F1402</f>
        <v>22477270374.472</v>
      </c>
      <c r="G1398" s="13">
        <f t="shared" ref="G1398:I1398" si="50">G1396-G1402</f>
        <v>22614301833.809998</v>
      </c>
      <c r="H1398" s="13">
        <f t="shared" si="50"/>
        <v>24168930660</v>
      </c>
      <c r="I1398" s="13">
        <f t="shared" si="50"/>
        <v>26068065623</v>
      </c>
      <c r="J1398" s="14">
        <f t="shared" ref="J1398" si="51">IFERROR(H1398/G1398-1,"--")</f>
        <v>6.8745382352052964E-2</v>
      </c>
      <c r="K1398" s="14">
        <f t="shared" ref="K1398" si="52">IFERROR(I1398/H1398-1,"--")</f>
        <v>7.8577533682245182E-2</v>
      </c>
    </row>
    <row r="1399" spans="1:11" x14ac:dyDescent="0.25">
      <c r="H1399" s="14"/>
      <c r="I1399" s="14"/>
    </row>
    <row r="1400" spans="1:11" x14ac:dyDescent="0.25">
      <c r="A1400" s="20" t="s">
        <v>3551</v>
      </c>
      <c r="B1400" s="20"/>
      <c r="C1400" s="20"/>
      <c r="D1400" s="20"/>
      <c r="E1400" s="20"/>
      <c r="F1400" s="11"/>
      <c r="G1400" s="11"/>
      <c r="H1400" s="15"/>
      <c r="I1400" s="15"/>
      <c r="J1400" s="5"/>
      <c r="K1400" s="5"/>
    </row>
    <row r="1401" spans="1:11" ht="19.5" customHeight="1" x14ac:dyDescent="0.25">
      <c r="A1401" s="2" t="s">
        <v>2724</v>
      </c>
      <c r="B1401" s="2" t="s">
        <v>54</v>
      </c>
      <c r="C1401" s="2" t="s">
        <v>54</v>
      </c>
      <c r="D1401" s="2" t="s">
        <v>2778</v>
      </c>
      <c r="E1401" s="2" t="s">
        <v>3552</v>
      </c>
      <c r="F1401" s="3">
        <v>3525731926.0599999</v>
      </c>
      <c r="G1401" s="3">
        <v>3783263260</v>
      </c>
      <c r="H1401" s="4">
        <v>3873221271</v>
      </c>
      <c r="I1401" s="4">
        <v>5363449603</v>
      </c>
      <c r="J1401" s="16">
        <f t="shared" ref="J1401:J1403" si="53">IFERROR(H1401/G1401-1,"--")</f>
        <v>2.3777888245609446E-2</v>
      </c>
      <c r="K1401" s="16">
        <f t="shared" ref="K1401:K1403" si="54">IFERROR(I1401/H1401-1,"--")</f>
        <v>0.38475166475971778</v>
      </c>
    </row>
    <row r="1402" spans="1:11" ht="19.5" customHeight="1" x14ac:dyDescent="0.25">
      <c r="A1402" s="2" t="s">
        <v>2724</v>
      </c>
      <c r="B1402" s="2" t="s">
        <v>54</v>
      </c>
      <c r="C1402" s="2" t="s">
        <v>54</v>
      </c>
      <c r="D1402" s="2" t="s">
        <v>2778</v>
      </c>
      <c r="E1402" s="2" t="s">
        <v>3553</v>
      </c>
      <c r="F1402" s="3">
        <v>10586261761.860001</v>
      </c>
      <c r="G1402" s="3">
        <v>11517326420</v>
      </c>
      <c r="H1402" s="4">
        <v>10675590808</v>
      </c>
      <c r="I1402" s="4">
        <v>13176728743</v>
      </c>
      <c r="J1402" s="16">
        <f t="shared" si="53"/>
        <v>-7.3084288949066711E-2</v>
      </c>
      <c r="K1402" s="16">
        <f t="shared" si="54"/>
        <v>0.23428566905409243</v>
      </c>
    </row>
    <row r="1403" spans="1:11" ht="19.5" customHeight="1" x14ac:dyDescent="0.25">
      <c r="A1403" s="2" t="s">
        <v>2724</v>
      </c>
      <c r="B1403" s="2" t="s">
        <v>54</v>
      </c>
      <c r="C1403" s="2" t="s">
        <v>54</v>
      </c>
      <c r="D1403" s="2" t="s">
        <v>2778</v>
      </c>
      <c r="E1403" s="2" t="s">
        <v>3554</v>
      </c>
      <c r="F1403" s="3">
        <v>14111993687.922001</v>
      </c>
      <c r="G1403" s="3">
        <v>15300589680</v>
      </c>
      <c r="H1403" s="4">
        <v>14548812079</v>
      </c>
      <c r="I1403" s="4">
        <v>18540178346</v>
      </c>
      <c r="J1403" s="16">
        <f t="shared" si="53"/>
        <v>-4.9133897236828594E-2</v>
      </c>
      <c r="K1403" s="16">
        <f t="shared" si="54"/>
        <v>0.2743431041192157</v>
      </c>
    </row>
  </sheetData>
  <mergeCells count="1">
    <mergeCell ref="A1400:E1400"/>
  </mergeCells>
  <printOptions horizontalCentered="1" gridLines="1"/>
  <pageMargins left="0.45" right="0.45" top="0.75" bottom="0.75" header="0.3" footer="0.3"/>
  <pageSetup paperSize="5" orientation="landscape" r:id="rId1"/>
  <headerFooter>
    <oddHeader>&amp;L&amp;"-,Bold"H.B. 110 of the 134th General Assembly
FY 2022 - FY 2023</oddHeader>
    <oddFooter>&amp;LLegislative Budget Office of the Legislative Service Commission&amp;R&amp;P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EN</vt:lpstr>
      <vt:lpstr>ENYearoverYear</vt:lpstr>
      <vt:lpstr>EN!Print_Titles</vt:lpstr>
      <vt:lpstr>ENYearoverYear!Print_Titles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Melaney Carter</dc:creator>
  <cp:lastModifiedBy>Melaney Carter</cp:lastModifiedBy>
  <cp:lastPrinted>2021-07-06T20:51:53Z</cp:lastPrinted>
  <dcterms:created xsi:type="dcterms:W3CDTF">2021-06-28T18:21:30Z</dcterms:created>
  <dcterms:modified xsi:type="dcterms:W3CDTF">2021-07-06T20:52:40Z</dcterms:modified>
</cp:coreProperties>
</file>